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fionn/Documents/IrishSolarData/src/data/RawData/"/>
    </mc:Choice>
  </mc:AlternateContent>
  <xr:revisionPtr revIDLastSave="0" documentId="13_ncr:1_{38AB6437-307B-B744-B32C-45303580AFA4}" xr6:coauthVersionLast="47" xr6:coauthVersionMax="47" xr10:uidLastSave="{00000000-0000-0000-0000-000000000000}"/>
  <bookViews>
    <workbookView xWindow="0" yWindow="500" windowWidth="28800" windowHeight="15800" activeTab="2" xr2:uid="{00000000-000D-0000-FFFF-FFFF00000000}"/>
  </bookViews>
  <sheets>
    <sheet name="Form responses 1" sheetId="1" r:id="rId1"/>
    <sheet name="Copied_data" sheetId="2" r:id="rId2"/>
    <sheet name="Copied_data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4" l="1"/>
  <c r="F3598" i="4"/>
  <c r="G3598" i="4" s="1"/>
  <c r="F3597" i="4"/>
  <c r="G3597" i="4" s="1"/>
  <c r="F3596" i="4"/>
  <c r="G3596" i="4" s="1"/>
  <c r="F3595" i="4"/>
  <c r="G3595" i="4" s="1"/>
  <c r="G3594" i="4"/>
  <c r="F3594" i="4"/>
  <c r="G3593" i="4"/>
  <c r="F3593" i="4"/>
  <c r="G3592" i="4"/>
  <c r="F3592" i="4"/>
  <c r="G3591" i="4"/>
  <c r="F3591" i="4"/>
  <c r="G3590" i="4"/>
  <c r="F3590" i="4"/>
  <c r="G3589" i="4"/>
  <c r="F3589" i="4"/>
  <c r="G3588" i="4"/>
  <c r="F3588" i="4"/>
  <c r="G3587" i="4"/>
  <c r="F3587" i="4"/>
  <c r="G3586" i="4"/>
  <c r="F3586" i="4"/>
  <c r="G3585" i="4"/>
  <c r="F3585" i="4"/>
  <c r="G3584" i="4"/>
  <c r="F3584" i="4"/>
  <c r="G3583" i="4"/>
  <c r="F3583" i="4"/>
  <c r="G3582" i="4"/>
  <c r="F3582" i="4"/>
  <c r="G3581" i="4"/>
  <c r="F3581" i="4"/>
  <c r="G3580" i="4"/>
  <c r="F3580" i="4"/>
  <c r="G3579" i="4"/>
  <c r="F3579" i="4"/>
  <c r="G3578" i="4"/>
  <c r="F3578" i="4"/>
  <c r="G3577" i="4"/>
  <c r="F3577" i="4"/>
  <c r="G3576" i="4"/>
  <c r="F3576" i="4"/>
  <c r="G3575" i="4"/>
  <c r="F3575" i="4"/>
  <c r="G3574" i="4"/>
  <c r="F3574" i="4"/>
  <c r="G3573" i="4"/>
  <c r="F3573" i="4"/>
  <c r="G3572" i="4"/>
  <c r="F3572" i="4"/>
  <c r="G3571" i="4"/>
  <c r="F3571" i="4"/>
  <c r="G3570" i="4"/>
  <c r="F3570" i="4"/>
  <c r="G3569" i="4"/>
  <c r="F3569" i="4"/>
  <c r="G3568" i="4"/>
  <c r="F3568" i="4"/>
  <c r="G3567" i="4"/>
  <c r="F3567" i="4"/>
  <c r="G3566" i="4"/>
  <c r="F3566" i="4"/>
  <c r="G3565" i="4"/>
  <c r="F3565" i="4"/>
  <c r="G3564" i="4"/>
  <c r="F3564" i="4"/>
  <c r="G3563" i="4"/>
  <c r="F3563" i="4"/>
  <c r="G3562" i="4"/>
  <c r="F3562" i="4"/>
  <c r="G3561" i="4"/>
  <c r="F3561" i="4"/>
  <c r="G3560" i="4"/>
  <c r="F3560" i="4"/>
  <c r="G3559" i="4"/>
  <c r="F3559" i="4"/>
  <c r="G3558" i="4"/>
  <c r="F3558" i="4"/>
  <c r="G3557" i="4"/>
  <c r="F3557" i="4"/>
  <c r="G3556" i="4"/>
  <c r="F3556" i="4"/>
  <c r="G3555" i="4"/>
  <c r="F3555" i="4"/>
  <c r="G3554" i="4"/>
  <c r="F3554" i="4"/>
  <c r="G3553" i="4"/>
  <c r="F3553" i="4"/>
  <c r="G3552" i="4"/>
  <c r="F3552" i="4"/>
  <c r="G3551" i="4"/>
  <c r="F3551" i="4"/>
  <c r="G3550" i="4"/>
  <c r="F3550" i="4"/>
  <c r="G3549" i="4"/>
  <c r="F3549" i="4"/>
  <c r="G3548" i="4"/>
  <c r="F3548" i="4"/>
  <c r="G3547" i="4"/>
  <c r="F3547" i="4"/>
  <c r="G3546" i="4"/>
  <c r="F3546" i="4"/>
  <c r="G3545" i="4"/>
  <c r="F3545" i="4"/>
  <c r="G3544" i="4"/>
  <c r="F3544" i="4"/>
  <c r="G3543" i="4"/>
  <c r="F3543" i="4"/>
  <c r="G3542" i="4"/>
  <c r="F3542" i="4"/>
  <c r="G3541" i="4"/>
  <c r="F3541" i="4"/>
  <c r="G3540" i="4"/>
  <c r="F3540" i="4"/>
  <c r="G3539" i="4"/>
  <c r="F3539" i="4"/>
  <c r="G3538" i="4"/>
  <c r="F3538" i="4"/>
  <c r="G3537" i="4"/>
  <c r="F3537" i="4"/>
  <c r="G3536" i="4"/>
  <c r="F3536" i="4"/>
  <c r="G3535" i="4"/>
  <c r="F3535" i="4"/>
  <c r="G3534" i="4"/>
  <c r="F3534" i="4"/>
  <c r="G3533" i="4"/>
  <c r="F3533" i="4"/>
  <c r="G3532" i="4"/>
  <c r="F3532" i="4"/>
  <c r="G3531" i="4"/>
  <c r="F3531" i="4"/>
  <c r="G3530" i="4"/>
  <c r="F3530" i="4"/>
  <c r="G3529" i="4"/>
  <c r="F3529" i="4"/>
  <c r="G3528" i="4"/>
  <c r="F3528" i="4"/>
  <c r="G3527" i="4"/>
  <c r="F3527" i="4"/>
  <c r="G3526" i="4"/>
  <c r="F3526" i="4"/>
  <c r="G3525" i="4"/>
  <c r="F3525" i="4"/>
  <c r="G3524" i="4"/>
  <c r="F3524" i="4"/>
  <c r="G3523" i="4"/>
  <c r="F3523" i="4"/>
  <c r="G3522" i="4"/>
  <c r="F3522" i="4"/>
  <c r="G3521" i="4"/>
  <c r="F3521" i="4"/>
  <c r="G3520" i="4"/>
  <c r="F3520" i="4"/>
  <c r="G3519" i="4"/>
  <c r="F3519" i="4"/>
  <c r="G3518" i="4"/>
  <c r="F3518" i="4"/>
  <c r="G3517" i="4"/>
  <c r="F3517" i="4"/>
  <c r="G3516" i="4"/>
  <c r="F3516" i="4"/>
  <c r="G3515" i="4"/>
  <c r="F3515" i="4"/>
  <c r="G3514" i="4"/>
  <c r="F3514" i="4"/>
  <c r="G3513" i="4"/>
  <c r="F3513" i="4"/>
  <c r="G3512" i="4"/>
  <c r="F3512" i="4"/>
  <c r="G3511" i="4"/>
  <c r="F3511" i="4"/>
  <c r="G3510" i="4"/>
  <c r="F3510" i="4"/>
  <c r="G3509" i="4"/>
  <c r="F3509" i="4"/>
  <c r="G3508" i="4"/>
  <c r="F3508" i="4"/>
  <c r="G3507" i="4"/>
  <c r="F3507" i="4"/>
  <c r="G3506" i="4"/>
  <c r="F3506" i="4"/>
  <c r="G3505" i="4"/>
  <c r="F3505" i="4"/>
  <c r="G3504" i="4"/>
  <c r="F3504" i="4"/>
  <c r="G3503" i="4"/>
  <c r="F3503" i="4"/>
  <c r="G3502" i="4"/>
  <c r="F3502" i="4"/>
  <c r="G3501" i="4"/>
  <c r="F3501" i="4"/>
  <c r="G3500" i="4"/>
  <c r="F3500" i="4"/>
  <c r="G3499" i="4"/>
  <c r="F3499" i="4"/>
  <c r="G3498" i="4"/>
  <c r="F3498" i="4"/>
  <c r="G3497" i="4"/>
  <c r="F3497" i="4"/>
  <c r="G3496" i="4"/>
  <c r="F3496" i="4"/>
  <c r="G3495" i="4"/>
  <c r="F3495" i="4"/>
  <c r="G3494" i="4"/>
  <c r="F3494" i="4"/>
  <c r="G3493" i="4"/>
  <c r="F3493" i="4"/>
  <c r="G3492" i="4"/>
  <c r="F3492" i="4"/>
  <c r="G3491" i="4"/>
  <c r="F3491" i="4"/>
  <c r="G3490" i="4"/>
  <c r="F3490" i="4"/>
  <c r="G3489" i="4"/>
  <c r="F3489" i="4"/>
  <c r="G3488" i="4"/>
  <c r="F3488" i="4"/>
  <c r="G3487" i="4"/>
  <c r="F3487" i="4"/>
  <c r="G3486" i="4"/>
  <c r="F3486" i="4"/>
  <c r="G3485" i="4"/>
  <c r="F3485" i="4"/>
  <c r="G3484" i="4"/>
  <c r="F3484" i="4"/>
  <c r="G3483" i="4"/>
  <c r="F3483" i="4"/>
  <c r="G3482" i="4"/>
  <c r="F3482" i="4"/>
  <c r="G3481" i="4"/>
  <c r="F3481" i="4"/>
  <c r="G3480" i="4"/>
  <c r="F3480" i="4"/>
  <c r="G3479" i="4"/>
  <c r="F3479" i="4"/>
  <c r="G3478" i="4"/>
  <c r="F3478" i="4"/>
  <c r="G3477" i="4"/>
  <c r="F3477" i="4"/>
  <c r="G3476" i="4"/>
  <c r="F3476" i="4"/>
  <c r="G3475" i="4"/>
  <c r="F3475" i="4"/>
  <c r="G3474" i="4"/>
  <c r="F3474" i="4"/>
  <c r="G3473" i="4"/>
  <c r="F3473" i="4"/>
  <c r="G3472" i="4"/>
  <c r="F3472" i="4"/>
  <c r="G3471" i="4"/>
  <c r="F3471" i="4"/>
  <c r="G3470" i="4"/>
  <c r="F3470" i="4"/>
  <c r="G3469" i="4"/>
  <c r="F3469" i="4"/>
  <c r="G3468" i="4"/>
  <c r="F3468" i="4"/>
  <c r="G3467" i="4"/>
  <c r="F3467" i="4"/>
  <c r="G3466" i="4"/>
  <c r="F3466" i="4"/>
  <c r="G3465" i="4"/>
  <c r="F3465" i="4"/>
  <c r="G3464" i="4"/>
  <c r="F3464" i="4"/>
  <c r="G3463" i="4"/>
  <c r="F3463" i="4"/>
  <c r="G3462" i="4"/>
  <c r="F3462" i="4"/>
  <c r="G3461" i="4"/>
  <c r="F3461" i="4"/>
  <c r="G3460" i="4"/>
  <c r="F3460" i="4"/>
  <c r="G3459" i="4"/>
  <c r="F3459" i="4"/>
  <c r="G3458" i="4"/>
  <c r="F3458" i="4"/>
  <c r="G3457" i="4"/>
  <c r="F3457" i="4"/>
  <c r="G3456" i="4"/>
  <c r="F3456" i="4"/>
  <c r="G3455" i="4"/>
  <c r="F3455" i="4"/>
  <c r="G3454" i="4"/>
  <c r="F3454" i="4"/>
  <c r="G3453" i="4"/>
  <c r="F3453" i="4"/>
  <c r="G3452" i="4"/>
  <c r="F3452" i="4"/>
  <c r="G3451" i="4"/>
  <c r="F3451" i="4"/>
  <c r="G3450" i="4"/>
  <c r="F3450" i="4"/>
  <c r="G3449" i="4"/>
  <c r="F3449" i="4"/>
  <c r="G3448" i="4"/>
  <c r="F3448" i="4"/>
  <c r="G3447" i="4"/>
  <c r="F3447" i="4"/>
  <c r="G3446" i="4"/>
  <c r="F3446" i="4"/>
  <c r="G3445" i="4"/>
  <c r="F3445" i="4"/>
  <c r="G3444" i="4"/>
  <c r="F3444" i="4"/>
  <c r="G3443" i="4"/>
  <c r="F3443" i="4"/>
  <c r="G3442" i="4"/>
  <c r="F3442" i="4"/>
  <c r="G3441" i="4"/>
  <c r="F3441" i="4"/>
  <c r="G3440" i="4"/>
  <c r="F3440" i="4"/>
  <c r="G3439" i="4"/>
  <c r="F3439" i="4"/>
  <c r="G3438" i="4"/>
  <c r="F3438" i="4"/>
  <c r="G3437" i="4"/>
  <c r="F3437" i="4"/>
  <c r="G3436" i="4"/>
  <c r="F3436" i="4"/>
  <c r="G3435" i="4"/>
  <c r="F3435" i="4"/>
  <c r="G3434" i="4"/>
  <c r="F3434" i="4"/>
  <c r="G3433" i="4"/>
  <c r="F3433" i="4"/>
  <c r="G3432" i="4"/>
  <c r="F3432" i="4"/>
  <c r="G3431" i="4"/>
  <c r="F3431" i="4"/>
  <c r="G3430" i="4"/>
  <c r="F3430" i="4"/>
  <c r="G3429" i="4"/>
  <c r="F3429" i="4"/>
  <c r="G3428" i="4"/>
  <c r="F3428" i="4"/>
  <c r="G3427" i="4"/>
  <c r="F3427" i="4"/>
  <c r="G3426" i="4"/>
  <c r="F3426" i="4"/>
  <c r="G3425" i="4"/>
  <c r="F3425" i="4"/>
  <c r="G3424" i="4"/>
  <c r="F3424" i="4"/>
  <c r="G3423" i="4"/>
  <c r="F3423" i="4"/>
  <c r="G3422" i="4"/>
  <c r="F3422" i="4"/>
  <c r="G3421" i="4"/>
  <c r="F3421" i="4"/>
  <c r="G3420" i="4"/>
  <c r="F3420" i="4"/>
  <c r="G3419" i="4"/>
  <c r="F3419" i="4"/>
  <c r="G3418" i="4"/>
  <c r="F3418" i="4"/>
  <c r="G3417" i="4"/>
  <c r="F3417" i="4"/>
  <c r="G3416" i="4"/>
  <c r="F3416" i="4"/>
  <c r="G3415" i="4"/>
  <c r="F3415" i="4"/>
  <c r="G3414" i="4"/>
  <c r="F3414" i="4"/>
  <c r="G3413" i="4"/>
  <c r="F3413" i="4"/>
  <c r="G3412" i="4"/>
  <c r="F3412" i="4"/>
  <c r="G3411" i="4"/>
  <c r="F3411" i="4"/>
  <c r="G3410" i="4"/>
  <c r="F3410" i="4"/>
  <c r="G3409" i="4"/>
  <c r="F3409" i="4"/>
  <c r="G3408" i="4"/>
  <c r="F3408" i="4"/>
  <c r="G3407" i="4"/>
  <c r="F3407" i="4"/>
  <c r="G3406" i="4"/>
  <c r="F3406" i="4"/>
  <c r="G3405" i="4"/>
  <c r="F3405" i="4"/>
  <c r="G3404" i="4"/>
  <c r="F3404" i="4"/>
  <c r="G3403" i="4"/>
  <c r="F3403" i="4"/>
  <c r="G3402" i="4"/>
  <c r="F3402" i="4"/>
  <c r="G3401" i="4"/>
  <c r="F3401" i="4"/>
  <c r="G3400" i="4"/>
  <c r="F3400" i="4"/>
  <c r="G3399" i="4"/>
  <c r="F3399" i="4"/>
  <c r="G3398" i="4"/>
  <c r="F3398" i="4"/>
  <c r="G3397" i="4"/>
  <c r="F3397" i="4"/>
  <c r="G3396" i="4"/>
  <c r="F3396" i="4"/>
  <c r="G3395" i="4"/>
  <c r="F3395" i="4"/>
  <c r="G3394" i="4"/>
  <c r="F3394" i="4"/>
  <c r="G3393" i="4"/>
  <c r="F3393" i="4"/>
  <c r="G3392" i="4"/>
  <c r="F3392" i="4"/>
  <c r="G3391" i="4"/>
  <c r="F3391" i="4"/>
  <c r="G3390" i="4"/>
  <c r="F3390" i="4"/>
  <c r="G3389" i="4"/>
  <c r="F3389" i="4"/>
  <c r="G3388" i="4"/>
  <c r="F3388" i="4"/>
  <c r="G3387" i="4"/>
  <c r="F3387" i="4"/>
  <c r="G3386" i="4"/>
  <c r="F3386" i="4"/>
  <c r="G3385" i="4"/>
  <c r="F3385" i="4"/>
  <c r="G3384" i="4"/>
  <c r="F3384" i="4"/>
  <c r="G3383" i="4"/>
  <c r="F3383" i="4"/>
  <c r="G3382" i="4"/>
  <c r="F3382" i="4"/>
  <c r="G3381" i="4"/>
  <c r="F3381" i="4"/>
  <c r="G3380" i="4"/>
  <c r="F3380" i="4"/>
  <c r="G3379" i="4"/>
  <c r="F3379" i="4"/>
  <c r="G3378" i="4"/>
  <c r="F3378" i="4"/>
  <c r="G3377" i="4"/>
  <c r="F3377" i="4"/>
  <c r="G3376" i="4"/>
  <c r="F3376" i="4"/>
  <c r="G3375" i="4"/>
  <c r="F3375" i="4"/>
  <c r="G3374" i="4"/>
  <c r="F3374" i="4"/>
  <c r="G3373" i="4"/>
  <c r="F3373" i="4"/>
  <c r="G3372" i="4"/>
  <c r="F3372" i="4"/>
  <c r="G3371" i="4"/>
  <c r="F3371" i="4"/>
  <c r="G3370" i="4"/>
  <c r="F3370" i="4"/>
  <c r="G3369" i="4"/>
  <c r="F3369" i="4"/>
  <c r="G3368" i="4"/>
  <c r="F3368" i="4"/>
  <c r="G3367" i="4"/>
  <c r="F3367" i="4"/>
  <c r="G3366" i="4"/>
  <c r="F3366" i="4"/>
  <c r="G3365" i="4"/>
  <c r="F3365" i="4"/>
  <c r="G3364" i="4"/>
  <c r="F3364" i="4"/>
  <c r="G3363" i="4"/>
  <c r="F3363" i="4"/>
  <c r="G3362" i="4"/>
  <c r="F3362" i="4"/>
  <c r="G3361" i="4"/>
  <c r="F3361" i="4"/>
  <c r="G3360" i="4"/>
  <c r="F3360" i="4"/>
  <c r="G3359" i="4"/>
  <c r="F3359" i="4"/>
  <c r="G3358" i="4"/>
  <c r="F3358" i="4"/>
  <c r="G3357" i="4"/>
  <c r="F3357" i="4"/>
  <c r="G3356" i="4"/>
  <c r="F3356" i="4"/>
  <c r="G3355" i="4"/>
  <c r="F3355" i="4"/>
  <c r="G3354" i="4"/>
  <c r="F3354" i="4"/>
  <c r="G3353" i="4"/>
  <c r="F3353" i="4"/>
  <c r="G3352" i="4"/>
  <c r="F3352" i="4"/>
  <c r="G3351" i="4"/>
  <c r="F3351" i="4"/>
  <c r="G3350" i="4"/>
  <c r="F3350" i="4"/>
  <c r="G3349" i="4"/>
  <c r="F3349" i="4"/>
  <c r="G3348" i="4"/>
  <c r="F3348" i="4"/>
  <c r="G3347" i="4"/>
  <c r="F3347" i="4"/>
  <c r="G3346" i="4"/>
  <c r="F3346" i="4"/>
  <c r="G3345" i="4"/>
  <c r="F3345" i="4"/>
  <c r="G3344" i="4"/>
  <c r="F3344" i="4"/>
  <c r="G3343" i="4"/>
  <c r="F3343" i="4"/>
  <c r="G3342" i="4"/>
  <c r="F3342" i="4"/>
  <c r="G3341" i="4"/>
  <c r="F3341" i="4"/>
  <c r="G3340" i="4"/>
  <c r="F3340" i="4"/>
  <c r="G3339" i="4"/>
  <c r="F3339" i="4"/>
  <c r="G3338" i="4"/>
  <c r="F3338" i="4"/>
  <c r="G3337" i="4"/>
  <c r="F3337" i="4"/>
  <c r="G3336" i="4"/>
  <c r="F3336" i="4"/>
  <c r="G3335" i="4"/>
  <c r="F3335" i="4"/>
  <c r="G3334" i="4"/>
  <c r="F3334" i="4"/>
  <c r="G3333" i="4"/>
  <c r="F3333" i="4"/>
  <c r="G3332" i="4"/>
  <c r="F3332" i="4"/>
  <c r="G3331" i="4"/>
  <c r="F3331" i="4"/>
  <c r="G3330" i="4"/>
  <c r="F3330" i="4"/>
  <c r="G3329" i="4"/>
  <c r="F3329" i="4"/>
  <c r="G3328" i="4"/>
  <c r="F3328" i="4"/>
  <c r="G3327" i="4"/>
  <c r="F3327" i="4"/>
  <c r="G3326" i="4"/>
  <c r="F3326" i="4"/>
  <c r="G3325" i="4"/>
  <c r="F3325" i="4"/>
  <c r="G3324" i="4"/>
  <c r="F3324" i="4"/>
  <c r="G3323" i="4"/>
  <c r="F3323" i="4"/>
  <c r="G3322" i="4"/>
  <c r="F3322" i="4"/>
  <c r="G3321" i="4"/>
  <c r="F3321" i="4"/>
  <c r="L31" i="4"/>
  <c r="L32" i="4"/>
  <c r="L33" i="4"/>
  <c r="L34" i="4"/>
  <c r="L35" i="4"/>
  <c r="L36" i="4"/>
  <c r="L37" i="4"/>
  <c r="L38" i="4"/>
  <c r="L39" i="4"/>
  <c r="L40" i="4"/>
  <c r="L41" i="4"/>
  <c r="J4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2" i="4"/>
  <c r="F3320" i="4"/>
  <c r="F3319" i="4"/>
  <c r="F3318" i="4"/>
  <c r="F3317" i="4"/>
  <c r="F3316" i="4"/>
  <c r="F3315" i="4"/>
  <c r="F3314" i="4"/>
  <c r="F3313" i="4"/>
  <c r="F3312" i="4"/>
  <c r="F3311" i="4"/>
  <c r="F3310" i="4"/>
  <c r="F3309" i="4"/>
  <c r="F3308" i="4"/>
  <c r="F3307" i="4"/>
  <c r="F3306" i="4"/>
  <c r="F3305" i="4"/>
  <c r="F3304" i="4"/>
  <c r="F3303" i="4"/>
  <c r="F3302" i="4"/>
  <c r="F3301" i="4"/>
  <c r="F3300" i="4"/>
  <c r="F3299" i="4"/>
  <c r="F3298" i="4"/>
  <c r="F3297" i="4"/>
  <c r="F3296" i="4"/>
  <c r="F3295" i="4"/>
  <c r="F3294" i="4"/>
  <c r="F3293" i="4"/>
  <c r="F3292" i="4"/>
  <c r="F3291" i="4"/>
  <c r="F3290" i="4"/>
  <c r="F3289" i="4"/>
  <c r="F3288" i="4"/>
  <c r="F3287" i="4"/>
  <c r="F3286" i="4"/>
  <c r="F3285" i="4"/>
  <c r="F3284" i="4"/>
  <c r="F3283" i="4"/>
  <c r="F3282" i="4"/>
  <c r="F3281" i="4"/>
  <c r="F3280" i="4"/>
  <c r="F3279" i="4"/>
  <c r="F3278" i="4"/>
  <c r="F3277" i="4"/>
  <c r="F3276" i="4"/>
  <c r="F3275" i="4"/>
  <c r="F3274" i="4"/>
  <c r="F3273" i="4"/>
  <c r="F3272" i="4"/>
  <c r="F3271" i="4"/>
  <c r="F3270" i="4"/>
  <c r="F3269" i="4"/>
  <c r="F3268" i="4"/>
  <c r="F3267" i="4"/>
  <c r="F3266" i="4"/>
  <c r="F3265" i="4"/>
  <c r="F3264" i="4"/>
  <c r="F3263" i="4"/>
  <c r="F3262" i="4"/>
  <c r="F3261" i="4"/>
  <c r="F3260" i="4"/>
  <c r="F3259" i="4"/>
  <c r="F3258" i="4"/>
  <c r="F3257" i="4"/>
  <c r="F3256" i="4"/>
  <c r="F3255" i="4"/>
  <c r="F3254" i="4"/>
  <c r="F3253" i="4"/>
  <c r="F3252" i="4"/>
  <c r="F3251" i="4"/>
  <c r="F3250" i="4"/>
  <c r="F3249" i="4"/>
  <c r="F3248" i="4"/>
  <c r="F3247" i="4"/>
  <c r="F3246" i="4"/>
  <c r="F3245" i="4"/>
  <c r="F3244" i="4"/>
  <c r="F3243" i="4"/>
  <c r="F3242" i="4"/>
  <c r="F3241" i="4"/>
  <c r="F3240" i="4"/>
  <c r="F3239" i="4"/>
  <c r="F3238" i="4"/>
  <c r="F3237" i="4"/>
  <c r="F3236" i="4"/>
  <c r="F3235" i="4"/>
  <c r="F3234" i="4"/>
  <c r="F3233" i="4"/>
  <c r="F3232" i="4"/>
  <c r="F3231" i="4"/>
  <c r="F3230" i="4"/>
  <c r="F3229" i="4"/>
  <c r="F3228" i="4"/>
  <c r="F3227" i="4"/>
  <c r="F3226" i="4"/>
  <c r="F3225" i="4"/>
  <c r="F3224" i="4"/>
  <c r="F3223" i="4"/>
  <c r="F3222" i="4"/>
  <c r="F3221" i="4"/>
  <c r="F3220" i="4"/>
  <c r="F3219" i="4"/>
  <c r="F3218" i="4"/>
  <c r="F3217" i="4"/>
  <c r="F3216" i="4"/>
  <c r="F3215" i="4"/>
  <c r="F3214" i="4"/>
  <c r="F3213" i="4"/>
  <c r="F3212" i="4"/>
  <c r="F3211" i="4"/>
  <c r="F3210" i="4"/>
  <c r="F3209" i="4"/>
  <c r="F3208" i="4"/>
  <c r="F3207" i="4"/>
  <c r="F3206" i="4"/>
  <c r="F3205" i="4"/>
  <c r="F3204" i="4"/>
  <c r="F3203" i="4"/>
  <c r="F3202" i="4"/>
  <c r="F3201" i="4"/>
  <c r="F3200" i="4"/>
  <c r="F3199" i="4"/>
  <c r="F3198" i="4"/>
  <c r="F3197" i="4"/>
  <c r="F3196" i="4"/>
  <c r="F3195" i="4"/>
  <c r="F3194" i="4"/>
  <c r="F3193" i="4"/>
  <c r="F3192" i="4"/>
  <c r="F3191" i="4"/>
  <c r="F3190" i="4"/>
  <c r="F3189" i="4"/>
  <c r="F3188" i="4"/>
  <c r="F3187" i="4"/>
  <c r="F3186" i="4"/>
  <c r="F3185" i="4"/>
  <c r="F3184" i="4"/>
  <c r="F3183" i="4"/>
  <c r="F3182" i="4"/>
  <c r="F3181" i="4"/>
  <c r="F3180" i="4"/>
  <c r="F3179" i="4"/>
  <c r="F3178" i="4"/>
  <c r="F3177" i="4"/>
  <c r="F3176" i="4"/>
  <c r="F3175" i="4"/>
  <c r="F3174" i="4"/>
  <c r="F3173" i="4"/>
  <c r="F3172" i="4"/>
  <c r="F3171" i="4"/>
  <c r="F3170" i="4"/>
  <c r="F3169" i="4"/>
  <c r="F3168" i="4"/>
  <c r="F3167" i="4"/>
  <c r="F3166" i="4"/>
  <c r="F3165" i="4"/>
  <c r="F3164" i="4"/>
  <c r="F3163" i="4"/>
  <c r="F3162" i="4"/>
  <c r="F3161" i="4"/>
  <c r="F3160" i="4"/>
  <c r="F3159" i="4"/>
  <c r="F3158" i="4"/>
  <c r="F3157" i="4"/>
  <c r="F3156" i="4"/>
  <c r="F3155" i="4"/>
  <c r="F3154" i="4"/>
  <c r="F3153" i="4"/>
  <c r="F3152" i="4"/>
  <c r="F3151" i="4"/>
  <c r="F3150" i="4"/>
  <c r="F3149" i="4"/>
  <c r="F3148" i="4"/>
  <c r="F3147" i="4"/>
  <c r="F3146" i="4"/>
  <c r="F3145" i="4"/>
  <c r="F3144" i="4"/>
  <c r="F3143" i="4"/>
  <c r="F3142" i="4"/>
  <c r="F3141" i="4"/>
  <c r="F3140" i="4"/>
  <c r="F3139" i="4"/>
  <c r="F3138" i="4"/>
  <c r="F3137" i="4"/>
  <c r="F3136" i="4"/>
  <c r="F3135" i="4"/>
  <c r="F3134" i="4"/>
  <c r="F3133" i="4"/>
  <c r="F3132" i="4"/>
  <c r="F3131" i="4"/>
  <c r="F3130" i="4"/>
  <c r="F3129" i="4"/>
  <c r="F3128" i="4"/>
  <c r="F3127" i="4"/>
  <c r="F3126" i="4"/>
  <c r="F3125" i="4"/>
  <c r="F3124" i="4"/>
  <c r="F3123" i="4"/>
  <c r="F3122" i="4"/>
  <c r="F3121" i="4"/>
  <c r="F3120" i="4"/>
  <c r="F3119" i="4"/>
  <c r="F3118" i="4"/>
  <c r="F3117" i="4"/>
  <c r="F3116" i="4"/>
  <c r="F3115" i="4"/>
  <c r="F3114" i="4"/>
  <c r="F3113" i="4"/>
  <c r="F3112" i="4"/>
  <c r="F3111" i="4"/>
  <c r="F3110" i="4"/>
  <c r="F3109" i="4"/>
  <c r="F3108" i="4"/>
  <c r="F3107" i="4"/>
  <c r="F3106" i="4"/>
  <c r="F3105" i="4"/>
  <c r="F3104" i="4"/>
  <c r="F3103" i="4"/>
  <c r="F3102" i="4"/>
  <c r="F3101" i="4"/>
  <c r="F3100" i="4"/>
  <c r="F3099" i="4"/>
  <c r="F3098" i="4"/>
  <c r="F3097" i="4"/>
  <c r="F3096" i="4"/>
  <c r="F3095" i="4"/>
  <c r="F3094" i="4"/>
  <c r="F3093" i="4"/>
  <c r="F3092" i="4"/>
  <c r="F3091" i="4"/>
  <c r="F3090" i="4"/>
  <c r="F3089" i="4"/>
  <c r="F3088" i="4"/>
  <c r="F3087" i="4"/>
  <c r="F3086" i="4"/>
  <c r="F3085" i="4"/>
  <c r="F3084" i="4"/>
  <c r="F3083" i="4"/>
  <c r="F3082" i="4"/>
  <c r="F3081" i="4"/>
  <c r="F3080" i="4"/>
  <c r="F3079" i="4"/>
  <c r="F3078" i="4"/>
  <c r="F3077" i="4"/>
  <c r="F3076" i="4"/>
  <c r="F3075" i="4"/>
  <c r="F3074" i="4"/>
  <c r="F3073" i="4"/>
  <c r="F3072" i="4"/>
  <c r="F3071" i="4"/>
  <c r="F3070" i="4"/>
  <c r="F3069" i="4"/>
  <c r="F3068" i="4"/>
  <c r="F3067" i="4"/>
  <c r="F3066" i="4"/>
  <c r="F3065" i="4"/>
  <c r="F3064" i="4"/>
  <c r="F3063" i="4"/>
  <c r="F3062" i="4"/>
  <c r="F3061" i="4"/>
  <c r="F3060" i="4"/>
  <c r="F3059" i="4"/>
  <c r="F3058" i="4"/>
  <c r="F3057" i="4"/>
  <c r="F3056" i="4"/>
  <c r="F3055" i="4"/>
  <c r="F3054" i="4"/>
  <c r="F3053" i="4"/>
  <c r="F3052" i="4"/>
  <c r="F3051" i="4"/>
  <c r="F3050" i="4"/>
  <c r="F3049" i="4"/>
  <c r="F3048" i="4"/>
  <c r="F3047" i="4"/>
  <c r="F3046" i="4"/>
  <c r="F3045" i="4"/>
  <c r="F3044" i="4"/>
  <c r="F3043" i="4"/>
  <c r="F3042" i="4"/>
  <c r="F3041" i="4"/>
  <c r="F3040" i="4"/>
  <c r="F3039" i="4"/>
  <c r="F3038" i="4"/>
  <c r="F3037" i="4"/>
  <c r="F3036" i="4"/>
  <c r="F3035" i="4"/>
  <c r="F3034" i="4"/>
  <c r="F3033" i="4"/>
  <c r="F3032" i="4"/>
  <c r="F3031" i="4"/>
  <c r="F3030" i="4"/>
  <c r="F3029" i="4"/>
  <c r="F3028" i="4"/>
  <c r="F3027" i="4"/>
  <c r="F3026" i="4"/>
  <c r="F3025" i="4"/>
  <c r="F3024" i="4"/>
  <c r="F3023" i="4"/>
  <c r="F3022" i="4"/>
  <c r="F3021" i="4"/>
  <c r="F3020" i="4"/>
  <c r="F3019" i="4"/>
  <c r="F3018" i="4"/>
  <c r="F3017" i="4"/>
  <c r="F3016" i="4"/>
  <c r="F3015" i="4"/>
  <c r="F3014" i="4"/>
  <c r="F3013" i="4"/>
  <c r="F3012" i="4"/>
  <c r="F3011" i="4"/>
  <c r="F3010" i="4"/>
  <c r="F3009" i="4"/>
  <c r="F3008" i="4"/>
  <c r="F3007" i="4"/>
  <c r="F3006" i="4"/>
  <c r="F3005" i="4"/>
  <c r="F3004" i="4"/>
  <c r="F3003" i="4"/>
  <c r="F3002" i="4"/>
  <c r="F3001" i="4"/>
  <c r="F3000" i="4"/>
  <c r="F2999" i="4"/>
  <c r="F2998" i="4"/>
  <c r="F2997" i="4"/>
  <c r="F2996" i="4"/>
  <c r="F2995" i="4"/>
  <c r="F2994" i="4"/>
  <c r="F2993" i="4"/>
  <c r="F2992" i="4"/>
  <c r="F2991" i="4"/>
  <c r="F2990" i="4"/>
  <c r="F2989" i="4"/>
  <c r="F2988" i="4"/>
  <c r="F2987" i="4"/>
  <c r="F2986" i="4"/>
  <c r="F2985" i="4"/>
  <c r="F2984" i="4"/>
  <c r="F2983" i="4"/>
  <c r="F2982" i="4"/>
  <c r="F2981" i="4"/>
  <c r="F2980" i="4"/>
  <c r="F2979" i="4"/>
  <c r="F2978" i="4"/>
  <c r="F2977" i="4"/>
  <c r="F2976" i="4"/>
  <c r="F2975" i="4"/>
  <c r="F2974" i="4"/>
  <c r="F2973" i="4"/>
  <c r="F2972" i="4"/>
  <c r="F2971" i="4"/>
  <c r="F2970" i="4"/>
  <c r="F2969" i="4"/>
  <c r="F2968" i="4"/>
  <c r="F2967" i="4"/>
  <c r="F2966" i="4"/>
  <c r="F2965" i="4"/>
  <c r="F2964" i="4"/>
  <c r="F2963" i="4"/>
  <c r="F2962" i="4"/>
  <c r="F2961" i="4"/>
  <c r="F2960" i="4"/>
  <c r="F2959" i="4"/>
  <c r="F2958" i="4"/>
  <c r="F2957" i="4"/>
  <c r="F2956" i="4"/>
  <c r="F2955" i="4"/>
  <c r="F2954" i="4"/>
  <c r="F2953" i="4"/>
  <c r="F2952" i="4"/>
  <c r="F2951" i="4"/>
  <c r="F2950" i="4"/>
  <c r="F2949" i="4"/>
  <c r="F2948" i="4"/>
  <c r="F2947" i="4"/>
  <c r="F2946" i="4"/>
  <c r="F2945" i="4"/>
  <c r="F2944" i="4"/>
  <c r="F2943" i="4"/>
  <c r="F2942" i="4"/>
  <c r="F2941" i="4"/>
  <c r="F2940" i="4"/>
  <c r="F2939" i="4"/>
  <c r="F2938" i="4"/>
  <c r="F2937" i="4"/>
  <c r="F2936" i="4"/>
  <c r="F2935" i="4"/>
  <c r="F2934" i="4"/>
  <c r="F2933" i="4"/>
  <c r="F2932" i="4"/>
  <c r="F2931" i="4"/>
  <c r="F2930" i="4"/>
  <c r="F2929" i="4"/>
  <c r="F2928" i="4"/>
  <c r="F2927" i="4"/>
  <c r="F2926" i="4"/>
  <c r="F2925" i="4"/>
  <c r="F2924" i="4"/>
  <c r="F2923" i="4"/>
  <c r="F2922" i="4"/>
  <c r="F2921" i="4"/>
  <c r="F2920" i="4"/>
  <c r="F2919" i="4"/>
  <c r="F2918" i="4"/>
  <c r="F2917" i="4"/>
  <c r="F2916" i="4"/>
  <c r="F2915" i="4"/>
  <c r="F2914" i="4"/>
  <c r="F2913" i="4"/>
  <c r="F2912" i="4"/>
  <c r="F2911" i="4"/>
  <c r="F2910" i="4"/>
  <c r="F2909" i="4"/>
  <c r="F2908" i="4"/>
  <c r="F2907" i="4"/>
  <c r="F2906" i="4"/>
  <c r="F2905" i="4"/>
  <c r="F2904" i="4"/>
  <c r="F2903" i="4"/>
  <c r="F2902" i="4"/>
  <c r="F2901" i="4"/>
  <c r="F2900" i="4"/>
  <c r="F2899" i="4"/>
  <c r="F2898" i="4"/>
  <c r="F2897" i="4"/>
  <c r="F2896" i="4"/>
  <c r="F2895" i="4"/>
  <c r="F2894" i="4"/>
  <c r="F2893" i="4"/>
  <c r="F2892" i="4"/>
  <c r="F2891" i="4"/>
  <c r="F2890" i="4"/>
  <c r="F2889" i="4"/>
  <c r="F2888" i="4"/>
  <c r="F2887" i="4"/>
  <c r="F2886" i="4"/>
  <c r="F2885" i="4"/>
  <c r="F2884" i="4"/>
  <c r="F2883" i="4"/>
  <c r="F2882" i="4"/>
  <c r="F2881" i="4"/>
  <c r="F2880" i="4"/>
  <c r="F2879" i="4"/>
  <c r="F2878" i="4"/>
  <c r="F2877" i="4"/>
  <c r="F2876" i="4"/>
  <c r="F2875" i="4"/>
  <c r="F2874" i="4"/>
  <c r="F2873" i="4"/>
  <c r="F2872" i="4"/>
  <c r="F2871" i="4"/>
  <c r="F2870" i="4"/>
  <c r="F2869" i="4"/>
  <c r="F2868" i="4"/>
  <c r="F2867" i="4"/>
  <c r="F2866" i="4"/>
  <c r="F2865" i="4"/>
  <c r="F2864" i="4"/>
  <c r="F2863" i="4"/>
  <c r="F2862" i="4"/>
  <c r="F2861" i="4"/>
  <c r="F2860" i="4"/>
  <c r="F2859" i="4"/>
  <c r="F2858" i="4"/>
  <c r="F2857" i="4"/>
  <c r="F2856" i="4"/>
  <c r="F2855" i="4"/>
  <c r="F2854" i="4"/>
  <c r="F2853" i="4"/>
  <c r="F2852" i="4"/>
  <c r="F2851" i="4"/>
  <c r="F2850" i="4"/>
  <c r="F2849" i="4"/>
  <c r="F2848" i="4"/>
  <c r="F2847" i="4"/>
  <c r="F2846" i="4"/>
  <c r="F2845" i="4"/>
  <c r="F2844" i="4"/>
  <c r="F2843" i="4"/>
  <c r="F2842" i="4"/>
  <c r="F2841" i="4"/>
  <c r="F2840" i="4"/>
  <c r="F2839" i="4"/>
  <c r="F2838" i="4"/>
  <c r="F2837" i="4"/>
  <c r="F2836" i="4"/>
  <c r="F2835" i="4"/>
  <c r="F2834" i="4"/>
  <c r="F2833" i="4"/>
  <c r="F2832" i="4"/>
  <c r="F2831" i="4"/>
  <c r="F2830" i="4"/>
  <c r="F2829" i="4"/>
  <c r="F2828" i="4"/>
  <c r="F2827" i="4"/>
  <c r="F2826" i="4"/>
  <c r="F2825" i="4"/>
  <c r="F2824" i="4"/>
  <c r="F2823" i="4"/>
  <c r="F2822" i="4"/>
  <c r="F2821" i="4"/>
  <c r="F2820" i="4"/>
  <c r="F2819" i="4"/>
  <c r="F2818" i="4"/>
  <c r="F2817" i="4"/>
  <c r="F2816" i="4"/>
  <c r="F2815" i="4"/>
  <c r="F2814" i="4"/>
  <c r="F2813" i="4"/>
  <c r="F2812" i="4"/>
  <c r="F2811" i="4"/>
  <c r="F2810" i="4"/>
  <c r="F2809" i="4"/>
  <c r="F2808" i="4"/>
  <c r="F2807" i="4"/>
  <c r="F2806" i="4"/>
  <c r="F2805" i="4"/>
  <c r="F2804" i="4"/>
  <c r="F2803" i="4"/>
  <c r="F2802" i="4"/>
  <c r="F2801" i="4"/>
  <c r="F2800" i="4"/>
  <c r="F2799" i="4"/>
  <c r="F2798" i="4"/>
  <c r="F2797" i="4"/>
  <c r="F2796" i="4"/>
  <c r="F2795" i="4"/>
  <c r="F2794" i="4"/>
  <c r="F2793" i="4"/>
  <c r="F2792" i="4"/>
  <c r="F2791" i="4"/>
  <c r="F2790" i="4"/>
  <c r="F2789" i="4"/>
  <c r="F2788" i="4"/>
  <c r="F2787" i="4"/>
  <c r="F2786" i="4"/>
  <c r="F2785" i="4"/>
  <c r="F2784" i="4"/>
  <c r="F2783" i="4"/>
  <c r="F2782" i="4"/>
  <c r="F2781" i="4"/>
  <c r="F2780" i="4"/>
  <c r="F2779" i="4"/>
  <c r="F2778" i="4"/>
  <c r="F2777" i="4"/>
  <c r="F2776" i="4"/>
  <c r="F2775" i="4"/>
  <c r="F2774" i="4"/>
  <c r="F2773" i="4"/>
  <c r="F2772" i="4"/>
  <c r="F2771" i="4"/>
  <c r="F2770" i="4"/>
  <c r="F2769" i="4"/>
  <c r="F2768" i="4"/>
  <c r="F2767" i="4"/>
  <c r="F2766" i="4"/>
  <c r="F2765" i="4"/>
  <c r="F2764" i="4"/>
  <c r="F2763" i="4"/>
  <c r="F2762" i="4"/>
  <c r="F2761" i="4"/>
  <c r="F2760" i="4"/>
  <c r="F2759" i="4"/>
  <c r="F2758" i="4"/>
  <c r="F2757" i="4"/>
  <c r="F2756" i="4"/>
  <c r="F2755" i="4"/>
  <c r="F2754" i="4"/>
  <c r="F2753" i="4"/>
  <c r="F2752" i="4"/>
  <c r="F2751" i="4"/>
  <c r="F2750" i="4"/>
  <c r="F2749" i="4"/>
  <c r="F2748" i="4"/>
  <c r="F2747" i="4"/>
  <c r="F2746" i="4"/>
  <c r="F2745" i="4"/>
  <c r="F2744" i="4"/>
  <c r="F2743" i="4"/>
  <c r="F2742" i="4"/>
  <c r="F2741" i="4"/>
  <c r="F2740" i="4"/>
  <c r="F2739" i="4"/>
  <c r="F2738" i="4"/>
  <c r="F2737" i="4"/>
  <c r="F2736" i="4"/>
  <c r="F2735" i="4"/>
  <c r="F2734" i="4"/>
  <c r="F2733" i="4"/>
  <c r="F2732" i="4"/>
  <c r="F2731" i="4"/>
  <c r="F2730" i="4"/>
  <c r="F2729" i="4"/>
  <c r="F2728" i="4"/>
  <c r="F2727" i="4"/>
  <c r="F2726" i="4"/>
  <c r="F2725" i="4"/>
  <c r="F2724" i="4"/>
  <c r="F2723" i="4"/>
  <c r="F2722" i="4"/>
  <c r="F2721" i="4"/>
  <c r="F2720" i="4"/>
  <c r="F2719" i="4"/>
  <c r="F2718" i="4"/>
  <c r="F2717" i="4"/>
  <c r="F2716" i="4"/>
  <c r="F2715" i="4"/>
  <c r="F2714" i="4"/>
  <c r="F2713" i="4"/>
  <c r="F2712" i="4"/>
  <c r="F2711" i="4"/>
  <c r="F2710" i="4"/>
  <c r="F2709" i="4"/>
  <c r="F2708" i="4"/>
  <c r="F2707" i="4"/>
  <c r="F2706" i="4"/>
  <c r="F2705" i="4"/>
  <c r="F2704" i="4"/>
  <c r="F2703" i="4"/>
  <c r="F2702" i="4"/>
  <c r="F2701" i="4"/>
  <c r="F2700" i="4"/>
  <c r="F2699" i="4"/>
  <c r="F2698" i="4"/>
  <c r="F2697" i="4"/>
  <c r="F2696" i="4"/>
  <c r="F2695" i="4"/>
  <c r="F2694" i="4"/>
  <c r="F2693" i="4"/>
  <c r="F2692" i="4"/>
  <c r="F2691" i="4"/>
  <c r="F2690" i="4"/>
  <c r="F2689" i="4"/>
  <c r="F2688" i="4"/>
  <c r="F2687" i="4"/>
  <c r="F2686" i="4"/>
  <c r="F2685" i="4"/>
  <c r="F2684" i="4"/>
  <c r="F2683" i="4"/>
  <c r="F2682" i="4"/>
  <c r="F2681" i="4"/>
  <c r="F2680" i="4"/>
  <c r="F2679" i="4"/>
  <c r="F2678" i="4"/>
  <c r="F2677" i="4"/>
  <c r="F2676" i="4"/>
  <c r="F2675" i="4"/>
  <c r="F2674" i="4"/>
  <c r="F2673" i="4"/>
  <c r="F2672" i="4"/>
  <c r="F2671" i="4"/>
  <c r="F2670" i="4"/>
  <c r="F2669" i="4"/>
  <c r="F2668" i="4"/>
  <c r="F2667" i="4"/>
  <c r="F2666" i="4"/>
  <c r="F2665" i="4"/>
  <c r="F2664" i="4"/>
  <c r="F2663" i="4"/>
  <c r="F2662" i="4"/>
  <c r="F2661" i="4"/>
  <c r="F2660" i="4"/>
  <c r="F2659" i="4"/>
  <c r="F2658" i="4"/>
  <c r="F2657" i="4"/>
  <c r="F2656" i="4"/>
  <c r="F2655" i="4"/>
  <c r="F2654" i="4"/>
  <c r="F2653" i="4"/>
  <c r="F2652" i="4"/>
  <c r="F2651" i="4"/>
  <c r="F2650" i="4"/>
  <c r="F2649" i="4"/>
  <c r="F2648" i="4"/>
  <c r="F2647" i="4"/>
  <c r="F2646" i="4"/>
  <c r="F2645" i="4"/>
  <c r="F2644" i="4"/>
  <c r="F2643" i="4"/>
  <c r="F2642" i="4"/>
  <c r="F2641" i="4"/>
  <c r="F2640" i="4"/>
  <c r="F2639" i="4"/>
  <c r="F2638" i="4"/>
  <c r="F2637" i="4"/>
  <c r="F2636" i="4"/>
  <c r="F2635" i="4"/>
  <c r="F2634" i="4"/>
  <c r="F2633" i="4"/>
  <c r="F2632" i="4"/>
  <c r="F2631" i="4"/>
  <c r="F2630" i="4"/>
  <c r="F2629" i="4"/>
  <c r="F2628" i="4"/>
  <c r="F2627" i="4"/>
  <c r="F2626" i="4"/>
  <c r="F2625" i="4"/>
  <c r="F2624" i="4"/>
  <c r="F2623" i="4"/>
  <c r="F2622" i="4"/>
  <c r="F2621" i="4"/>
  <c r="F2620" i="4"/>
  <c r="F2619" i="4"/>
  <c r="F2618" i="4"/>
  <c r="F2617" i="4"/>
  <c r="F2616" i="4"/>
  <c r="F2615" i="4"/>
  <c r="F2614" i="4"/>
  <c r="F2613" i="4"/>
  <c r="F2612" i="4"/>
  <c r="F2611" i="4"/>
  <c r="F2610" i="4"/>
  <c r="F2609" i="4"/>
  <c r="F2608" i="4"/>
  <c r="F2607" i="4"/>
  <c r="F2606" i="4"/>
  <c r="F2605" i="4"/>
  <c r="F2604" i="4"/>
  <c r="F2603" i="4"/>
  <c r="F2602" i="4"/>
  <c r="F2601" i="4"/>
  <c r="F2600" i="4"/>
  <c r="F2599" i="4"/>
  <c r="F2598" i="4"/>
  <c r="F2597" i="4"/>
  <c r="F2596" i="4"/>
  <c r="F2595" i="4"/>
  <c r="F2594" i="4"/>
  <c r="F2593" i="4"/>
  <c r="F2592" i="4"/>
  <c r="F2591" i="4"/>
  <c r="F2590" i="4"/>
  <c r="F2589" i="4"/>
  <c r="F2588" i="4"/>
  <c r="F2587" i="4"/>
  <c r="F2586" i="4"/>
  <c r="F2585" i="4"/>
  <c r="F2584" i="4"/>
  <c r="F2583" i="4"/>
  <c r="F2582" i="4"/>
  <c r="F2581" i="4"/>
  <c r="F2580" i="4"/>
  <c r="F2579" i="4"/>
  <c r="F2578" i="4"/>
  <c r="F2577" i="4"/>
  <c r="F2576" i="4"/>
  <c r="F2575" i="4"/>
  <c r="F2574" i="4"/>
  <c r="F2573" i="4"/>
  <c r="F2572" i="4"/>
  <c r="F2571" i="4"/>
  <c r="F2570" i="4"/>
  <c r="F2569" i="4"/>
  <c r="F2568" i="4"/>
  <c r="F2567" i="4"/>
  <c r="F2566" i="4"/>
  <c r="F2565" i="4"/>
  <c r="F2564" i="4"/>
  <c r="F2563" i="4"/>
  <c r="F2562" i="4"/>
  <c r="F2561" i="4"/>
  <c r="F2560" i="4"/>
  <c r="F2559" i="4"/>
  <c r="F2558" i="4"/>
  <c r="F2557" i="4"/>
  <c r="F2556" i="4"/>
  <c r="F2555" i="4"/>
  <c r="F2554" i="4"/>
  <c r="F2553" i="4"/>
  <c r="F2552" i="4"/>
  <c r="F2551" i="4"/>
  <c r="F2550" i="4"/>
  <c r="F2549" i="4"/>
  <c r="F2548" i="4"/>
  <c r="F2547" i="4"/>
  <c r="F2546" i="4"/>
  <c r="F2545" i="4"/>
  <c r="F2544" i="4"/>
  <c r="F2543" i="4"/>
  <c r="F2542" i="4"/>
  <c r="F2541" i="4"/>
  <c r="F2540" i="4"/>
  <c r="F2539" i="4"/>
  <c r="F2538" i="4"/>
  <c r="F2537" i="4"/>
  <c r="F2536" i="4"/>
  <c r="F2535" i="4"/>
  <c r="F2534" i="4"/>
  <c r="F2533" i="4"/>
  <c r="F2532" i="4"/>
  <c r="F2531" i="4"/>
  <c r="F2530" i="4"/>
  <c r="F2529" i="4"/>
  <c r="F2528" i="4"/>
  <c r="F2527" i="4"/>
  <c r="F2526" i="4"/>
  <c r="F2525" i="4"/>
  <c r="F2524" i="4"/>
  <c r="F2523" i="4"/>
  <c r="F2522" i="4"/>
  <c r="F2521" i="4"/>
  <c r="F2520" i="4"/>
  <c r="F2519" i="4"/>
  <c r="F2518" i="4"/>
  <c r="F2517" i="4"/>
  <c r="F2516" i="4"/>
  <c r="F2515" i="4"/>
  <c r="F2514" i="4"/>
  <c r="F2513" i="4"/>
  <c r="F2512" i="4"/>
  <c r="F2511" i="4"/>
  <c r="F2510" i="4"/>
  <c r="F2509" i="4"/>
  <c r="F2508" i="4"/>
  <c r="F2507" i="4"/>
  <c r="F2506" i="4"/>
  <c r="F2505" i="4"/>
  <c r="F2504" i="4"/>
  <c r="F2503" i="4"/>
  <c r="F2502" i="4"/>
  <c r="F2501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N6" i="4" s="1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L6" i="4" s="1"/>
  <c r="F344" i="4"/>
  <c r="F343" i="4"/>
  <c r="F342" i="4"/>
  <c r="F341" i="4"/>
  <c r="F340" i="4"/>
  <c r="O6" i="4" s="1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P6" i="4" s="1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L5" i="4" s="1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N5" i="4" s="1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O5" i="4" s="1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P5" i="4" s="1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J5" i="4" s="1"/>
  <c r="K6" i="4" s="1" a="1"/>
  <c r="K6" i="4" s="1"/>
  <c r="F98" i="4"/>
  <c r="F97" i="4"/>
  <c r="F96" i="4"/>
  <c r="F95" i="4"/>
  <c r="F94" i="4"/>
  <c r="F93" i="4"/>
  <c r="F92" i="4"/>
  <c r="L4" i="4" s="1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O4" i="4" s="1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N4" i="4" s="1"/>
  <c r="Q15" i="4"/>
  <c r="P15" i="4"/>
  <c r="O15" i="4"/>
  <c r="N15" i="4"/>
  <c r="M15" i="4"/>
  <c r="L15" i="4"/>
  <c r="J15" i="4"/>
  <c r="F15" i="4"/>
  <c r="Q14" i="4"/>
  <c r="P14" i="4"/>
  <c r="O14" i="4"/>
  <c r="N14" i="4"/>
  <c r="M14" i="4"/>
  <c r="L14" i="4"/>
  <c r="J14" i="4"/>
  <c r="K15" i="4" s="1" a="1"/>
  <c r="K15" i="4" s="1"/>
  <c r="F14" i="4"/>
  <c r="Q13" i="4"/>
  <c r="P13" i="4"/>
  <c r="O13" i="4"/>
  <c r="N13" i="4"/>
  <c r="M13" i="4"/>
  <c r="L13" i="4"/>
  <c r="J13" i="4"/>
  <c r="K14" i="4" s="1" a="1"/>
  <c r="K14" i="4" s="1"/>
  <c r="F13" i="4"/>
  <c r="Q12" i="4"/>
  <c r="P12" i="4"/>
  <c r="O12" i="4"/>
  <c r="N12" i="4"/>
  <c r="M12" i="4"/>
  <c r="L12" i="4"/>
  <c r="J12" i="4"/>
  <c r="K13" i="4" s="1" a="1"/>
  <c r="K13" i="4" s="1"/>
  <c r="F12" i="4"/>
  <c r="Q11" i="4"/>
  <c r="P11" i="4"/>
  <c r="O11" i="4"/>
  <c r="N11" i="4"/>
  <c r="M11" i="4"/>
  <c r="L11" i="4"/>
  <c r="J11" i="4"/>
  <c r="K12" i="4" s="1" a="1"/>
  <c r="K12" i="4" s="1"/>
  <c r="F11" i="4"/>
  <c r="Q10" i="4"/>
  <c r="P10" i="4"/>
  <c r="O10" i="4"/>
  <c r="N10" i="4"/>
  <c r="M10" i="4"/>
  <c r="L10" i="4"/>
  <c r="J10" i="4"/>
  <c r="K11" i="4" s="1" a="1"/>
  <c r="K11" i="4" s="1"/>
  <c r="F10" i="4"/>
  <c r="Q9" i="4"/>
  <c r="P9" i="4"/>
  <c r="O9" i="4"/>
  <c r="N9" i="4"/>
  <c r="M9" i="4"/>
  <c r="L9" i="4"/>
  <c r="J9" i="4"/>
  <c r="K10" i="4" s="1" a="1"/>
  <c r="K10" i="4" s="1"/>
  <c r="F9" i="4"/>
  <c r="Q8" i="4"/>
  <c r="P8" i="4"/>
  <c r="O8" i="4"/>
  <c r="N8" i="4"/>
  <c r="M8" i="4"/>
  <c r="L8" i="4"/>
  <c r="J8" i="4"/>
  <c r="K9" i="4" s="1" a="1"/>
  <c r="K9" i="4" s="1"/>
  <c r="F8" i="4"/>
  <c r="Q7" i="4"/>
  <c r="P7" i="4"/>
  <c r="O7" i="4"/>
  <c r="N7" i="4"/>
  <c r="M7" i="4"/>
  <c r="L7" i="4"/>
  <c r="J7" i="4"/>
  <c r="K8" i="4" s="1" a="1"/>
  <c r="K8" i="4" s="1"/>
  <c r="F7" i="4"/>
  <c r="Q6" i="4"/>
  <c r="M6" i="4"/>
  <c r="F6" i="4"/>
  <c r="Q5" i="4"/>
  <c r="M5" i="4"/>
  <c r="F5" i="4"/>
  <c r="Q4" i="4"/>
  <c r="M4" i="4"/>
  <c r="K4" i="4" a="1"/>
  <c r="K4" i="4" s="1"/>
  <c r="F4" i="4"/>
  <c r="F3" i="4"/>
  <c r="F2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Q9" i="2"/>
  <c r="Q10" i="2"/>
  <c r="Q11" i="2"/>
  <c r="Q12" i="2"/>
  <c r="Q13" i="2"/>
  <c r="Q14" i="2"/>
  <c r="Q15" i="2"/>
  <c r="P9" i="2"/>
  <c r="P10" i="2"/>
  <c r="P11" i="2"/>
  <c r="P12" i="2"/>
  <c r="P13" i="2"/>
  <c r="P14" i="2"/>
  <c r="P15" i="2"/>
  <c r="O9" i="2"/>
  <c r="O10" i="2"/>
  <c r="O11" i="2"/>
  <c r="O12" i="2"/>
  <c r="O13" i="2"/>
  <c r="O14" i="2"/>
  <c r="O15" i="2"/>
  <c r="N9" i="2"/>
  <c r="N10" i="2"/>
  <c r="N11" i="2"/>
  <c r="N12" i="2"/>
  <c r="N13" i="2"/>
  <c r="N14" i="2"/>
  <c r="N15" i="2"/>
  <c r="M5" i="2"/>
  <c r="M6" i="2"/>
  <c r="M7" i="2"/>
  <c r="M8" i="2"/>
  <c r="M9" i="2"/>
  <c r="M10" i="2"/>
  <c r="M11" i="2"/>
  <c r="M12" i="2"/>
  <c r="M13" i="2"/>
  <c r="M14" i="2"/>
  <c r="M15" i="2"/>
  <c r="M4" i="2"/>
  <c r="L9" i="2"/>
  <c r="L10" i="2"/>
  <c r="L11" i="2"/>
  <c r="L12" i="2"/>
  <c r="L13" i="2"/>
  <c r="L14" i="2"/>
  <c r="L15" i="2"/>
  <c r="K4" i="2" a="1"/>
  <c r="K4" i="2" s="1"/>
  <c r="J10" i="2"/>
  <c r="K11" i="2" s="1" a="1"/>
  <c r="K11" i="2" s="1"/>
  <c r="J11" i="2"/>
  <c r="K12" i="2" s="1" a="1"/>
  <c r="K12" i="2" s="1"/>
  <c r="J12" i="2"/>
  <c r="K13" i="2" s="1" a="1"/>
  <c r="K13" i="2" s="1"/>
  <c r="J13" i="2"/>
  <c r="K14" i="2" s="1" a="1"/>
  <c r="K14" i="2" s="1"/>
  <c r="J14" i="2"/>
  <c r="K15" i="2" s="1" a="1"/>
  <c r="K15" i="2" s="1"/>
  <c r="J15" i="2"/>
  <c r="F3320" i="2"/>
  <c r="G3320" i="2" s="1"/>
  <c r="F3319" i="2"/>
  <c r="G3319" i="2" s="1"/>
  <c r="F3318" i="2"/>
  <c r="G3318" i="2" s="1"/>
  <c r="F3317" i="2"/>
  <c r="G3317" i="2" s="1"/>
  <c r="F3316" i="2"/>
  <c r="G3316" i="2" s="1"/>
  <c r="F3315" i="2"/>
  <c r="G3315" i="2" s="1"/>
  <c r="F3314" i="2"/>
  <c r="G3314" i="2" s="1"/>
  <c r="F3313" i="2"/>
  <c r="G3313" i="2" s="1"/>
  <c r="F3312" i="2"/>
  <c r="G3312" i="2" s="1"/>
  <c r="F3311" i="2"/>
  <c r="G3311" i="2" s="1"/>
  <c r="F3310" i="2"/>
  <c r="G3310" i="2" s="1"/>
  <c r="F3309" i="2"/>
  <c r="G3309" i="2" s="1"/>
  <c r="F3308" i="2"/>
  <c r="G3308" i="2" s="1"/>
  <c r="F3307" i="2"/>
  <c r="G3307" i="2" s="1"/>
  <c r="F3306" i="2"/>
  <c r="G3306" i="2" s="1"/>
  <c r="F3305" i="2"/>
  <c r="G3305" i="2" s="1"/>
  <c r="F3304" i="2"/>
  <c r="G3304" i="2" s="1"/>
  <c r="F3303" i="2"/>
  <c r="G3303" i="2" s="1"/>
  <c r="F3302" i="2"/>
  <c r="G3302" i="2" s="1"/>
  <c r="F3301" i="2"/>
  <c r="G3301" i="2" s="1"/>
  <c r="F3300" i="2"/>
  <c r="G3300" i="2" s="1"/>
  <c r="F3299" i="2"/>
  <c r="G3299" i="2" s="1"/>
  <c r="F3298" i="2"/>
  <c r="G3298" i="2" s="1"/>
  <c r="F3297" i="2"/>
  <c r="G3297" i="2" s="1"/>
  <c r="F3296" i="2"/>
  <c r="G3296" i="2" s="1"/>
  <c r="F3295" i="2"/>
  <c r="G3295" i="2" s="1"/>
  <c r="F3294" i="2"/>
  <c r="G3294" i="2" s="1"/>
  <c r="F3293" i="2"/>
  <c r="G3293" i="2" s="1"/>
  <c r="F3292" i="2"/>
  <c r="G3292" i="2" s="1"/>
  <c r="F3291" i="2"/>
  <c r="G3291" i="2" s="1"/>
  <c r="F3290" i="2"/>
  <c r="G3290" i="2" s="1"/>
  <c r="F3289" i="2"/>
  <c r="G3289" i="2" s="1"/>
  <c r="F3288" i="2"/>
  <c r="G3288" i="2" s="1"/>
  <c r="F3287" i="2"/>
  <c r="G3287" i="2" s="1"/>
  <c r="F3286" i="2"/>
  <c r="G3286" i="2" s="1"/>
  <c r="F3285" i="2"/>
  <c r="G3285" i="2" s="1"/>
  <c r="F3284" i="2"/>
  <c r="G3284" i="2" s="1"/>
  <c r="F3283" i="2"/>
  <c r="G3283" i="2" s="1"/>
  <c r="F3282" i="2"/>
  <c r="G3282" i="2" s="1"/>
  <c r="F3281" i="2"/>
  <c r="G3281" i="2" s="1"/>
  <c r="F3280" i="2"/>
  <c r="G3280" i="2" s="1"/>
  <c r="F3279" i="2"/>
  <c r="G3279" i="2" s="1"/>
  <c r="F3278" i="2"/>
  <c r="G3278" i="2" s="1"/>
  <c r="F3277" i="2"/>
  <c r="G3277" i="2" s="1"/>
  <c r="F3276" i="2"/>
  <c r="G3276" i="2" s="1"/>
  <c r="F3275" i="2"/>
  <c r="G3275" i="2" s="1"/>
  <c r="F3274" i="2"/>
  <c r="G3274" i="2" s="1"/>
  <c r="F3273" i="2"/>
  <c r="G3273" i="2" s="1"/>
  <c r="F3272" i="2"/>
  <c r="G3272" i="2" s="1"/>
  <c r="F3271" i="2"/>
  <c r="G3271" i="2" s="1"/>
  <c r="F3270" i="2"/>
  <c r="G3270" i="2" s="1"/>
  <c r="F3269" i="2"/>
  <c r="G3269" i="2" s="1"/>
  <c r="F3268" i="2"/>
  <c r="G3268" i="2" s="1"/>
  <c r="F3267" i="2"/>
  <c r="G3267" i="2" s="1"/>
  <c r="F3266" i="2"/>
  <c r="G3266" i="2" s="1"/>
  <c r="F3265" i="2"/>
  <c r="G3265" i="2" s="1"/>
  <c r="F3264" i="2"/>
  <c r="G3264" i="2" s="1"/>
  <c r="F3263" i="2"/>
  <c r="G3263" i="2" s="1"/>
  <c r="F3262" i="2"/>
  <c r="G3262" i="2" s="1"/>
  <c r="G3261" i="2"/>
  <c r="F3261" i="2"/>
  <c r="F3260" i="2"/>
  <c r="G3260" i="2" s="1"/>
  <c r="F3259" i="2"/>
  <c r="G3259" i="2" s="1"/>
  <c r="F3258" i="2"/>
  <c r="G3258" i="2" s="1"/>
  <c r="F3257" i="2"/>
  <c r="G3257" i="2" s="1"/>
  <c r="F3256" i="2"/>
  <c r="G3256" i="2" s="1"/>
  <c r="F3255" i="2"/>
  <c r="G3255" i="2" s="1"/>
  <c r="F3254" i="2"/>
  <c r="G3254" i="2" s="1"/>
  <c r="F3253" i="2"/>
  <c r="G3253" i="2" s="1"/>
  <c r="F3252" i="2"/>
  <c r="G3252" i="2" s="1"/>
  <c r="F3251" i="2"/>
  <c r="G3251" i="2" s="1"/>
  <c r="F3250" i="2"/>
  <c r="G3250" i="2" s="1"/>
  <c r="F3249" i="2"/>
  <c r="G3249" i="2" s="1"/>
  <c r="F3248" i="2"/>
  <c r="G3248" i="2" s="1"/>
  <c r="F3247" i="2"/>
  <c r="G3247" i="2" s="1"/>
  <c r="F3246" i="2"/>
  <c r="G3246" i="2" s="1"/>
  <c r="F3245" i="2"/>
  <c r="G3245" i="2" s="1"/>
  <c r="F3244" i="2"/>
  <c r="G3244" i="2" s="1"/>
  <c r="F3243" i="2"/>
  <c r="G3243" i="2" s="1"/>
  <c r="F3242" i="2"/>
  <c r="G3242" i="2" s="1"/>
  <c r="F3241" i="2"/>
  <c r="G3241" i="2" s="1"/>
  <c r="F3240" i="2"/>
  <c r="G3240" i="2" s="1"/>
  <c r="F3239" i="2"/>
  <c r="G3239" i="2" s="1"/>
  <c r="F3238" i="2"/>
  <c r="G3238" i="2" s="1"/>
  <c r="F3237" i="2"/>
  <c r="G3237" i="2" s="1"/>
  <c r="F3236" i="2"/>
  <c r="G3236" i="2" s="1"/>
  <c r="F3235" i="2"/>
  <c r="G3235" i="2" s="1"/>
  <c r="F3234" i="2"/>
  <c r="G3234" i="2" s="1"/>
  <c r="F3233" i="2"/>
  <c r="G3233" i="2" s="1"/>
  <c r="F3232" i="2"/>
  <c r="G3232" i="2" s="1"/>
  <c r="F3231" i="2"/>
  <c r="G3231" i="2" s="1"/>
  <c r="F3230" i="2"/>
  <c r="G3230" i="2" s="1"/>
  <c r="F3229" i="2"/>
  <c r="G3229" i="2" s="1"/>
  <c r="F3228" i="2"/>
  <c r="G3228" i="2" s="1"/>
  <c r="F3227" i="2"/>
  <c r="G3227" i="2" s="1"/>
  <c r="F3226" i="2"/>
  <c r="G3226" i="2" s="1"/>
  <c r="F3225" i="2"/>
  <c r="G3225" i="2" s="1"/>
  <c r="F3224" i="2"/>
  <c r="G3224" i="2" s="1"/>
  <c r="F3223" i="2"/>
  <c r="G3223" i="2" s="1"/>
  <c r="F3222" i="2"/>
  <c r="G3222" i="2" s="1"/>
  <c r="G3221" i="2"/>
  <c r="F3221" i="2"/>
  <c r="F3220" i="2"/>
  <c r="G3220" i="2" s="1"/>
  <c r="F3219" i="2"/>
  <c r="G3219" i="2" s="1"/>
  <c r="F3218" i="2"/>
  <c r="G3218" i="2" s="1"/>
  <c r="F3217" i="2"/>
  <c r="G3217" i="2" s="1"/>
  <c r="F3216" i="2"/>
  <c r="G3216" i="2" s="1"/>
  <c r="F3215" i="2"/>
  <c r="G3215" i="2" s="1"/>
  <c r="F3214" i="2"/>
  <c r="G3214" i="2" s="1"/>
  <c r="F3213" i="2"/>
  <c r="G3213" i="2" s="1"/>
  <c r="F3212" i="2"/>
  <c r="G3212" i="2" s="1"/>
  <c r="F3211" i="2"/>
  <c r="G3211" i="2" s="1"/>
  <c r="F3210" i="2"/>
  <c r="G3210" i="2" s="1"/>
  <c r="F3209" i="2"/>
  <c r="G3209" i="2" s="1"/>
  <c r="F3208" i="2"/>
  <c r="G3208" i="2" s="1"/>
  <c r="F3207" i="2"/>
  <c r="G3207" i="2" s="1"/>
  <c r="G3206" i="2"/>
  <c r="F3206" i="2"/>
  <c r="F3205" i="2"/>
  <c r="G3205" i="2" s="1"/>
  <c r="F3204" i="2"/>
  <c r="G3204" i="2" s="1"/>
  <c r="F3203" i="2"/>
  <c r="G3203" i="2" s="1"/>
  <c r="F3202" i="2"/>
  <c r="G3202" i="2" s="1"/>
  <c r="F3201" i="2"/>
  <c r="G3201" i="2" s="1"/>
  <c r="F3200" i="2"/>
  <c r="G3200" i="2" s="1"/>
  <c r="F3199" i="2"/>
  <c r="G3199" i="2" s="1"/>
  <c r="F3198" i="2"/>
  <c r="G3198" i="2" s="1"/>
  <c r="F3197" i="2"/>
  <c r="G3197" i="2" s="1"/>
  <c r="F3196" i="2"/>
  <c r="G3196" i="2" s="1"/>
  <c r="F3195" i="2"/>
  <c r="G3195" i="2" s="1"/>
  <c r="F3194" i="2"/>
  <c r="G3194" i="2" s="1"/>
  <c r="F3193" i="2"/>
  <c r="G3193" i="2" s="1"/>
  <c r="F3192" i="2"/>
  <c r="G3192" i="2" s="1"/>
  <c r="F3191" i="2"/>
  <c r="G3191" i="2" s="1"/>
  <c r="F3190" i="2"/>
  <c r="G3190" i="2" s="1"/>
  <c r="F3189" i="2"/>
  <c r="G3189" i="2" s="1"/>
  <c r="F3188" i="2"/>
  <c r="G3188" i="2" s="1"/>
  <c r="F3187" i="2"/>
  <c r="G3187" i="2" s="1"/>
  <c r="G3186" i="2"/>
  <c r="F3186" i="2"/>
  <c r="G3185" i="2"/>
  <c r="F3185" i="2"/>
  <c r="F3184" i="2"/>
  <c r="G3184" i="2" s="1"/>
  <c r="F3183" i="2"/>
  <c r="G3183" i="2" s="1"/>
  <c r="G3182" i="2"/>
  <c r="F3182" i="2"/>
  <c r="F3181" i="2"/>
  <c r="G3181" i="2" s="1"/>
  <c r="F3180" i="2"/>
  <c r="G3180" i="2" s="1"/>
  <c r="F3179" i="2"/>
  <c r="G3179" i="2" s="1"/>
  <c r="F3178" i="2"/>
  <c r="G3178" i="2" s="1"/>
  <c r="F3177" i="2"/>
  <c r="G3177" i="2" s="1"/>
  <c r="F3176" i="2"/>
  <c r="G3176" i="2" s="1"/>
  <c r="F3175" i="2"/>
  <c r="G3175" i="2" s="1"/>
  <c r="F3174" i="2"/>
  <c r="G3174" i="2" s="1"/>
  <c r="F3173" i="2"/>
  <c r="G3173" i="2" s="1"/>
  <c r="F3172" i="2"/>
  <c r="G3172" i="2" s="1"/>
  <c r="F3171" i="2"/>
  <c r="G3171" i="2" s="1"/>
  <c r="F3170" i="2"/>
  <c r="G3170" i="2" s="1"/>
  <c r="F3169" i="2"/>
  <c r="G3169" i="2" s="1"/>
  <c r="F3168" i="2"/>
  <c r="G3168" i="2" s="1"/>
  <c r="F3167" i="2"/>
  <c r="G3167" i="2" s="1"/>
  <c r="F3166" i="2"/>
  <c r="G3166" i="2" s="1"/>
  <c r="F3165" i="2"/>
  <c r="G3165" i="2" s="1"/>
  <c r="F3164" i="2"/>
  <c r="G3164" i="2" s="1"/>
  <c r="F3163" i="2"/>
  <c r="G3163" i="2" s="1"/>
  <c r="F3162" i="2"/>
  <c r="G3162" i="2" s="1"/>
  <c r="F3161" i="2"/>
  <c r="G3161" i="2" s="1"/>
  <c r="F3160" i="2"/>
  <c r="G3160" i="2" s="1"/>
  <c r="F3159" i="2"/>
  <c r="G3159" i="2" s="1"/>
  <c r="G3158" i="2"/>
  <c r="F3158" i="2"/>
  <c r="F3157" i="2"/>
  <c r="G3157" i="2" s="1"/>
  <c r="F3156" i="2"/>
  <c r="G3156" i="2" s="1"/>
  <c r="F3155" i="2"/>
  <c r="G3155" i="2" s="1"/>
  <c r="F3154" i="2"/>
  <c r="G3154" i="2" s="1"/>
  <c r="F3153" i="2"/>
  <c r="G3153" i="2" s="1"/>
  <c r="F3152" i="2"/>
  <c r="G3152" i="2" s="1"/>
  <c r="F3151" i="2"/>
  <c r="G3151" i="2" s="1"/>
  <c r="F3150" i="2"/>
  <c r="G3150" i="2" s="1"/>
  <c r="F3149" i="2"/>
  <c r="G3149" i="2" s="1"/>
  <c r="F3148" i="2"/>
  <c r="G3148" i="2" s="1"/>
  <c r="F3147" i="2"/>
  <c r="G3147" i="2" s="1"/>
  <c r="F3146" i="2"/>
  <c r="G3146" i="2" s="1"/>
  <c r="F3145" i="2"/>
  <c r="G3145" i="2" s="1"/>
  <c r="F3144" i="2"/>
  <c r="G3144" i="2" s="1"/>
  <c r="F3143" i="2"/>
  <c r="G3143" i="2" s="1"/>
  <c r="F3142" i="2"/>
  <c r="G3142" i="2" s="1"/>
  <c r="F3141" i="2"/>
  <c r="G3141" i="2" s="1"/>
  <c r="F3140" i="2"/>
  <c r="G3140" i="2" s="1"/>
  <c r="F3139" i="2"/>
  <c r="G3139" i="2" s="1"/>
  <c r="F3138" i="2"/>
  <c r="G3138" i="2" s="1"/>
  <c r="F3137" i="2"/>
  <c r="G3137" i="2" s="1"/>
  <c r="F3136" i="2"/>
  <c r="G3136" i="2" s="1"/>
  <c r="F3135" i="2"/>
  <c r="G3135" i="2" s="1"/>
  <c r="F3134" i="2"/>
  <c r="G3134" i="2" s="1"/>
  <c r="F3133" i="2"/>
  <c r="G3133" i="2" s="1"/>
  <c r="F3132" i="2"/>
  <c r="G3132" i="2" s="1"/>
  <c r="F3131" i="2"/>
  <c r="G3131" i="2" s="1"/>
  <c r="F3130" i="2"/>
  <c r="G3130" i="2" s="1"/>
  <c r="F3129" i="2"/>
  <c r="G3129" i="2" s="1"/>
  <c r="F3128" i="2"/>
  <c r="G3128" i="2" s="1"/>
  <c r="F3127" i="2"/>
  <c r="G3127" i="2" s="1"/>
  <c r="F3126" i="2"/>
  <c r="G3126" i="2" s="1"/>
  <c r="F3125" i="2"/>
  <c r="G3125" i="2" s="1"/>
  <c r="F3124" i="2"/>
  <c r="G3124" i="2" s="1"/>
  <c r="F3123" i="2"/>
  <c r="G3123" i="2" s="1"/>
  <c r="F3122" i="2"/>
  <c r="G3122" i="2" s="1"/>
  <c r="G3121" i="2"/>
  <c r="F3121" i="2"/>
  <c r="F3120" i="2"/>
  <c r="G3120" i="2" s="1"/>
  <c r="F3119" i="2"/>
  <c r="G3119" i="2" s="1"/>
  <c r="F3118" i="2"/>
  <c r="G3118" i="2" s="1"/>
  <c r="G3117" i="2"/>
  <c r="F3117" i="2"/>
  <c r="F3116" i="2"/>
  <c r="G3116" i="2" s="1"/>
  <c r="F3115" i="2"/>
  <c r="G3115" i="2" s="1"/>
  <c r="F3114" i="2"/>
  <c r="G3114" i="2" s="1"/>
  <c r="F3113" i="2"/>
  <c r="G3113" i="2" s="1"/>
  <c r="F3112" i="2"/>
  <c r="G3112" i="2" s="1"/>
  <c r="F3111" i="2"/>
  <c r="G3111" i="2" s="1"/>
  <c r="F3110" i="2"/>
  <c r="G3110" i="2" s="1"/>
  <c r="F3109" i="2"/>
  <c r="G3109" i="2" s="1"/>
  <c r="F3108" i="2"/>
  <c r="G3108" i="2" s="1"/>
  <c r="F3107" i="2"/>
  <c r="G3107" i="2" s="1"/>
  <c r="F3106" i="2"/>
  <c r="G3106" i="2" s="1"/>
  <c r="F3105" i="2"/>
  <c r="G3105" i="2" s="1"/>
  <c r="F3104" i="2"/>
  <c r="G3104" i="2" s="1"/>
  <c r="F3103" i="2"/>
  <c r="G3103" i="2" s="1"/>
  <c r="F3102" i="2"/>
  <c r="G3102" i="2" s="1"/>
  <c r="F3101" i="2"/>
  <c r="G3101" i="2" s="1"/>
  <c r="F3100" i="2"/>
  <c r="G3100" i="2" s="1"/>
  <c r="F3099" i="2"/>
  <c r="G3099" i="2" s="1"/>
  <c r="F3098" i="2"/>
  <c r="G3098" i="2" s="1"/>
  <c r="F3097" i="2"/>
  <c r="G3097" i="2" s="1"/>
  <c r="F3096" i="2"/>
  <c r="G3096" i="2" s="1"/>
  <c r="F3095" i="2"/>
  <c r="G3095" i="2" s="1"/>
  <c r="F3094" i="2"/>
  <c r="G3094" i="2" s="1"/>
  <c r="F3093" i="2"/>
  <c r="G3093" i="2" s="1"/>
  <c r="F3092" i="2"/>
  <c r="G3092" i="2" s="1"/>
  <c r="F3091" i="2"/>
  <c r="G3091" i="2" s="1"/>
  <c r="F3090" i="2"/>
  <c r="G3090" i="2" s="1"/>
  <c r="F3089" i="2"/>
  <c r="G3089" i="2" s="1"/>
  <c r="F3088" i="2"/>
  <c r="G3088" i="2" s="1"/>
  <c r="F3087" i="2"/>
  <c r="G3087" i="2" s="1"/>
  <c r="F3086" i="2"/>
  <c r="G3086" i="2" s="1"/>
  <c r="F3085" i="2"/>
  <c r="G3085" i="2" s="1"/>
  <c r="F3084" i="2"/>
  <c r="G3084" i="2" s="1"/>
  <c r="F3083" i="2"/>
  <c r="G3083" i="2" s="1"/>
  <c r="F3082" i="2"/>
  <c r="G3082" i="2" s="1"/>
  <c r="F3081" i="2"/>
  <c r="G3081" i="2" s="1"/>
  <c r="F3080" i="2"/>
  <c r="G3080" i="2" s="1"/>
  <c r="F3079" i="2"/>
  <c r="G3079" i="2" s="1"/>
  <c r="F3078" i="2"/>
  <c r="G3078" i="2" s="1"/>
  <c r="F3077" i="2"/>
  <c r="G3077" i="2" s="1"/>
  <c r="F3076" i="2"/>
  <c r="G3076" i="2" s="1"/>
  <c r="F3075" i="2"/>
  <c r="G3075" i="2" s="1"/>
  <c r="F3074" i="2"/>
  <c r="G3074" i="2" s="1"/>
  <c r="F3073" i="2"/>
  <c r="G3073" i="2" s="1"/>
  <c r="F3072" i="2"/>
  <c r="G3072" i="2" s="1"/>
  <c r="F3071" i="2"/>
  <c r="G3071" i="2" s="1"/>
  <c r="F3070" i="2"/>
  <c r="G3070" i="2" s="1"/>
  <c r="F3069" i="2"/>
  <c r="G3069" i="2" s="1"/>
  <c r="F3068" i="2"/>
  <c r="G3068" i="2" s="1"/>
  <c r="F3067" i="2"/>
  <c r="G3067" i="2" s="1"/>
  <c r="F3066" i="2"/>
  <c r="G3066" i="2" s="1"/>
  <c r="F3065" i="2"/>
  <c r="G3065" i="2" s="1"/>
  <c r="G3064" i="2"/>
  <c r="F3064" i="2"/>
  <c r="G3063" i="2"/>
  <c r="F3063" i="2"/>
  <c r="F3062" i="2"/>
  <c r="G3062" i="2" s="1"/>
  <c r="F3061" i="2"/>
  <c r="G3061" i="2" s="1"/>
  <c r="F3060" i="2"/>
  <c r="G3060" i="2" s="1"/>
  <c r="F3059" i="2"/>
  <c r="G3059" i="2" s="1"/>
  <c r="F3058" i="2"/>
  <c r="G3058" i="2" s="1"/>
  <c r="G3057" i="2"/>
  <c r="F3057" i="2"/>
  <c r="F3056" i="2"/>
  <c r="G3056" i="2" s="1"/>
  <c r="G3055" i="2"/>
  <c r="F3055" i="2"/>
  <c r="F3054" i="2"/>
  <c r="G3054" i="2" s="1"/>
  <c r="F3053" i="2"/>
  <c r="G3053" i="2" s="1"/>
  <c r="F3052" i="2"/>
  <c r="G3052" i="2" s="1"/>
  <c r="F3051" i="2"/>
  <c r="G3051" i="2" s="1"/>
  <c r="F3050" i="2"/>
  <c r="G3050" i="2" s="1"/>
  <c r="F3049" i="2"/>
  <c r="G3049" i="2" s="1"/>
  <c r="F3048" i="2"/>
  <c r="G3048" i="2" s="1"/>
  <c r="F3047" i="2"/>
  <c r="G3047" i="2" s="1"/>
  <c r="F3046" i="2"/>
  <c r="G3046" i="2" s="1"/>
  <c r="F3045" i="2"/>
  <c r="G3045" i="2" s="1"/>
  <c r="F3044" i="2"/>
  <c r="G3044" i="2" s="1"/>
  <c r="F3043" i="2"/>
  <c r="G3043" i="2" s="1"/>
  <c r="F3042" i="2"/>
  <c r="G3042" i="2" s="1"/>
  <c r="F3041" i="2"/>
  <c r="G3041" i="2" s="1"/>
  <c r="F3040" i="2"/>
  <c r="G3040" i="2" s="1"/>
  <c r="F3039" i="2"/>
  <c r="G3039" i="2" s="1"/>
  <c r="F3038" i="2"/>
  <c r="G3038" i="2" s="1"/>
  <c r="F3037" i="2"/>
  <c r="G3037" i="2" s="1"/>
  <c r="F3036" i="2"/>
  <c r="G3036" i="2" s="1"/>
  <c r="G3035" i="2"/>
  <c r="F3035" i="2"/>
  <c r="F3034" i="2"/>
  <c r="G3034" i="2" s="1"/>
  <c r="F3033" i="2"/>
  <c r="G3033" i="2" s="1"/>
  <c r="F3032" i="2"/>
  <c r="G3032" i="2" s="1"/>
  <c r="F3031" i="2"/>
  <c r="G3031" i="2" s="1"/>
  <c r="F3030" i="2"/>
  <c r="G3030" i="2" s="1"/>
  <c r="F3029" i="2"/>
  <c r="G3029" i="2" s="1"/>
  <c r="F3028" i="2"/>
  <c r="G3028" i="2" s="1"/>
  <c r="F3027" i="2"/>
  <c r="G3027" i="2" s="1"/>
  <c r="F3026" i="2"/>
  <c r="G3026" i="2" s="1"/>
  <c r="F3025" i="2"/>
  <c r="G3025" i="2" s="1"/>
  <c r="F3024" i="2"/>
  <c r="G3024" i="2" s="1"/>
  <c r="F3023" i="2"/>
  <c r="G3023" i="2" s="1"/>
  <c r="F3022" i="2"/>
  <c r="G3022" i="2" s="1"/>
  <c r="F3021" i="2"/>
  <c r="G3021" i="2" s="1"/>
  <c r="F3020" i="2"/>
  <c r="G3020" i="2" s="1"/>
  <c r="F3019" i="2"/>
  <c r="G3019" i="2" s="1"/>
  <c r="F3018" i="2"/>
  <c r="G3018" i="2" s="1"/>
  <c r="F3017" i="2"/>
  <c r="G3017" i="2" s="1"/>
  <c r="F3016" i="2"/>
  <c r="G3016" i="2" s="1"/>
  <c r="F3015" i="2"/>
  <c r="G3015" i="2" s="1"/>
  <c r="F3014" i="2"/>
  <c r="G3014" i="2" s="1"/>
  <c r="F3013" i="2"/>
  <c r="G3013" i="2" s="1"/>
  <c r="F3012" i="2"/>
  <c r="G3012" i="2" s="1"/>
  <c r="F3011" i="2"/>
  <c r="G3011" i="2" s="1"/>
  <c r="F3010" i="2"/>
  <c r="G3010" i="2" s="1"/>
  <c r="F3009" i="2"/>
  <c r="G3009" i="2" s="1"/>
  <c r="F3008" i="2"/>
  <c r="G3008" i="2" s="1"/>
  <c r="F3007" i="2"/>
  <c r="G3007" i="2" s="1"/>
  <c r="F3006" i="2"/>
  <c r="G3006" i="2" s="1"/>
  <c r="F3005" i="2"/>
  <c r="G3005" i="2" s="1"/>
  <c r="G3004" i="2"/>
  <c r="F3004" i="2"/>
  <c r="G3003" i="2"/>
  <c r="F3003" i="2"/>
  <c r="F3002" i="2"/>
  <c r="G3002" i="2" s="1"/>
  <c r="F3001" i="2"/>
  <c r="G3001" i="2" s="1"/>
  <c r="F3000" i="2"/>
  <c r="G3000" i="2" s="1"/>
  <c r="F2999" i="2"/>
  <c r="G2999" i="2" s="1"/>
  <c r="F2998" i="2"/>
  <c r="G2998" i="2" s="1"/>
  <c r="F2997" i="2"/>
  <c r="G2997" i="2" s="1"/>
  <c r="F2996" i="2"/>
  <c r="G2996" i="2" s="1"/>
  <c r="F2995" i="2"/>
  <c r="G2995" i="2" s="1"/>
  <c r="F2994" i="2"/>
  <c r="G2994" i="2" s="1"/>
  <c r="F2993" i="2"/>
  <c r="G2993" i="2" s="1"/>
  <c r="F2992" i="2"/>
  <c r="G2992" i="2" s="1"/>
  <c r="G2991" i="2"/>
  <c r="F2991" i="2"/>
  <c r="F2990" i="2"/>
  <c r="G2990" i="2" s="1"/>
  <c r="F2989" i="2"/>
  <c r="G2989" i="2" s="1"/>
  <c r="F2988" i="2"/>
  <c r="G2988" i="2" s="1"/>
  <c r="F2987" i="2"/>
  <c r="G2987" i="2" s="1"/>
  <c r="F2986" i="2"/>
  <c r="G2986" i="2" s="1"/>
  <c r="F2985" i="2"/>
  <c r="G2985" i="2" s="1"/>
  <c r="F2984" i="2"/>
  <c r="G2984" i="2" s="1"/>
  <c r="F2983" i="2"/>
  <c r="G2983" i="2" s="1"/>
  <c r="F2982" i="2"/>
  <c r="G2982" i="2" s="1"/>
  <c r="F2981" i="2"/>
  <c r="G2981" i="2" s="1"/>
  <c r="F2980" i="2"/>
  <c r="G2980" i="2" s="1"/>
  <c r="G2979" i="2"/>
  <c r="F2979" i="2"/>
  <c r="F2978" i="2"/>
  <c r="G2978" i="2" s="1"/>
  <c r="F2977" i="2"/>
  <c r="G2977" i="2" s="1"/>
  <c r="F2976" i="2"/>
  <c r="G2976" i="2" s="1"/>
  <c r="F2975" i="2"/>
  <c r="G2975" i="2" s="1"/>
  <c r="F2974" i="2"/>
  <c r="G2974" i="2" s="1"/>
  <c r="F2973" i="2"/>
  <c r="G2973" i="2" s="1"/>
  <c r="F2972" i="2"/>
  <c r="G2972" i="2" s="1"/>
  <c r="F2971" i="2"/>
  <c r="G2971" i="2" s="1"/>
  <c r="F2970" i="2"/>
  <c r="G2970" i="2" s="1"/>
  <c r="F2969" i="2"/>
  <c r="G2969" i="2" s="1"/>
  <c r="F2968" i="2"/>
  <c r="G2968" i="2" s="1"/>
  <c r="F2967" i="2"/>
  <c r="G2967" i="2" s="1"/>
  <c r="F2966" i="2"/>
  <c r="G2966" i="2" s="1"/>
  <c r="F2965" i="2"/>
  <c r="G2965" i="2" s="1"/>
  <c r="F2964" i="2"/>
  <c r="G2964" i="2" s="1"/>
  <c r="F2963" i="2"/>
  <c r="G2963" i="2" s="1"/>
  <c r="F2962" i="2"/>
  <c r="G2962" i="2" s="1"/>
  <c r="F2961" i="2"/>
  <c r="G2961" i="2" s="1"/>
  <c r="G2960" i="2"/>
  <c r="F2960" i="2"/>
  <c r="G2959" i="2"/>
  <c r="F2959" i="2"/>
  <c r="F2958" i="2"/>
  <c r="G2958" i="2" s="1"/>
  <c r="F2957" i="2"/>
  <c r="G2957" i="2" s="1"/>
  <c r="F2956" i="2"/>
  <c r="G2956" i="2" s="1"/>
  <c r="G2955" i="2"/>
  <c r="F2955" i="2"/>
  <c r="F2954" i="2"/>
  <c r="G2954" i="2" s="1"/>
  <c r="F2953" i="2"/>
  <c r="G2953" i="2" s="1"/>
  <c r="F2952" i="2"/>
  <c r="G2952" i="2" s="1"/>
  <c r="F2951" i="2"/>
  <c r="G2951" i="2" s="1"/>
  <c r="F2950" i="2"/>
  <c r="G2950" i="2" s="1"/>
  <c r="F2949" i="2"/>
  <c r="G2949" i="2" s="1"/>
  <c r="F2948" i="2"/>
  <c r="G2948" i="2" s="1"/>
  <c r="G2947" i="2"/>
  <c r="F2947" i="2"/>
  <c r="F2946" i="2"/>
  <c r="G2946" i="2" s="1"/>
  <c r="F2945" i="2"/>
  <c r="G2945" i="2" s="1"/>
  <c r="F2944" i="2"/>
  <c r="G2944" i="2" s="1"/>
  <c r="F2943" i="2"/>
  <c r="G2943" i="2" s="1"/>
  <c r="F2942" i="2"/>
  <c r="G2942" i="2" s="1"/>
  <c r="F2941" i="2"/>
  <c r="G2941" i="2" s="1"/>
  <c r="F2940" i="2"/>
  <c r="G2940" i="2" s="1"/>
  <c r="F2939" i="2"/>
  <c r="G2939" i="2" s="1"/>
  <c r="F2938" i="2"/>
  <c r="G2938" i="2" s="1"/>
  <c r="G2937" i="2"/>
  <c r="F2937" i="2"/>
  <c r="F2936" i="2"/>
  <c r="G2936" i="2" s="1"/>
  <c r="F2935" i="2"/>
  <c r="G2935" i="2" s="1"/>
  <c r="F2934" i="2"/>
  <c r="G2934" i="2" s="1"/>
  <c r="F2933" i="2"/>
  <c r="G2933" i="2" s="1"/>
  <c r="F2932" i="2"/>
  <c r="G2932" i="2" s="1"/>
  <c r="F2931" i="2"/>
  <c r="G2931" i="2" s="1"/>
  <c r="F2930" i="2"/>
  <c r="G2930" i="2" s="1"/>
  <c r="F2929" i="2"/>
  <c r="G2929" i="2" s="1"/>
  <c r="F2928" i="2"/>
  <c r="G2928" i="2" s="1"/>
  <c r="F2927" i="2"/>
  <c r="G2927" i="2" s="1"/>
  <c r="F2926" i="2"/>
  <c r="G2926" i="2" s="1"/>
  <c r="F2925" i="2"/>
  <c r="G2925" i="2" s="1"/>
  <c r="G2924" i="2"/>
  <c r="F2924" i="2"/>
  <c r="F2923" i="2"/>
  <c r="G2923" i="2" s="1"/>
  <c r="F2922" i="2"/>
  <c r="G2922" i="2" s="1"/>
  <c r="F2921" i="2"/>
  <c r="G2921" i="2" s="1"/>
  <c r="F2920" i="2"/>
  <c r="G2920" i="2" s="1"/>
  <c r="F2919" i="2"/>
  <c r="G2919" i="2" s="1"/>
  <c r="F2918" i="2"/>
  <c r="G2918" i="2" s="1"/>
  <c r="G2917" i="2"/>
  <c r="F2917" i="2"/>
  <c r="G2916" i="2"/>
  <c r="F2916" i="2"/>
  <c r="F2915" i="2"/>
  <c r="G2915" i="2" s="1"/>
  <c r="F2914" i="2"/>
  <c r="G2914" i="2" s="1"/>
  <c r="F2913" i="2"/>
  <c r="G2913" i="2" s="1"/>
  <c r="G2912" i="2"/>
  <c r="F2912" i="2"/>
  <c r="G2911" i="2"/>
  <c r="F2911" i="2"/>
  <c r="F2910" i="2"/>
  <c r="G2910" i="2" s="1"/>
  <c r="F2909" i="2"/>
  <c r="G2909" i="2" s="1"/>
  <c r="F2908" i="2"/>
  <c r="G2908" i="2" s="1"/>
  <c r="F2907" i="2"/>
  <c r="G2907" i="2" s="1"/>
  <c r="F2906" i="2"/>
  <c r="G2906" i="2" s="1"/>
  <c r="F2905" i="2"/>
  <c r="G2905" i="2" s="1"/>
  <c r="F2904" i="2"/>
  <c r="G2904" i="2" s="1"/>
  <c r="F2903" i="2"/>
  <c r="G2903" i="2" s="1"/>
  <c r="F2902" i="2"/>
  <c r="G2902" i="2" s="1"/>
  <c r="F2901" i="2"/>
  <c r="G2901" i="2" s="1"/>
  <c r="F2900" i="2"/>
  <c r="G2900" i="2" s="1"/>
  <c r="F2899" i="2"/>
  <c r="G2899" i="2" s="1"/>
  <c r="F2898" i="2"/>
  <c r="G2898" i="2" s="1"/>
  <c r="G2897" i="2"/>
  <c r="F2897" i="2"/>
  <c r="F2896" i="2"/>
  <c r="G2896" i="2" s="1"/>
  <c r="F2895" i="2"/>
  <c r="G2895" i="2" s="1"/>
  <c r="F2894" i="2"/>
  <c r="G2894" i="2" s="1"/>
  <c r="F2893" i="2"/>
  <c r="G2893" i="2" s="1"/>
  <c r="G2892" i="2"/>
  <c r="F2892" i="2"/>
  <c r="F2891" i="2"/>
  <c r="G2891" i="2" s="1"/>
  <c r="F2890" i="2"/>
  <c r="G2890" i="2" s="1"/>
  <c r="F2889" i="2"/>
  <c r="G2889" i="2" s="1"/>
  <c r="F2888" i="2"/>
  <c r="G2888" i="2" s="1"/>
  <c r="F2887" i="2"/>
  <c r="G2887" i="2" s="1"/>
  <c r="F2886" i="2"/>
  <c r="G2886" i="2" s="1"/>
  <c r="F2885" i="2"/>
  <c r="G2885" i="2" s="1"/>
  <c r="F2884" i="2"/>
  <c r="G2884" i="2" s="1"/>
  <c r="F2883" i="2"/>
  <c r="G2883" i="2" s="1"/>
  <c r="F2882" i="2"/>
  <c r="G2882" i="2" s="1"/>
  <c r="F2881" i="2"/>
  <c r="G2881" i="2" s="1"/>
  <c r="G2880" i="2"/>
  <c r="F2880" i="2"/>
  <c r="F2879" i="2"/>
  <c r="G2879" i="2" s="1"/>
  <c r="F2878" i="2"/>
  <c r="G2878" i="2" s="1"/>
  <c r="F2877" i="2"/>
  <c r="G2877" i="2" s="1"/>
  <c r="F2876" i="2"/>
  <c r="G2876" i="2" s="1"/>
  <c r="F2875" i="2"/>
  <c r="G2875" i="2" s="1"/>
  <c r="F2874" i="2"/>
  <c r="G2874" i="2" s="1"/>
  <c r="F2873" i="2"/>
  <c r="G2873" i="2" s="1"/>
  <c r="F2872" i="2"/>
  <c r="G2872" i="2" s="1"/>
  <c r="F2871" i="2"/>
  <c r="G2871" i="2" s="1"/>
  <c r="F2870" i="2"/>
  <c r="G2870" i="2" s="1"/>
  <c r="F2869" i="2"/>
  <c r="G2869" i="2" s="1"/>
  <c r="F2868" i="2"/>
  <c r="G2868" i="2" s="1"/>
  <c r="F2867" i="2"/>
  <c r="G2867" i="2" s="1"/>
  <c r="F2866" i="2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G2856" i="2"/>
  <c r="F2856" i="2"/>
  <c r="G2855" i="2"/>
  <c r="F2855" i="2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G2844" i="2"/>
  <c r="F2844" i="2"/>
  <c r="G2843" i="2"/>
  <c r="F2843" i="2"/>
  <c r="F2842" i="2"/>
  <c r="G2842" i="2" s="1"/>
  <c r="F2841" i="2"/>
  <c r="G2841" i="2" s="1"/>
  <c r="F2840" i="2"/>
  <c r="G2840" i="2" s="1"/>
  <c r="G2839" i="2"/>
  <c r="F2839" i="2"/>
  <c r="F2838" i="2"/>
  <c r="G2838" i="2" s="1"/>
  <c r="F2837" i="2"/>
  <c r="G2837" i="2" s="1"/>
  <c r="F2836" i="2"/>
  <c r="G2836" i="2" s="1"/>
  <c r="F2835" i="2"/>
  <c r="G2835" i="2" s="1"/>
  <c r="F2834" i="2"/>
  <c r="G2834" i="2" s="1"/>
  <c r="F2833" i="2"/>
  <c r="G2833" i="2" s="1"/>
  <c r="F2832" i="2"/>
  <c r="G2832" i="2" s="1"/>
  <c r="F2831" i="2"/>
  <c r="G2831" i="2" s="1"/>
  <c r="F2830" i="2"/>
  <c r="G2830" i="2" s="1"/>
  <c r="F2829" i="2"/>
  <c r="G2829" i="2" s="1"/>
  <c r="F2828" i="2"/>
  <c r="G2828" i="2" s="1"/>
  <c r="F2827" i="2"/>
  <c r="G2827" i="2" s="1"/>
  <c r="F2826" i="2"/>
  <c r="G2826" i="2" s="1"/>
  <c r="F2825" i="2"/>
  <c r="G2825" i="2" s="1"/>
  <c r="F2824" i="2"/>
  <c r="G2824" i="2" s="1"/>
  <c r="F2823" i="2"/>
  <c r="G2823" i="2" s="1"/>
  <c r="F2822" i="2"/>
  <c r="G2822" i="2" s="1"/>
  <c r="F2821" i="2"/>
  <c r="G2821" i="2" s="1"/>
  <c r="F2820" i="2"/>
  <c r="G2820" i="2" s="1"/>
  <c r="F2819" i="2"/>
  <c r="G2819" i="2" s="1"/>
  <c r="F2818" i="2"/>
  <c r="G2818" i="2" s="1"/>
  <c r="F2817" i="2"/>
  <c r="G2817" i="2" s="1"/>
  <c r="F2816" i="2"/>
  <c r="G2816" i="2" s="1"/>
  <c r="F2815" i="2"/>
  <c r="G2815" i="2" s="1"/>
  <c r="F2814" i="2"/>
  <c r="G2814" i="2" s="1"/>
  <c r="F2813" i="2"/>
  <c r="G2813" i="2" s="1"/>
  <c r="F2812" i="2"/>
  <c r="G2812" i="2" s="1"/>
  <c r="F2811" i="2"/>
  <c r="G2811" i="2" s="1"/>
  <c r="F2810" i="2"/>
  <c r="G2810" i="2" s="1"/>
  <c r="G2809" i="2"/>
  <c r="F2809" i="2"/>
  <c r="F2808" i="2"/>
  <c r="G2808" i="2" s="1"/>
  <c r="F2807" i="2"/>
  <c r="G2807" i="2" s="1"/>
  <c r="F2806" i="2"/>
  <c r="G2806" i="2" s="1"/>
  <c r="F2805" i="2"/>
  <c r="G2805" i="2" s="1"/>
  <c r="F2804" i="2"/>
  <c r="G2804" i="2" s="1"/>
  <c r="F2803" i="2"/>
  <c r="G2803" i="2" s="1"/>
  <c r="F2802" i="2"/>
  <c r="G2802" i="2" s="1"/>
  <c r="F2801" i="2"/>
  <c r="G2801" i="2" s="1"/>
  <c r="F2800" i="2"/>
  <c r="G2800" i="2" s="1"/>
  <c r="F2799" i="2"/>
  <c r="G2799" i="2" s="1"/>
  <c r="F2798" i="2"/>
  <c r="G2798" i="2" s="1"/>
  <c r="F2797" i="2"/>
  <c r="G2797" i="2" s="1"/>
  <c r="F2796" i="2"/>
  <c r="G2796" i="2" s="1"/>
  <c r="F2795" i="2"/>
  <c r="G2795" i="2" s="1"/>
  <c r="F2794" i="2"/>
  <c r="G2794" i="2" s="1"/>
  <c r="G2793" i="2"/>
  <c r="F2793" i="2"/>
  <c r="F2792" i="2"/>
  <c r="G2792" i="2" s="1"/>
  <c r="F2791" i="2"/>
  <c r="G2791" i="2" s="1"/>
  <c r="F2790" i="2"/>
  <c r="G2790" i="2" s="1"/>
  <c r="F2789" i="2"/>
  <c r="G2789" i="2" s="1"/>
  <c r="F2788" i="2"/>
  <c r="G2788" i="2" s="1"/>
  <c r="G2787" i="2"/>
  <c r="F2787" i="2"/>
  <c r="F2786" i="2"/>
  <c r="G2786" i="2" s="1"/>
  <c r="F2785" i="2"/>
  <c r="G2785" i="2" s="1"/>
  <c r="F2784" i="2"/>
  <c r="G2784" i="2" s="1"/>
  <c r="F2783" i="2"/>
  <c r="G2783" i="2" s="1"/>
  <c r="F2782" i="2"/>
  <c r="G2782" i="2" s="1"/>
  <c r="F2781" i="2"/>
  <c r="G2781" i="2" s="1"/>
  <c r="G2780" i="2"/>
  <c r="F2780" i="2"/>
  <c r="F2779" i="2"/>
  <c r="G2779" i="2" s="1"/>
  <c r="F2778" i="2"/>
  <c r="G2778" i="2" s="1"/>
  <c r="F2777" i="2"/>
  <c r="G2777" i="2" s="1"/>
  <c r="F2776" i="2"/>
  <c r="G2776" i="2" s="1"/>
  <c r="F2775" i="2"/>
  <c r="G2775" i="2" s="1"/>
  <c r="F2774" i="2"/>
  <c r="G2774" i="2" s="1"/>
  <c r="F2773" i="2"/>
  <c r="G2773" i="2" s="1"/>
  <c r="F2772" i="2"/>
  <c r="G2772" i="2" s="1"/>
  <c r="F2771" i="2"/>
  <c r="G2771" i="2" s="1"/>
  <c r="F2770" i="2"/>
  <c r="G2770" i="2" s="1"/>
  <c r="F2769" i="2"/>
  <c r="G2769" i="2" s="1"/>
  <c r="F2768" i="2"/>
  <c r="G2768" i="2" s="1"/>
  <c r="F2767" i="2"/>
  <c r="G2767" i="2" s="1"/>
  <c r="F2766" i="2"/>
  <c r="G2766" i="2" s="1"/>
  <c r="F2765" i="2"/>
  <c r="G2765" i="2" s="1"/>
  <c r="F2764" i="2"/>
  <c r="G2764" i="2" s="1"/>
  <c r="F2763" i="2"/>
  <c r="G2763" i="2" s="1"/>
  <c r="F2762" i="2"/>
  <c r="G2762" i="2" s="1"/>
  <c r="F2761" i="2"/>
  <c r="G2761" i="2" s="1"/>
  <c r="G2760" i="2"/>
  <c r="F2760" i="2"/>
  <c r="G2759" i="2"/>
  <c r="F2759" i="2"/>
  <c r="F2758" i="2"/>
  <c r="G2758" i="2" s="1"/>
  <c r="F2757" i="2"/>
  <c r="G2757" i="2" s="1"/>
  <c r="F2756" i="2"/>
  <c r="G2756" i="2" s="1"/>
  <c r="F2755" i="2"/>
  <c r="G2755" i="2" s="1"/>
  <c r="F2754" i="2"/>
  <c r="G2754" i="2" s="1"/>
  <c r="F2753" i="2"/>
  <c r="G2753" i="2" s="1"/>
  <c r="F2752" i="2"/>
  <c r="G2752" i="2" s="1"/>
  <c r="F2751" i="2"/>
  <c r="G2751" i="2" s="1"/>
  <c r="F2750" i="2"/>
  <c r="G2750" i="2" s="1"/>
  <c r="F2749" i="2"/>
  <c r="G2749" i="2" s="1"/>
  <c r="G2748" i="2"/>
  <c r="F2748" i="2"/>
  <c r="F2747" i="2"/>
  <c r="G2747" i="2" s="1"/>
  <c r="F2746" i="2"/>
  <c r="G2746" i="2" s="1"/>
  <c r="F2745" i="2"/>
  <c r="G2745" i="2" s="1"/>
  <c r="F2744" i="2"/>
  <c r="G2744" i="2" s="1"/>
  <c r="F2743" i="2"/>
  <c r="G2743" i="2" s="1"/>
  <c r="F2742" i="2"/>
  <c r="G2742" i="2" s="1"/>
  <c r="F2741" i="2"/>
  <c r="G2741" i="2" s="1"/>
  <c r="F2740" i="2"/>
  <c r="G2740" i="2" s="1"/>
  <c r="F2739" i="2"/>
  <c r="G2739" i="2" s="1"/>
  <c r="F2738" i="2"/>
  <c r="G2738" i="2" s="1"/>
  <c r="F2737" i="2"/>
  <c r="G2737" i="2" s="1"/>
  <c r="F2736" i="2"/>
  <c r="G2736" i="2" s="1"/>
  <c r="G2735" i="2"/>
  <c r="F2735" i="2"/>
  <c r="F2734" i="2"/>
  <c r="G2734" i="2" s="1"/>
  <c r="F2733" i="2"/>
  <c r="G2733" i="2" s="1"/>
  <c r="F2732" i="2"/>
  <c r="G2732" i="2" s="1"/>
  <c r="F2731" i="2"/>
  <c r="G2731" i="2" s="1"/>
  <c r="F2730" i="2"/>
  <c r="G2730" i="2" s="1"/>
  <c r="F2729" i="2"/>
  <c r="G2729" i="2" s="1"/>
  <c r="F2728" i="2"/>
  <c r="G2728" i="2" s="1"/>
  <c r="F2727" i="2"/>
  <c r="G2727" i="2" s="1"/>
  <c r="F2726" i="2"/>
  <c r="G2726" i="2" s="1"/>
  <c r="F2725" i="2"/>
  <c r="G2725" i="2" s="1"/>
  <c r="F2724" i="2"/>
  <c r="G2724" i="2" s="1"/>
  <c r="F2723" i="2"/>
  <c r="G2723" i="2" s="1"/>
  <c r="F2722" i="2"/>
  <c r="G2722" i="2" s="1"/>
  <c r="F2721" i="2"/>
  <c r="G2721" i="2" s="1"/>
  <c r="F2720" i="2"/>
  <c r="G2720" i="2" s="1"/>
  <c r="F2719" i="2"/>
  <c r="G2719" i="2" s="1"/>
  <c r="F2718" i="2"/>
  <c r="G2718" i="2" s="1"/>
  <c r="F2717" i="2"/>
  <c r="G2717" i="2" s="1"/>
  <c r="F2716" i="2"/>
  <c r="G2716" i="2" s="1"/>
  <c r="F2715" i="2"/>
  <c r="G2715" i="2" s="1"/>
  <c r="F2714" i="2"/>
  <c r="G2714" i="2" s="1"/>
  <c r="F2713" i="2"/>
  <c r="G2713" i="2" s="1"/>
  <c r="F2712" i="2"/>
  <c r="G2712" i="2" s="1"/>
  <c r="G2711" i="2"/>
  <c r="F2711" i="2"/>
  <c r="F2710" i="2"/>
  <c r="G2710" i="2" s="1"/>
  <c r="F2709" i="2"/>
  <c r="G2709" i="2" s="1"/>
  <c r="F2708" i="2"/>
  <c r="G2708" i="2" s="1"/>
  <c r="F2707" i="2"/>
  <c r="G2707" i="2" s="1"/>
  <c r="F2706" i="2"/>
  <c r="G2706" i="2" s="1"/>
  <c r="G2705" i="2"/>
  <c r="F2705" i="2"/>
  <c r="G2704" i="2"/>
  <c r="F2704" i="2"/>
  <c r="F2703" i="2"/>
  <c r="G2703" i="2" s="1"/>
  <c r="F2702" i="2"/>
  <c r="G2702" i="2" s="1"/>
  <c r="F2701" i="2"/>
  <c r="G2701" i="2" s="1"/>
  <c r="F2700" i="2"/>
  <c r="G2700" i="2" s="1"/>
  <c r="F2699" i="2"/>
  <c r="G2699" i="2" s="1"/>
  <c r="F2698" i="2"/>
  <c r="G2698" i="2" s="1"/>
  <c r="G2697" i="2"/>
  <c r="F2697" i="2"/>
  <c r="F2696" i="2"/>
  <c r="G2696" i="2" s="1"/>
  <c r="F2695" i="2"/>
  <c r="G2695" i="2" s="1"/>
  <c r="F2694" i="2"/>
  <c r="G2694" i="2" s="1"/>
  <c r="F2693" i="2"/>
  <c r="G2693" i="2" s="1"/>
  <c r="F2692" i="2"/>
  <c r="G2692" i="2" s="1"/>
  <c r="F2691" i="2"/>
  <c r="G2691" i="2" s="1"/>
  <c r="F2690" i="2"/>
  <c r="G2690" i="2" s="1"/>
  <c r="F2689" i="2"/>
  <c r="G2689" i="2" s="1"/>
  <c r="F2688" i="2"/>
  <c r="G2688" i="2" s="1"/>
  <c r="G2687" i="2"/>
  <c r="F2687" i="2"/>
  <c r="F2686" i="2"/>
  <c r="G2686" i="2" s="1"/>
  <c r="F2685" i="2"/>
  <c r="G2685" i="2" s="1"/>
  <c r="F2684" i="2"/>
  <c r="G2684" i="2" s="1"/>
  <c r="F2683" i="2"/>
  <c r="G2683" i="2" s="1"/>
  <c r="F2682" i="2"/>
  <c r="G2682" i="2" s="1"/>
  <c r="G2681" i="2"/>
  <c r="F2681" i="2"/>
  <c r="F2680" i="2"/>
  <c r="G2680" i="2" s="1"/>
  <c r="F2679" i="2"/>
  <c r="G2679" i="2" s="1"/>
  <c r="F2678" i="2"/>
  <c r="G2678" i="2" s="1"/>
  <c r="F2677" i="2"/>
  <c r="G2677" i="2" s="1"/>
  <c r="F2676" i="2"/>
  <c r="G2676" i="2" s="1"/>
  <c r="F2675" i="2"/>
  <c r="G2675" i="2" s="1"/>
  <c r="F2674" i="2"/>
  <c r="G2674" i="2" s="1"/>
  <c r="G2673" i="2"/>
  <c r="F2673" i="2"/>
  <c r="F2672" i="2"/>
  <c r="G2672" i="2" s="1"/>
  <c r="F2671" i="2"/>
  <c r="G2671" i="2" s="1"/>
  <c r="F2670" i="2"/>
  <c r="G2670" i="2" s="1"/>
  <c r="F2669" i="2"/>
  <c r="G2669" i="2" s="1"/>
  <c r="F2668" i="2"/>
  <c r="G2668" i="2" s="1"/>
  <c r="F2667" i="2"/>
  <c r="G2667" i="2" s="1"/>
  <c r="F2666" i="2"/>
  <c r="G2666" i="2" s="1"/>
  <c r="F2665" i="2"/>
  <c r="G2665" i="2" s="1"/>
  <c r="F2664" i="2"/>
  <c r="G2664" i="2" s="1"/>
  <c r="F2663" i="2"/>
  <c r="G2663" i="2" s="1"/>
  <c r="F2662" i="2"/>
  <c r="G2662" i="2" s="1"/>
  <c r="F2661" i="2"/>
  <c r="G2661" i="2" s="1"/>
  <c r="F2660" i="2"/>
  <c r="G2660" i="2" s="1"/>
  <c r="F2659" i="2"/>
  <c r="G2659" i="2" s="1"/>
  <c r="F2658" i="2"/>
  <c r="G2658" i="2" s="1"/>
  <c r="G2657" i="2"/>
  <c r="F2657" i="2"/>
  <c r="F2656" i="2"/>
  <c r="G2656" i="2" s="1"/>
  <c r="F2655" i="2"/>
  <c r="G2655" i="2" s="1"/>
  <c r="F2654" i="2"/>
  <c r="G2654" i="2" s="1"/>
  <c r="F2653" i="2"/>
  <c r="G2653" i="2" s="1"/>
  <c r="F2652" i="2"/>
  <c r="G2652" i="2" s="1"/>
  <c r="F2651" i="2"/>
  <c r="G2651" i="2" s="1"/>
  <c r="F2650" i="2"/>
  <c r="G2650" i="2" s="1"/>
  <c r="G2649" i="2"/>
  <c r="F2649" i="2"/>
  <c r="F2648" i="2"/>
  <c r="G2648" i="2" s="1"/>
  <c r="F2647" i="2"/>
  <c r="G2647" i="2" s="1"/>
  <c r="F2646" i="2"/>
  <c r="G2646" i="2" s="1"/>
  <c r="F2645" i="2"/>
  <c r="G2645" i="2" s="1"/>
  <c r="F2644" i="2"/>
  <c r="G2644" i="2" s="1"/>
  <c r="F2643" i="2"/>
  <c r="G2643" i="2" s="1"/>
  <c r="F2642" i="2"/>
  <c r="G2642" i="2" s="1"/>
  <c r="G2641" i="2"/>
  <c r="F2641" i="2"/>
  <c r="F2640" i="2"/>
  <c r="G2640" i="2" s="1"/>
  <c r="F2639" i="2"/>
  <c r="G2639" i="2" s="1"/>
  <c r="F2638" i="2"/>
  <c r="G2638" i="2" s="1"/>
  <c r="G2637" i="2"/>
  <c r="F2637" i="2"/>
  <c r="F2636" i="2"/>
  <c r="G2636" i="2" s="1"/>
  <c r="F2635" i="2"/>
  <c r="G2635" i="2" s="1"/>
  <c r="F2634" i="2"/>
  <c r="G2634" i="2" s="1"/>
  <c r="G2633" i="2"/>
  <c r="F2633" i="2"/>
  <c r="G2632" i="2"/>
  <c r="F2632" i="2"/>
  <c r="F2631" i="2"/>
  <c r="G2631" i="2" s="1"/>
  <c r="F2630" i="2"/>
  <c r="G2630" i="2" s="1"/>
  <c r="F2629" i="2"/>
  <c r="G2629" i="2" s="1"/>
  <c r="F2628" i="2"/>
  <c r="G2628" i="2" s="1"/>
  <c r="F2627" i="2"/>
  <c r="G2627" i="2" s="1"/>
  <c r="F2626" i="2"/>
  <c r="G2626" i="2" s="1"/>
  <c r="F2625" i="2"/>
  <c r="G2625" i="2" s="1"/>
  <c r="F2624" i="2"/>
  <c r="G2624" i="2" s="1"/>
  <c r="F2623" i="2"/>
  <c r="G2623" i="2" s="1"/>
  <c r="F2622" i="2"/>
  <c r="G2622" i="2" s="1"/>
  <c r="G2621" i="2"/>
  <c r="F2621" i="2"/>
  <c r="G2620" i="2"/>
  <c r="F2620" i="2"/>
  <c r="F2619" i="2"/>
  <c r="G2619" i="2" s="1"/>
  <c r="F2618" i="2"/>
  <c r="G2618" i="2" s="1"/>
  <c r="F2617" i="2"/>
  <c r="G2617" i="2" s="1"/>
  <c r="G2616" i="2"/>
  <c r="F2616" i="2"/>
  <c r="F2615" i="2"/>
  <c r="G2615" i="2" s="1"/>
  <c r="F2614" i="2"/>
  <c r="G2614" i="2" s="1"/>
  <c r="F2613" i="2"/>
  <c r="G2613" i="2" s="1"/>
  <c r="F2612" i="2"/>
  <c r="G2612" i="2" s="1"/>
  <c r="F2611" i="2"/>
  <c r="G2611" i="2" s="1"/>
  <c r="F2610" i="2"/>
  <c r="G2610" i="2" s="1"/>
  <c r="F2609" i="2"/>
  <c r="G2609" i="2" s="1"/>
  <c r="F2608" i="2"/>
  <c r="G2608" i="2" s="1"/>
  <c r="F2607" i="2"/>
  <c r="G2607" i="2" s="1"/>
  <c r="F2606" i="2"/>
  <c r="G2606" i="2" s="1"/>
  <c r="F2605" i="2"/>
  <c r="G2605" i="2" s="1"/>
  <c r="G2604" i="2"/>
  <c r="F2604" i="2"/>
  <c r="F2603" i="2"/>
  <c r="G2603" i="2" s="1"/>
  <c r="F2602" i="2"/>
  <c r="G2602" i="2" s="1"/>
  <c r="F2601" i="2"/>
  <c r="G2601" i="2" s="1"/>
  <c r="G2600" i="2"/>
  <c r="F2600" i="2"/>
  <c r="F2599" i="2"/>
  <c r="G2599" i="2" s="1"/>
  <c r="F2598" i="2"/>
  <c r="G2598" i="2" s="1"/>
  <c r="F2597" i="2"/>
  <c r="G2597" i="2" s="1"/>
  <c r="F2596" i="2"/>
  <c r="G2596" i="2" s="1"/>
  <c r="F2595" i="2"/>
  <c r="G2595" i="2" s="1"/>
  <c r="F2594" i="2"/>
  <c r="G2594" i="2" s="1"/>
  <c r="G2593" i="2"/>
  <c r="F2593" i="2"/>
  <c r="F2592" i="2"/>
  <c r="G2592" i="2" s="1"/>
  <c r="F2591" i="2"/>
  <c r="G2591" i="2" s="1"/>
  <c r="F2590" i="2"/>
  <c r="G2590" i="2" s="1"/>
  <c r="F2589" i="2"/>
  <c r="G2589" i="2" s="1"/>
  <c r="F2588" i="2"/>
  <c r="G2588" i="2" s="1"/>
  <c r="F2587" i="2"/>
  <c r="G2587" i="2" s="1"/>
  <c r="F2586" i="2"/>
  <c r="G2586" i="2" s="1"/>
  <c r="G2585" i="2"/>
  <c r="F2585" i="2"/>
  <c r="F2584" i="2"/>
  <c r="G2584" i="2" s="1"/>
  <c r="F2583" i="2"/>
  <c r="G2583" i="2" s="1"/>
  <c r="F2582" i="2"/>
  <c r="G2582" i="2" s="1"/>
  <c r="F2581" i="2"/>
  <c r="G2581" i="2" s="1"/>
  <c r="F2580" i="2"/>
  <c r="G2580" i="2" s="1"/>
  <c r="F2579" i="2"/>
  <c r="G2579" i="2" s="1"/>
  <c r="F2578" i="2"/>
  <c r="G2578" i="2" s="1"/>
  <c r="G2577" i="2"/>
  <c r="F2577" i="2"/>
  <c r="F2576" i="2"/>
  <c r="G2576" i="2" s="1"/>
  <c r="F2575" i="2"/>
  <c r="G2575" i="2" s="1"/>
  <c r="F2574" i="2"/>
  <c r="G2574" i="2" s="1"/>
  <c r="G2573" i="2"/>
  <c r="F2573" i="2"/>
  <c r="F2572" i="2"/>
  <c r="G2572" i="2" s="1"/>
  <c r="F2571" i="2"/>
  <c r="G2571" i="2" s="1"/>
  <c r="F2570" i="2"/>
  <c r="G2570" i="2" s="1"/>
  <c r="G2569" i="2"/>
  <c r="F2569" i="2"/>
  <c r="G2568" i="2"/>
  <c r="F2568" i="2"/>
  <c r="F2567" i="2"/>
  <c r="G2567" i="2" s="1"/>
  <c r="F2566" i="2"/>
  <c r="G2566" i="2" s="1"/>
  <c r="F2565" i="2"/>
  <c r="G2565" i="2" s="1"/>
  <c r="F2564" i="2"/>
  <c r="G2564" i="2" s="1"/>
  <c r="F2563" i="2"/>
  <c r="G2563" i="2" s="1"/>
  <c r="F2562" i="2"/>
  <c r="G2562" i="2" s="1"/>
  <c r="F2561" i="2"/>
  <c r="G2561" i="2" s="1"/>
  <c r="F2560" i="2"/>
  <c r="G2560" i="2" s="1"/>
  <c r="F2559" i="2"/>
  <c r="G2559" i="2" s="1"/>
  <c r="F2558" i="2"/>
  <c r="G2558" i="2" s="1"/>
  <c r="G2557" i="2"/>
  <c r="F2557" i="2"/>
  <c r="G2556" i="2"/>
  <c r="F2556" i="2"/>
  <c r="F2555" i="2"/>
  <c r="G2555" i="2" s="1"/>
  <c r="F2554" i="2"/>
  <c r="G2554" i="2" s="1"/>
  <c r="F2553" i="2"/>
  <c r="G2553" i="2" s="1"/>
  <c r="G2552" i="2"/>
  <c r="F2552" i="2"/>
  <c r="F2551" i="2"/>
  <c r="G2551" i="2" s="1"/>
  <c r="F2550" i="2"/>
  <c r="G2550" i="2" s="1"/>
  <c r="F2549" i="2"/>
  <c r="G2549" i="2" s="1"/>
  <c r="F2548" i="2"/>
  <c r="G2548" i="2" s="1"/>
  <c r="F2547" i="2"/>
  <c r="G2547" i="2" s="1"/>
  <c r="F2546" i="2"/>
  <c r="G2546" i="2" s="1"/>
  <c r="F2545" i="2"/>
  <c r="G2545" i="2" s="1"/>
  <c r="F2544" i="2"/>
  <c r="G2544" i="2" s="1"/>
  <c r="F2543" i="2"/>
  <c r="G2543" i="2" s="1"/>
  <c r="F2542" i="2"/>
  <c r="G2542" i="2" s="1"/>
  <c r="F2541" i="2"/>
  <c r="G2541" i="2" s="1"/>
  <c r="G2540" i="2"/>
  <c r="F2540" i="2"/>
  <c r="F2539" i="2"/>
  <c r="G2539" i="2" s="1"/>
  <c r="F2538" i="2"/>
  <c r="G2538" i="2" s="1"/>
  <c r="F2537" i="2"/>
  <c r="G2537" i="2" s="1"/>
  <c r="G2536" i="2"/>
  <c r="F2536" i="2"/>
  <c r="F2535" i="2"/>
  <c r="G2535" i="2" s="1"/>
  <c r="F2534" i="2"/>
  <c r="G2534" i="2" s="1"/>
  <c r="F2533" i="2"/>
  <c r="G2533" i="2" s="1"/>
  <c r="F2532" i="2"/>
  <c r="G2532" i="2" s="1"/>
  <c r="F2531" i="2"/>
  <c r="G2531" i="2" s="1"/>
  <c r="F2530" i="2"/>
  <c r="G2530" i="2" s="1"/>
  <c r="G2529" i="2"/>
  <c r="F2529" i="2"/>
  <c r="F2528" i="2"/>
  <c r="G2528" i="2" s="1"/>
  <c r="F2527" i="2"/>
  <c r="G2527" i="2" s="1"/>
  <c r="F2526" i="2"/>
  <c r="G2526" i="2" s="1"/>
  <c r="F2525" i="2"/>
  <c r="G2525" i="2" s="1"/>
  <c r="F2524" i="2"/>
  <c r="G2524" i="2" s="1"/>
  <c r="F2523" i="2"/>
  <c r="G2523" i="2" s="1"/>
  <c r="F2522" i="2"/>
  <c r="G2522" i="2" s="1"/>
  <c r="G2521" i="2"/>
  <c r="F2521" i="2"/>
  <c r="F2520" i="2"/>
  <c r="G2520" i="2" s="1"/>
  <c r="F2519" i="2"/>
  <c r="G2519" i="2" s="1"/>
  <c r="F2518" i="2"/>
  <c r="G2518" i="2" s="1"/>
  <c r="F2517" i="2"/>
  <c r="G2517" i="2" s="1"/>
  <c r="F2516" i="2"/>
  <c r="G2516" i="2" s="1"/>
  <c r="F2515" i="2"/>
  <c r="G2515" i="2" s="1"/>
  <c r="F2514" i="2"/>
  <c r="G2514" i="2" s="1"/>
  <c r="G2513" i="2"/>
  <c r="F2513" i="2"/>
  <c r="F2512" i="2"/>
  <c r="G2512" i="2" s="1"/>
  <c r="F2511" i="2"/>
  <c r="G2511" i="2" s="1"/>
  <c r="F2510" i="2"/>
  <c r="G2510" i="2" s="1"/>
  <c r="G2509" i="2"/>
  <c r="F2509" i="2"/>
  <c r="F2508" i="2"/>
  <c r="G2508" i="2" s="1"/>
  <c r="F2507" i="2"/>
  <c r="G2507" i="2" s="1"/>
  <c r="F2506" i="2"/>
  <c r="G2506" i="2" s="1"/>
  <c r="G2505" i="2"/>
  <c r="F2505" i="2"/>
  <c r="G2504" i="2"/>
  <c r="F2504" i="2"/>
  <c r="F2503" i="2"/>
  <c r="G2503" i="2" s="1"/>
  <c r="F2502" i="2"/>
  <c r="G2502" i="2" s="1"/>
  <c r="F2501" i="2"/>
  <c r="G2501" i="2" s="1"/>
  <c r="F2500" i="2"/>
  <c r="G2500" i="2" s="1"/>
  <c r="F2499" i="2"/>
  <c r="G2499" i="2" s="1"/>
  <c r="F2498" i="2"/>
  <c r="G2498" i="2" s="1"/>
  <c r="F2497" i="2"/>
  <c r="G2497" i="2" s="1"/>
  <c r="F2496" i="2"/>
  <c r="G2496" i="2" s="1"/>
  <c r="F2495" i="2"/>
  <c r="G2495" i="2" s="1"/>
  <c r="F2494" i="2"/>
  <c r="G2494" i="2" s="1"/>
  <c r="G2493" i="2"/>
  <c r="F2493" i="2"/>
  <c r="G2492" i="2"/>
  <c r="F2492" i="2"/>
  <c r="F2491" i="2"/>
  <c r="G2491" i="2" s="1"/>
  <c r="F2490" i="2"/>
  <c r="G2490" i="2" s="1"/>
  <c r="F2489" i="2"/>
  <c r="G2489" i="2" s="1"/>
  <c r="G2488" i="2"/>
  <c r="F2488" i="2"/>
  <c r="F2487" i="2"/>
  <c r="G2487" i="2" s="1"/>
  <c r="F2486" i="2"/>
  <c r="G2486" i="2" s="1"/>
  <c r="F2485" i="2"/>
  <c r="G2485" i="2" s="1"/>
  <c r="F2484" i="2"/>
  <c r="G2484" i="2" s="1"/>
  <c r="F2483" i="2"/>
  <c r="G2483" i="2" s="1"/>
  <c r="F2482" i="2"/>
  <c r="G2482" i="2" s="1"/>
  <c r="F2481" i="2"/>
  <c r="G2481" i="2" s="1"/>
  <c r="F2480" i="2"/>
  <c r="G2480" i="2" s="1"/>
  <c r="F2479" i="2"/>
  <c r="G2479" i="2" s="1"/>
  <c r="F2478" i="2"/>
  <c r="G2478" i="2" s="1"/>
  <c r="F2477" i="2"/>
  <c r="G2477" i="2" s="1"/>
  <c r="G2476" i="2"/>
  <c r="F2476" i="2"/>
  <c r="F2475" i="2"/>
  <c r="G2475" i="2" s="1"/>
  <c r="F2474" i="2"/>
  <c r="G2474" i="2" s="1"/>
  <c r="F2473" i="2"/>
  <c r="G2473" i="2" s="1"/>
  <c r="G2472" i="2"/>
  <c r="F2472" i="2"/>
  <c r="F2471" i="2"/>
  <c r="G2471" i="2" s="1"/>
  <c r="F2470" i="2"/>
  <c r="G2470" i="2" s="1"/>
  <c r="F2469" i="2"/>
  <c r="G2469" i="2" s="1"/>
  <c r="F2468" i="2"/>
  <c r="G2468" i="2" s="1"/>
  <c r="F2467" i="2"/>
  <c r="G2467" i="2" s="1"/>
  <c r="F2466" i="2"/>
  <c r="G2466" i="2" s="1"/>
  <c r="G2465" i="2"/>
  <c r="F2465" i="2"/>
  <c r="F2464" i="2"/>
  <c r="G2464" i="2" s="1"/>
  <c r="F2463" i="2"/>
  <c r="G2463" i="2" s="1"/>
  <c r="F2462" i="2"/>
  <c r="G2462" i="2" s="1"/>
  <c r="F2461" i="2"/>
  <c r="G2461" i="2" s="1"/>
  <c r="F2460" i="2"/>
  <c r="G2460" i="2" s="1"/>
  <c r="F2459" i="2"/>
  <c r="G2459" i="2" s="1"/>
  <c r="F2458" i="2"/>
  <c r="G2458" i="2" s="1"/>
  <c r="G2457" i="2"/>
  <c r="F2457" i="2"/>
  <c r="F2456" i="2"/>
  <c r="G2456" i="2" s="1"/>
  <c r="F2455" i="2"/>
  <c r="G2455" i="2" s="1"/>
  <c r="F2454" i="2"/>
  <c r="G2454" i="2" s="1"/>
  <c r="F2453" i="2"/>
  <c r="G2453" i="2" s="1"/>
  <c r="F2452" i="2"/>
  <c r="G2452" i="2" s="1"/>
  <c r="F2451" i="2"/>
  <c r="G2451" i="2" s="1"/>
  <c r="F2450" i="2"/>
  <c r="G2450" i="2" s="1"/>
  <c r="G2449" i="2"/>
  <c r="F2449" i="2"/>
  <c r="F2448" i="2"/>
  <c r="G2448" i="2" s="1"/>
  <c r="F2447" i="2"/>
  <c r="G2447" i="2" s="1"/>
  <c r="F2446" i="2"/>
  <c r="G2446" i="2" s="1"/>
  <c r="G2445" i="2"/>
  <c r="F2445" i="2"/>
  <c r="F2444" i="2"/>
  <c r="G2444" i="2" s="1"/>
  <c r="F2443" i="2"/>
  <c r="G2443" i="2" s="1"/>
  <c r="F2442" i="2"/>
  <c r="G2442" i="2" s="1"/>
  <c r="G2441" i="2"/>
  <c r="F2441" i="2"/>
  <c r="G2440" i="2"/>
  <c r="F2440" i="2"/>
  <c r="F2439" i="2"/>
  <c r="G2439" i="2" s="1"/>
  <c r="F2438" i="2"/>
  <c r="G2438" i="2" s="1"/>
  <c r="F2437" i="2"/>
  <c r="G2437" i="2" s="1"/>
  <c r="F2436" i="2"/>
  <c r="G2436" i="2" s="1"/>
  <c r="F2435" i="2"/>
  <c r="G2435" i="2" s="1"/>
  <c r="F2434" i="2"/>
  <c r="G2434" i="2" s="1"/>
  <c r="F2433" i="2"/>
  <c r="G2433" i="2" s="1"/>
  <c r="F2432" i="2"/>
  <c r="G2432" i="2" s="1"/>
  <c r="F2431" i="2"/>
  <c r="G2431" i="2" s="1"/>
  <c r="F2430" i="2"/>
  <c r="G2430" i="2" s="1"/>
  <c r="G2429" i="2"/>
  <c r="F2429" i="2"/>
  <c r="G2428" i="2"/>
  <c r="F2428" i="2"/>
  <c r="F2427" i="2"/>
  <c r="G2427" i="2" s="1"/>
  <c r="F2426" i="2"/>
  <c r="G2426" i="2" s="1"/>
  <c r="F2425" i="2"/>
  <c r="G2425" i="2" s="1"/>
  <c r="G2424" i="2"/>
  <c r="F2424" i="2"/>
  <c r="F2423" i="2"/>
  <c r="G2423" i="2" s="1"/>
  <c r="F2422" i="2"/>
  <c r="G2422" i="2" s="1"/>
  <c r="F2421" i="2"/>
  <c r="G2421" i="2" s="1"/>
  <c r="F2420" i="2"/>
  <c r="G2420" i="2" s="1"/>
  <c r="F2419" i="2"/>
  <c r="G2419" i="2" s="1"/>
  <c r="F2418" i="2"/>
  <c r="G2418" i="2" s="1"/>
  <c r="F2417" i="2"/>
  <c r="G2417" i="2" s="1"/>
  <c r="F2416" i="2"/>
  <c r="G2416" i="2" s="1"/>
  <c r="F2415" i="2"/>
  <c r="G2415" i="2" s="1"/>
  <c r="F2414" i="2"/>
  <c r="G2414" i="2" s="1"/>
  <c r="F2413" i="2"/>
  <c r="G2413" i="2" s="1"/>
  <c r="G2412" i="2"/>
  <c r="F2412" i="2"/>
  <c r="F2411" i="2"/>
  <c r="G2411" i="2" s="1"/>
  <c r="F2410" i="2"/>
  <c r="G2410" i="2" s="1"/>
  <c r="F2409" i="2"/>
  <c r="G2409" i="2" s="1"/>
  <c r="G2408" i="2"/>
  <c r="F2408" i="2"/>
  <c r="F2407" i="2"/>
  <c r="G2407" i="2" s="1"/>
  <c r="F2406" i="2"/>
  <c r="G2406" i="2" s="1"/>
  <c r="F2405" i="2"/>
  <c r="G2405" i="2" s="1"/>
  <c r="F2404" i="2"/>
  <c r="G2404" i="2" s="1"/>
  <c r="F2403" i="2"/>
  <c r="G2403" i="2" s="1"/>
  <c r="F2402" i="2"/>
  <c r="G2402" i="2" s="1"/>
  <c r="G2401" i="2"/>
  <c r="F2401" i="2"/>
  <c r="F2400" i="2"/>
  <c r="G2400" i="2" s="1"/>
  <c r="F2399" i="2"/>
  <c r="G2399" i="2" s="1"/>
  <c r="F2398" i="2"/>
  <c r="G2398" i="2" s="1"/>
  <c r="F2397" i="2"/>
  <c r="G2397" i="2" s="1"/>
  <c r="F2396" i="2"/>
  <c r="G2396" i="2" s="1"/>
  <c r="F2395" i="2"/>
  <c r="G2395" i="2" s="1"/>
  <c r="F2394" i="2"/>
  <c r="G2394" i="2" s="1"/>
  <c r="G2393" i="2"/>
  <c r="F2393" i="2"/>
  <c r="F2392" i="2"/>
  <c r="G2392" i="2" s="1"/>
  <c r="F2391" i="2"/>
  <c r="G2391" i="2" s="1"/>
  <c r="F2390" i="2"/>
  <c r="G2390" i="2" s="1"/>
  <c r="F2389" i="2"/>
  <c r="G2389" i="2" s="1"/>
  <c r="F2388" i="2"/>
  <c r="G2388" i="2" s="1"/>
  <c r="F2387" i="2"/>
  <c r="G2387" i="2" s="1"/>
  <c r="F2386" i="2"/>
  <c r="G2386" i="2" s="1"/>
  <c r="G2385" i="2"/>
  <c r="F2385" i="2"/>
  <c r="F2384" i="2"/>
  <c r="G2384" i="2" s="1"/>
  <c r="F2383" i="2"/>
  <c r="G2383" i="2" s="1"/>
  <c r="F2382" i="2"/>
  <c r="G2382" i="2" s="1"/>
  <c r="G2381" i="2"/>
  <c r="F2381" i="2"/>
  <c r="F2380" i="2"/>
  <c r="G2380" i="2" s="1"/>
  <c r="F2379" i="2"/>
  <c r="G2379" i="2" s="1"/>
  <c r="F2378" i="2"/>
  <c r="G2378" i="2" s="1"/>
  <c r="G2377" i="2"/>
  <c r="F2377" i="2"/>
  <c r="G2376" i="2"/>
  <c r="F2376" i="2"/>
  <c r="F2375" i="2"/>
  <c r="G2375" i="2" s="1"/>
  <c r="F2374" i="2"/>
  <c r="G2374" i="2" s="1"/>
  <c r="F2373" i="2"/>
  <c r="G2373" i="2" s="1"/>
  <c r="F2372" i="2"/>
  <c r="G2372" i="2" s="1"/>
  <c r="F2371" i="2"/>
  <c r="G2371" i="2" s="1"/>
  <c r="F2370" i="2"/>
  <c r="G2370" i="2" s="1"/>
  <c r="G2369" i="2"/>
  <c r="F2369" i="2"/>
  <c r="F2368" i="2"/>
  <c r="G2368" i="2" s="1"/>
  <c r="F2367" i="2"/>
  <c r="G2367" i="2" s="1"/>
  <c r="F2366" i="2"/>
  <c r="G2366" i="2" s="1"/>
  <c r="F2365" i="2"/>
  <c r="G2365" i="2" s="1"/>
  <c r="F2364" i="2"/>
  <c r="G2364" i="2" s="1"/>
  <c r="F2363" i="2"/>
  <c r="G2363" i="2" s="1"/>
  <c r="F2362" i="2"/>
  <c r="G2362" i="2" s="1"/>
  <c r="F2361" i="2"/>
  <c r="G2361" i="2" s="1"/>
  <c r="F2360" i="2"/>
  <c r="G2360" i="2" s="1"/>
  <c r="F2359" i="2"/>
  <c r="G2359" i="2" s="1"/>
  <c r="F2358" i="2"/>
  <c r="G2358" i="2" s="1"/>
  <c r="F2357" i="2"/>
  <c r="G2357" i="2" s="1"/>
  <c r="F2356" i="2"/>
  <c r="G2356" i="2" s="1"/>
  <c r="F2355" i="2"/>
  <c r="G2355" i="2" s="1"/>
  <c r="F2354" i="2"/>
  <c r="G2354" i="2" s="1"/>
  <c r="F2353" i="2"/>
  <c r="G2353" i="2" s="1"/>
  <c r="F2352" i="2"/>
  <c r="G2352" i="2" s="1"/>
  <c r="F2351" i="2"/>
  <c r="G2351" i="2" s="1"/>
  <c r="F2350" i="2"/>
  <c r="G2350" i="2" s="1"/>
  <c r="F2349" i="2"/>
  <c r="G2349" i="2" s="1"/>
  <c r="F2348" i="2"/>
  <c r="G2348" i="2" s="1"/>
  <c r="F2347" i="2"/>
  <c r="G2347" i="2" s="1"/>
  <c r="F2346" i="2"/>
  <c r="G2346" i="2" s="1"/>
  <c r="F2345" i="2"/>
  <c r="G2345" i="2" s="1"/>
  <c r="F2344" i="2"/>
  <c r="G2344" i="2" s="1"/>
  <c r="F2343" i="2"/>
  <c r="G2343" i="2" s="1"/>
  <c r="F2342" i="2"/>
  <c r="G2342" i="2" s="1"/>
  <c r="F2341" i="2"/>
  <c r="G2341" i="2" s="1"/>
  <c r="G2340" i="2"/>
  <c r="F2340" i="2"/>
  <c r="F2339" i="2"/>
  <c r="G2339" i="2" s="1"/>
  <c r="F2338" i="2"/>
  <c r="G2338" i="2" s="1"/>
  <c r="F2337" i="2"/>
  <c r="G2337" i="2" s="1"/>
  <c r="F2336" i="2"/>
  <c r="G2336" i="2" s="1"/>
  <c r="F2335" i="2"/>
  <c r="G2335" i="2" s="1"/>
  <c r="F2334" i="2"/>
  <c r="G2334" i="2" s="1"/>
  <c r="F2333" i="2"/>
  <c r="G2333" i="2" s="1"/>
  <c r="F2332" i="2"/>
  <c r="G2332" i="2" s="1"/>
  <c r="F2331" i="2"/>
  <c r="G2331" i="2" s="1"/>
  <c r="F2330" i="2"/>
  <c r="G2330" i="2" s="1"/>
  <c r="F2329" i="2"/>
  <c r="G2329" i="2" s="1"/>
  <c r="F2328" i="2"/>
  <c r="G2328" i="2" s="1"/>
  <c r="F2327" i="2"/>
  <c r="G2327" i="2" s="1"/>
  <c r="F2326" i="2"/>
  <c r="G2326" i="2" s="1"/>
  <c r="F2325" i="2"/>
  <c r="G2325" i="2" s="1"/>
  <c r="F2324" i="2"/>
  <c r="G2324" i="2" s="1"/>
  <c r="F2323" i="2"/>
  <c r="G2323" i="2" s="1"/>
  <c r="F2322" i="2"/>
  <c r="G2322" i="2" s="1"/>
  <c r="F2321" i="2"/>
  <c r="G2321" i="2" s="1"/>
  <c r="F2320" i="2"/>
  <c r="G2320" i="2" s="1"/>
  <c r="F2319" i="2"/>
  <c r="G2319" i="2" s="1"/>
  <c r="F2318" i="2"/>
  <c r="G2318" i="2" s="1"/>
  <c r="F2317" i="2"/>
  <c r="G2317" i="2" s="1"/>
  <c r="F2316" i="2"/>
  <c r="G2316" i="2" s="1"/>
  <c r="F2315" i="2"/>
  <c r="G2315" i="2" s="1"/>
  <c r="F2314" i="2"/>
  <c r="G2314" i="2" s="1"/>
  <c r="F2313" i="2"/>
  <c r="G2313" i="2" s="1"/>
  <c r="F2312" i="2"/>
  <c r="G2312" i="2" s="1"/>
  <c r="F2311" i="2"/>
  <c r="G2311" i="2" s="1"/>
  <c r="F2310" i="2"/>
  <c r="G2310" i="2" s="1"/>
  <c r="F2309" i="2"/>
  <c r="G2309" i="2" s="1"/>
  <c r="F2308" i="2"/>
  <c r="G2308" i="2" s="1"/>
  <c r="F2307" i="2"/>
  <c r="G2307" i="2" s="1"/>
  <c r="F2306" i="2"/>
  <c r="G2306" i="2" s="1"/>
  <c r="G2305" i="2"/>
  <c r="F2305" i="2"/>
  <c r="G2304" i="2"/>
  <c r="F2304" i="2"/>
  <c r="F2303" i="2"/>
  <c r="G2303" i="2" s="1"/>
  <c r="F2302" i="2"/>
  <c r="G2302" i="2" s="1"/>
  <c r="F2301" i="2"/>
  <c r="G2301" i="2" s="1"/>
  <c r="F2300" i="2"/>
  <c r="G2300" i="2" s="1"/>
  <c r="F2299" i="2"/>
  <c r="G2299" i="2" s="1"/>
  <c r="F2298" i="2"/>
  <c r="G2298" i="2" s="1"/>
  <c r="F2297" i="2"/>
  <c r="G2297" i="2" s="1"/>
  <c r="F2296" i="2"/>
  <c r="G2296" i="2" s="1"/>
  <c r="F2295" i="2"/>
  <c r="G2295" i="2" s="1"/>
  <c r="F2294" i="2"/>
  <c r="G2294" i="2" s="1"/>
  <c r="F2293" i="2"/>
  <c r="G2293" i="2" s="1"/>
  <c r="G2292" i="2"/>
  <c r="F2292" i="2"/>
  <c r="F2291" i="2"/>
  <c r="G2291" i="2" s="1"/>
  <c r="F2290" i="2"/>
  <c r="G2290" i="2" s="1"/>
  <c r="F2289" i="2"/>
  <c r="G2289" i="2" s="1"/>
  <c r="F2288" i="2"/>
  <c r="G2288" i="2" s="1"/>
  <c r="F2287" i="2"/>
  <c r="G2287" i="2" s="1"/>
  <c r="F2286" i="2"/>
  <c r="G2286" i="2" s="1"/>
  <c r="F2285" i="2"/>
  <c r="G2285" i="2" s="1"/>
  <c r="G2284" i="2"/>
  <c r="F2284" i="2"/>
  <c r="F2283" i="2"/>
  <c r="G2283" i="2" s="1"/>
  <c r="F2282" i="2"/>
  <c r="G2282" i="2" s="1"/>
  <c r="F2281" i="2"/>
  <c r="G2281" i="2" s="1"/>
  <c r="F2280" i="2"/>
  <c r="G2280" i="2" s="1"/>
  <c r="F2279" i="2"/>
  <c r="G2279" i="2" s="1"/>
  <c r="F2278" i="2"/>
  <c r="G2278" i="2" s="1"/>
  <c r="G2277" i="2"/>
  <c r="F2277" i="2"/>
  <c r="F2276" i="2"/>
  <c r="G2276" i="2" s="1"/>
  <c r="F2275" i="2"/>
  <c r="G2275" i="2" s="1"/>
  <c r="F2274" i="2"/>
  <c r="G2274" i="2" s="1"/>
  <c r="F2273" i="2"/>
  <c r="G2273" i="2" s="1"/>
  <c r="F2272" i="2"/>
  <c r="G2272" i="2" s="1"/>
  <c r="F2271" i="2"/>
  <c r="G2271" i="2" s="1"/>
  <c r="F2270" i="2"/>
  <c r="G2270" i="2" s="1"/>
  <c r="F2269" i="2"/>
  <c r="G2269" i="2" s="1"/>
  <c r="F2268" i="2"/>
  <c r="G2268" i="2" s="1"/>
  <c r="F2267" i="2"/>
  <c r="G2267" i="2" s="1"/>
  <c r="F2266" i="2"/>
  <c r="G2266" i="2" s="1"/>
  <c r="G2265" i="2"/>
  <c r="F2265" i="2"/>
  <c r="F2264" i="2"/>
  <c r="G2264" i="2" s="1"/>
  <c r="F2263" i="2"/>
  <c r="G2263" i="2" s="1"/>
  <c r="F2262" i="2"/>
  <c r="G2262" i="2" s="1"/>
  <c r="F2261" i="2"/>
  <c r="G2261" i="2" s="1"/>
  <c r="G2260" i="2"/>
  <c r="F2260" i="2"/>
  <c r="F2259" i="2"/>
  <c r="G2259" i="2" s="1"/>
  <c r="F2258" i="2"/>
  <c r="G2258" i="2" s="1"/>
  <c r="F2257" i="2"/>
  <c r="G2257" i="2" s="1"/>
  <c r="F2256" i="2"/>
  <c r="G2256" i="2" s="1"/>
  <c r="F2255" i="2"/>
  <c r="G2255" i="2" s="1"/>
  <c r="F2254" i="2"/>
  <c r="G2254" i="2" s="1"/>
  <c r="F2253" i="2"/>
  <c r="G2253" i="2" s="1"/>
  <c r="F2252" i="2"/>
  <c r="G2252" i="2" s="1"/>
  <c r="F2251" i="2"/>
  <c r="G2251" i="2" s="1"/>
  <c r="F2250" i="2"/>
  <c r="G2250" i="2" s="1"/>
  <c r="F2249" i="2"/>
  <c r="G2249" i="2" s="1"/>
  <c r="F2248" i="2"/>
  <c r="G2248" i="2" s="1"/>
  <c r="F2247" i="2"/>
  <c r="G2247" i="2" s="1"/>
  <c r="F2246" i="2"/>
  <c r="G2246" i="2" s="1"/>
  <c r="F2245" i="2"/>
  <c r="G2245" i="2" s="1"/>
  <c r="F2244" i="2"/>
  <c r="G2244" i="2" s="1"/>
  <c r="F2243" i="2"/>
  <c r="G2243" i="2" s="1"/>
  <c r="F2242" i="2"/>
  <c r="G2242" i="2" s="1"/>
  <c r="G2241" i="2"/>
  <c r="F2241" i="2"/>
  <c r="F2240" i="2"/>
  <c r="G2240" i="2" s="1"/>
  <c r="F2239" i="2"/>
  <c r="G2239" i="2" s="1"/>
  <c r="F2238" i="2"/>
  <c r="G2238" i="2" s="1"/>
  <c r="F2237" i="2"/>
  <c r="G2237" i="2" s="1"/>
  <c r="F2236" i="2"/>
  <c r="G2236" i="2" s="1"/>
  <c r="F2235" i="2"/>
  <c r="G2235" i="2" s="1"/>
  <c r="F2234" i="2"/>
  <c r="G2234" i="2" s="1"/>
  <c r="F2233" i="2"/>
  <c r="G2233" i="2" s="1"/>
  <c r="F2232" i="2"/>
  <c r="G2232" i="2" s="1"/>
  <c r="F2231" i="2"/>
  <c r="G2231" i="2" s="1"/>
  <c r="F2230" i="2"/>
  <c r="G2230" i="2" s="1"/>
  <c r="F2229" i="2"/>
  <c r="G2229" i="2" s="1"/>
  <c r="F2228" i="2"/>
  <c r="G2228" i="2" s="1"/>
  <c r="F2227" i="2"/>
  <c r="G2227" i="2" s="1"/>
  <c r="F2226" i="2"/>
  <c r="G2226" i="2" s="1"/>
  <c r="F2225" i="2"/>
  <c r="G2225" i="2" s="1"/>
  <c r="G2224" i="2"/>
  <c r="F2224" i="2"/>
  <c r="F2223" i="2"/>
  <c r="G2223" i="2" s="1"/>
  <c r="F2222" i="2"/>
  <c r="G2222" i="2" s="1"/>
  <c r="F2221" i="2"/>
  <c r="G2221" i="2" s="1"/>
  <c r="G2220" i="2"/>
  <c r="F2220" i="2"/>
  <c r="F2219" i="2"/>
  <c r="G2219" i="2" s="1"/>
  <c r="F2218" i="2"/>
  <c r="G2218" i="2" s="1"/>
  <c r="F2217" i="2"/>
  <c r="G2217" i="2" s="1"/>
  <c r="G2216" i="2"/>
  <c r="F2216" i="2"/>
  <c r="F2215" i="2"/>
  <c r="G2215" i="2" s="1"/>
  <c r="F2214" i="2"/>
  <c r="G2214" i="2" s="1"/>
  <c r="F2213" i="2"/>
  <c r="G2213" i="2" s="1"/>
  <c r="F2212" i="2"/>
  <c r="G2212" i="2" s="1"/>
  <c r="F2211" i="2"/>
  <c r="G2211" i="2" s="1"/>
  <c r="F2210" i="2"/>
  <c r="G2210" i="2" s="1"/>
  <c r="G2209" i="2"/>
  <c r="F2209" i="2"/>
  <c r="F2208" i="2"/>
  <c r="G2208" i="2" s="1"/>
  <c r="F2207" i="2"/>
  <c r="G2207" i="2" s="1"/>
  <c r="F2206" i="2"/>
  <c r="G2206" i="2" s="1"/>
  <c r="F2205" i="2"/>
  <c r="G2205" i="2" s="1"/>
  <c r="G2204" i="2"/>
  <c r="F2204" i="2"/>
  <c r="F2203" i="2"/>
  <c r="G2203" i="2" s="1"/>
  <c r="F2202" i="2"/>
  <c r="G2202" i="2" s="1"/>
  <c r="F2201" i="2"/>
  <c r="G2201" i="2" s="1"/>
  <c r="F2200" i="2"/>
  <c r="G2200" i="2" s="1"/>
  <c r="F2199" i="2"/>
  <c r="G2199" i="2" s="1"/>
  <c r="F2198" i="2"/>
  <c r="G2198" i="2" s="1"/>
  <c r="F2197" i="2"/>
  <c r="G2197" i="2" s="1"/>
  <c r="F2196" i="2"/>
  <c r="G2196" i="2" s="1"/>
  <c r="F2195" i="2"/>
  <c r="G2195" i="2" s="1"/>
  <c r="F2194" i="2"/>
  <c r="G2194" i="2" s="1"/>
  <c r="F2193" i="2"/>
  <c r="G2193" i="2" s="1"/>
  <c r="F2192" i="2"/>
  <c r="G2192" i="2" s="1"/>
  <c r="F2191" i="2"/>
  <c r="G2191" i="2" s="1"/>
  <c r="F2190" i="2"/>
  <c r="G2190" i="2" s="1"/>
  <c r="F2189" i="2"/>
  <c r="G2189" i="2" s="1"/>
  <c r="F2188" i="2"/>
  <c r="G2188" i="2" s="1"/>
  <c r="F2187" i="2"/>
  <c r="G2187" i="2" s="1"/>
  <c r="F2186" i="2"/>
  <c r="G2186" i="2" s="1"/>
  <c r="F2185" i="2"/>
  <c r="G2185" i="2" s="1"/>
  <c r="G2184" i="2"/>
  <c r="F2184" i="2"/>
  <c r="F2183" i="2"/>
  <c r="G2183" i="2" s="1"/>
  <c r="F2182" i="2"/>
  <c r="G2182" i="2" s="1"/>
  <c r="F2181" i="2"/>
  <c r="G2181" i="2" s="1"/>
  <c r="F2180" i="2"/>
  <c r="G2180" i="2" s="1"/>
  <c r="F2179" i="2"/>
  <c r="G2179" i="2" s="1"/>
  <c r="F2178" i="2"/>
  <c r="G2178" i="2" s="1"/>
  <c r="F2177" i="2"/>
  <c r="G2177" i="2" s="1"/>
  <c r="F2176" i="2"/>
  <c r="G2176" i="2" s="1"/>
  <c r="F2175" i="2"/>
  <c r="G2175" i="2" s="1"/>
  <c r="F2174" i="2"/>
  <c r="G2174" i="2" s="1"/>
  <c r="F2173" i="2"/>
  <c r="G2173" i="2" s="1"/>
  <c r="F2172" i="2"/>
  <c r="G2172" i="2" s="1"/>
  <c r="F2171" i="2"/>
  <c r="G2171" i="2" s="1"/>
  <c r="F2170" i="2"/>
  <c r="G2170" i="2" s="1"/>
  <c r="F2169" i="2"/>
  <c r="G2169" i="2" s="1"/>
  <c r="F2168" i="2"/>
  <c r="G2168" i="2" s="1"/>
  <c r="F2167" i="2"/>
  <c r="G2167" i="2" s="1"/>
  <c r="F2166" i="2"/>
  <c r="G2166" i="2" s="1"/>
  <c r="F2165" i="2"/>
  <c r="G2165" i="2" s="1"/>
  <c r="F2164" i="2"/>
  <c r="G2164" i="2" s="1"/>
  <c r="F2163" i="2"/>
  <c r="G2163" i="2" s="1"/>
  <c r="G2162" i="2"/>
  <c r="F2162" i="2"/>
  <c r="F2161" i="2"/>
  <c r="G2161" i="2" s="1"/>
  <c r="F2160" i="2"/>
  <c r="G2160" i="2" s="1"/>
  <c r="F2159" i="2"/>
  <c r="G2159" i="2" s="1"/>
  <c r="F2158" i="2"/>
  <c r="G2158" i="2" s="1"/>
  <c r="F2157" i="2"/>
  <c r="G2157" i="2" s="1"/>
  <c r="F2156" i="2"/>
  <c r="G2156" i="2" s="1"/>
  <c r="F2155" i="2"/>
  <c r="G2155" i="2" s="1"/>
  <c r="F2154" i="2"/>
  <c r="G2154" i="2" s="1"/>
  <c r="F2153" i="2"/>
  <c r="G2153" i="2" s="1"/>
  <c r="F2152" i="2"/>
  <c r="G2152" i="2" s="1"/>
  <c r="F2151" i="2"/>
  <c r="G2151" i="2" s="1"/>
  <c r="F2150" i="2"/>
  <c r="G2150" i="2" s="1"/>
  <c r="G2149" i="2"/>
  <c r="F2149" i="2"/>
  <c r="F2148" i="2"/>
  <c r="G2148" i="2" s="1"/>
  <c r="F2147" i="2"/>
  <c r="G2147" i="2" s="1"/>
  <c r="F2146" i="2"/>
  <c r="G2146" i="2" s="1"/>
  <c r="F2145" i="2"/>
  <c r="G2145" i="2" s="1"/>
  <c r="F2144" i="2"/>
  <c r="G2144" i="2" s="1"/>
  <c r="F2143" i="2"/>
  <c r="G2143" i="2" s="1"/>
  <c r="F2142" i="2"/>
  <c r="G2142" i="2" s="1"/>
  <c r="F2141" i="2"/>
  <c r="G2141" i="2" s="1"/>
  <c r="F2140" i="2"/>
  <c r="G2140" i="2" s="1"/>
  <c r="F2139" i="2"/>
  <c r="G2139" i="2" s="1"/>
  <c r="F2138" i="2"/>
  <c r="G2138" i="2" s="1"/>
  <c r="F2137" i="2"/>
  <c r="G2137" i="2" s="1"/>
  <c r="F2136" i="2"/>
  <c r="G2136" i="2" s="1"/>
  <c r="F2135" i="2"/>
  <c r="G2135" i="2" s="1"/>
  <c r="F2134" i="2"/>
  <c r="G2134" i="2" s="1"/>
  <c r="F2133" i="2"/>
  <c r="G2133" i="2" s="1"/>
  <c r="F2132" i="2"/>
  <c r="G2132" i="2" s="1"/>
  <c r="F2131" i="2"/>
  <c r="G2131" i="2" s="1"/>
  <c r="F2130" i="2"/>
  <c r="G2130" i="2" s="1"/>
  <c r="F2129" i="2"/>
  <c r="G2129" i="2" s="1"/>
  <c r="F2128" i="2"/>
  <c r="G2128" i="2" s="1"/>
  <c r="F2127" i="2"/>
  <c r="G2127" i="2" s="1"/>
  <c r="G2126" i="2"/>
  <c r="F2126" i="2"/>
  <c r="F2125" i="2"/>
  <c r="G2125" i="2" s="1"/>
  <c r="F2124" i="2"/>
  <c r="G2124" i="2" s="1"/>
  <c r="F2123" i="2"/>
  <c r="G2123" i="2" s="1"/>
  <c r="F2122" i="2"/>
  <c r="G2122" i="2" s="1"/>
  <c r="F2121" i="2"/>
  <c r="G2121" i="2" s="1"/>
  <c r="F2120" i="2"/>
  <c r="G2120" i="2" s="1"/>
  <c r="F2119" i="2"/>
  <c r="G2119" i="2" s="1"/>
  <c r="F2118" i="2"/>
  <c r="G2118" i="2" s="1"/>
  <c r="F2117" i="2"/>
  <c r="G2117" i="2" s="1"/>
  <c r="F2116" i="2"/>
  <c r="G2116" i="2" s="1"/>
  <c r="F2115" i="2"/>
  <c r="G2115" i="2" s="1"/>
  <c r="F2114" i="2"/>
  <c r="G2114" i="2" s="1"/>
  <c r="F2113" i="2"/>
  <c r="G2113" i="2" s="1"/>
  <c r="F2112" i="2"/>
  <c r="G2112" i="2" s="1"/>
  <c r="F2111" i="2"/>
  <c r="G2111" i="2" s="1"/>
  <c r="F2110" i="2"/>
  <c r="G2110" i="2" s="1"/>
  <c r="F2109" i="2"/>
  <c r="G2109" i="2" s="1"/>
  <c r="F2108" i="2"/>
  <c r="G2108" i="2" s="1"/>
  <c r="F2107" i="2"/>
  <c r="G2107" i="2" s="1"/>
  <c r="F2106" i="2"/>
  <c r="G2106" i="2" s="1"/>
  <c r="F2105" i="2"/>
  <c r="G2105" i="2" s="1"/>
  <c r="F2104" i="2"/>
  <c r="G2104" i="2" s="1"/>
  <c r="F2103" i="2"/>
  <c r="G2103" i="2" s="1"/>
  <c r="F2102" i="2"/>
  <c r="G2102" i="2" s="1"/>
  <c r="F2101" i="2"/>
  <c r="G2101" i="2" s="1"/>
  <c r="F2100" i="2"/>
  <c r="G2100" i="2" s="1"/>
  <c r="F2099" i="2"/>
  <c r="G2099" i="2" s="1"/>
  <c r="F2098" i="2"/>
  <c r="G2098" i="2" s="1"/>
  <c r="F2097" i="2"/>
  <c r="G2097" i="2" s="1"/>
  <c r="F2096" i="2"/>
  <c r="G2096" i="2" s="1"/>
  <c r="F2095" i="2"/>
  <c r="G2095" i="2" s="1"/>
  <c r="F2094" i="2"/>
  <c r="G2094" i="2" s="1"/>
  <c r="F2093" i="2"/>
  <c r="G2093" i="2" s="1"/>
  <c r="F2092" i="2"/>
  <c r="G2092" i="2" s="1"/>
  <c r="F2091" i="2"/>
  <c r="G2091" i="2" s="1"/>
  <c r="F2090" i="2"/>
  <c r="G2090" i="2" s="1"/>
  <c r="F2089" i="2"/>
  <c r="G2089" i="2" s="1"/>
  <c r="F2088" i="2"/>
  <c r="G2088" i="2" s="1"/>
  <c r="F2087" i="2"/>
  <c r="G2087" i="2" s="1"/>
  <c r="F2086" i="2"/>
  <c r="G2086" i="2" s="1"/>
  <c r="F2085" i="2"/>
  <c r="G2085" i="2" s="1"/>
  <c r="F2084" i="2"/>
  <c r="G2084" i="2" s="1"/>
  <c r="F2083" i="2"/>
  <c r="G2083" i="2" s="1"/>
  <c r="F2082" i="2"/>
  <c r="G2082" i="2" s="1"/>
  <c r="G2081" i="2"/>
  <c r="F2081" i="2"/>
  <c r="G2080" i="2"/>
  <c r="F2080" i="2"/>
  <c r="F2079" i="2"/>
  <c r="G2079" i="2" s="1"/>
  <c r="F2078" i="2"/>
  <c r="G2078" i="2" s="1"/>
  <c r="F2077" i="2"/>
  <c r="G2077" i="2" s="1"/>
  <c r="G2076" i="2"/>
  <c r="F2076" i="2"/>
  <c r="F2075" i="2"/>
  <c r="G2075" i="2" s="1"/>
  <c r="F2074" i="2"/>
  <c r="G2074" i="2" s="1"/>
  <c r="F2073" i="2"/>
  <c r="G2073" i="2" s="1"/>
  <c r="F2072" i="2"/>
  <c r="G2072" i="2" s="1"/>
  <c r="F2071" i="2"/>
  <c r="G2071" i="2" s="1"/>
  <c r="F2070" i="2"/>
  <c r="G2070" i="2" s="1"/>
  <c r="F2069" i="2"/>
  <c r="G2069" i="2" s="1"/>
  <c r="F2068" i="2"/>
  <c r="G2068" i="2" s="1"/>
  <c r="F2067" i="2"/>
  <c r="G2067" i="2" s="1"/>
  <c r="F2066" i="2"/>
  <c r="G2066" i="2" s="1"/>
  <c r="F2065" i="2"/>
  <c r="G2065" i="2" s="1"/>
  <c r="F2064" i="2"/>
  <c r="G2064" i="2" s="1"/>
  <c r="F2063" i="2"/>
  <c r="G2063" i="2" s="1"/>
  <c r="G2062" i="2"/>
  <c r="F2062" i="2"/>
  <c r="F2061" i="2"/>
  <c r="G2061" i="2" s="1"/>
  <c r="F2060" i="2"/>
  <c r="G2060" i="2" s="1"/>
  <c r="F2059" i="2"/>
  <c r="G2059" i="2" s="1"/>
  <c r="F2058" i="2"/>
  <c r="G2058" i="2" s="1"/>
  <c r="F2057" i="2"/>
  <c r="G2057" i="2" s="1"/>
  <c r="F2056" i="2"/>
  <c r="G2056" i="2" s="1"/>
  <c r="F2055" i="2"/>
  <c r="G2055" i="2" s="1"/>
  <c r="F2054" i="2"/>
  <c r="G2054" i="2" s="1"/>
  <c r="F2053" i="2"/>
  <c r="G2053" i="2" s="1"/>
  <c r="F2052" i="2"/>
  <c r="G2052" i="2" s="1"/>
  <c r="F2051" i="2"/>
  <c r="G2051" i="2" s="1"/>
  <c r="F2050" i="2"/>
  <c r="G2050" i="2" s="1"/>
  <c r="F2049" i="2"/>
  <c r="G2049" i="2" s="1"/>
  <c r="G2048" i="2"/>
  <c r="F2048" i="2"/>
  <c r="F2047" i="2"/>
  <c r="G2047" i="2" s="1"/>
  <c r="F2046" i="2"/>
  <c r="G2046" i="2" s="1"/>
  <c r="F2045" i="2"/>
  <c r="G2045" i="2" s="1"/>
  <c r="F2044" i="2"/>
  <c r="G2044" i="2" s="1"/>
  <c r="F2043" i="2"/>
  <c r="G2043" i="2" s="1"/>
  <c r="F2042" i="2"/>
  <c r="G2042" i="2" s="1"/>
  <c r="F2041" i="2"/>
  <c r="G2041" i="2" s="1"/>
  <c r="G2040" i="2"/>
  <c r="F2040" i="2"/>
  <c r="F2039" i="2"/>
  <c r="G2039" i="2" s="1"/>
  <c r="F2038" i="2"/>
  <c r="G2038" i="2" s="1"/>
  <c r="F2037" i="2"/>
  <c r="G2037" i="2" s="1"/>
  <c r="F2036" i="2"/>
  <c r="G2036" i="2" s="1"/>
  <c r="F2035" i="2"/>
  <c r="G2035" i="2" s="1"/>
  <c r="F2034" i="2"/>
  <c r="G2034" i="2" s="1"/>
  <c r="F2033" i="2"/>
  <c r="G2033" i="2" s="1"/>
  <c r="G2032" i="2"/>
  <c r="F2032" i="2"/>
  <c r="F2031" i="2"/>
  <c r="G2031" i="2" s="1"/>
  <c r="F2030" i="2"/>
  <c r="G2030" i="2" s="1"/>
  <c r="F2029" i="2"/>
  <c r="G2029" i="2" s="1"/>
  <c r="F2028" i="2"/>
  <c r="G2028" i="2" s="1"/>
  <c r="F2027" i="2"/>
  <c r="G2027" i="2" s="1"/>
  <c r="F2026" i="2"/>
  <c r="G2026" i="2" s="1"/>
  <c r="F2025" i="2"/>
  <c r="G2025" i="2" s="1"/>
  <c r="F2024" i="2"/>
  <c r="G2024" i="2" s="1"/>
  <c r="F2023" i="2"/>
  <c r="G2023" i="2" s="1"/>
  <c r="F2022" i="2"/>
  <c r="G2022" i="2" s="1"/>
  <c r="G2021" i="2"/>
  <c r="F2021" i="2"/>
  <c r="G2020" i="2"/>
  <c r="F2020" i="2"/>
  <c r="F2019" i="2"/>
  <c r="G2019" i="2" s="1"/>
  <c r="F2018" i="2"/>
  <c r="G2018" i="2" s="1"/>
  <c r="F2017" i="2"/>
  <c r="G2017" i="2" s="1"/>
  <c r="F2016" i="2"/>
  <c r="G2016" i="2" s="1"/>
  <c r="F2015" i="2"/>
  <c r="G2015" i="2" s="1"/>
  <c r="F2014" i="2"/>
  <c r="G2014" i="2" s="1"/>
  <c r="F2013" i="2"/>
  <c r="G2013" i="2" s="1"/>
  <c r="G2012" i="2"/>
  <c r="F2012" i="2"/>
  <c r="F2011" i="2"/>
  <c r="G2011" i="2" s="1"/>
  <c r="F2010" i="2"/>
  <c r="G2010" i="2" s="1"/>
  <c r="G2009" i="2"/>
  <c r="F2009" i="2"/>
  <c r="F2008" i="2"/>
  <c r="G2008" i="2" s="1"/>
  <c r="F2007" i="2"/>
  <c r="G2007" i="2" s="1"/>
  <c r="F2006" i="2"/>
  <c r="G2006" i="2" s="1"/>
  <c r="F2005" i="2"/>
  <c r="G2005" i="2" s="1"/>
  <c r="F2004" i="2"/>
  <c r="G2004" i="2" s="1"/>
  <c r="F2003" i="2"/>
  <c r="G2003" i="2" s="1"/>
  <c r="F2002" i="2"/>
  <c r="G2002" i="2" s="1"/>
  <c r="F2001" i="2"/>
  <c r="G2001" i="2" s="1"/>
  <c r="F2000" i="2"/>
  <c r="G2000" i="2" s="1"/>
  <c r="F1999" i="2"/>
  <c r="G1999" i="2" s="1"/>
  <c r="F1998" i="2"/>
  <c r="G1998" i="2" s="1"/>
  <c r="F1997" i="2"/>
  <c r="G1997" i="2" s="1"/>
  <c r="G1996" i="2"/>
  <c r="F1996" i="2"/>
  <c r="F1995" i="2"/>
  <c r="G1995" i="2" s="1"/>
  <c r="F1994" i="2"/>
  <c r="G1994" i="2" s="1"/>
  <c r="F1993" i="2"/>
  <c r="G1993" i="2" s="1"/>
  <c r="F1992" i="2"/>
  <c r="G1992" i="2" s="1"/>
  <c r="F1991" i="2"/>
  <c r="G1991" i="2" s="1"/>
  <c r="F1990" i="2"/>
  <c r="G1990" i="2" s="1"/>
  <c r="F1989" i="2"/>
  <c r="G1989" i="2" s="1"/>
  <c r="F1988" i="2"/>
  <c r="G1988" i="2" s="1"/>
  <c r="F1987" i="2"/>
  <c r="G1987" i="2" s="1"/>
  <c r="F1986" i="2"/>
  <c r="G1986" i="2" s="1"/>
  <c r="F1985" i="2"/>
  <c r="G1985" i="2" s="1"/>
  <c r="G1984" i="2"/>
  <c r="F1984" i="2"/>
  <c r="F1983" i="2"/>
  <c r="G1983" i="2" s="1"/>
  <c r="F1982" i="2"/>
  <c r="G1982" i="2" s="1"/>
  <c r="F1981" i="2"/>
  <c r="G1981" i="2" s="1"/>
  <c r="F1980" i="2"/>
  <c r="G1980" i="2" s="1"/>
  <c r="F1979" i="2"/>
  <c r="G1979" i="2" s="1"/>
  <c r="F1978" i="2"/>
  <c r="G1978" i="2" s="1"/>
  <c r="F1977" i="2"/>
  <c r="G1977" i="2" s="1"/>
  <c r="F1976" i="2"/>
  <c r="G1976" i="2" s="1"/>
  <c r="F1975" i="2"/>
  <c r="G1975" i="2" s="1"/>
  <c r="F1974" i="2"/>
  <c r="G1974" i="2" s="1"/>
  <c r="F1973" i="2"/>
  <c r="G1973" i="2" s="1"/>
  <c r="F1972" i="2"/>
  <c r="G1972" i="2" s="1"/>
  <c r="F1971" i="2"/>
  <c r="G1971" i="2" s="1"/>
  <c r="G1970" i="2"/>
  <c r="F1970" i="2"/>
  <c r="F1969" i="2"/>
  <c r="G1969" i="2" s="1"/>
  <c r="F1968" i="2"/>
  <c r="G1968" i="2" s="1"/>
  <c r="F1967" i="2"/>
  <c r="G1967" i="2" s="1"/>
  <c r="F1966" i="2"/>
  <c r="G1966" i="2" s="1"/>
  <c r="F1965" i="2"/>
  <c r="G1965" i="2" s="1"/>
  <c r="F1964" i="2"/>
  <c r="G1964" i="2" s="1"/>
  <c r="F1963" i="2"/>
  <c r="G1963" i="2" s="1"/>
  <c r="F1962" i="2"/>
  <c r="G1962" i="2" s="1"/>
  <c r="F1961" i="2"/>
  <c r="G1961" i="2" s="1"/>
  <c r="F1960" i="2"/>
  <c r="G1960" i="2" s="1"/>
  <c r="F1959" i="2"/>
  <c r="G1959" i="2" s="1"/>
  <c r="F1958" i="2"/>
  <c r="G1958" i="2" s="1"/>
  <c r="F1957" i="2"/>
  <c r="G1957" i="2" s="1"/>
  <c r="F1956" i="2"/>
  <c r="G1956" i="2" s="1"/>
  <c r="F1955" i="2"/>
  <c r="G1955" i="2" s="1"/>
  <c r="F1954" i="2"/>
  <c r="G1954" i="2" s="1"/>
  <c r="F1953" i="2"/>
  <c r="G1953" i="2" s="1"/>
  <c r="F1952" i="2"/>
  <c r="G1952" i="2" s="1"/>
  <c r="F1951" i="2"/>
  <c r="G1951" i="2" s="1"/>
  <c r="F1950" i="2"/>
  <c r="G1950" i="2" s="1"/>
  <c r="F1949" i="2"/>
  <c r="G1949" i="2" s="1"/>
  <c r="F1948" i="2"/>
  <c r="G1948" i="2" s="1"/>
  <c r="F1947" i="2"/>
  <c r="G1947" i="2" s="1"/>
  <c r="F1946" i="2"/>
  <c r="G1946" i="2" s="1"/>
  <c r="G1945" i="2"/>
  <c r="F1945" i="2"/>
  <c r="G1944" i="2"/>
  <c r="F1944" i="2"/>
  <c r="F1943" i="2"/>
  <c r="G1943" i="2" s="1"/>
  <c r="F1942" i="2"/>
  <c r="G1942" i="2" s="1"/>
  <c r="F1941" i="2"/>
  <c r="G1941" i="2" s="1"/>
  <c r="F1940" i="2"/>
  <c r="G1940" i="2" s="1"/>
  <c r="F1939" i="2"/>
  <c r="G1939" i="2" s="1"/>
  <c r="F1938" i="2"/>
  <c r="G1938" i="2" s="1"/>
  <c r="F1937" i="2"/>
  <c r="G1937" i="2" s="1"/>
  <c r="F1936" i="2"/>
  <c r="G1936" i="2" s="1"/>
  <c r="F1935" i="2"/>
  <c r="G1935" i="2" s="1"/>
  <c r="F1934" i="2"/>
  <c r="G1934" i="2" s="1"/>
  <c r="F1933" i="2"/>
  <c r="G1933" i="2" s="1"/>
  <c r="G1932" i="2"/>
  <c r="F1932" i="2"/>
  <c r="F1931" i="2"/>
  <c r="G1931" i="2" s="1"/>
  <c r="F1930" i="2"/>
  <c r="G1930" i="2" s="1"/>
  <c r="F1929" i="2"/>
  <c r="G1929" i="2" s="1"/>
  <c r="F1928" i="2"/>
  <c r="G1928" i="2" s="1"/>
  <c r="F1927" i="2"/>
  <c r="G1927" i="2" s="1"/>
  <c r="F1926" i="2"/>
  <c r="G1926" i="2" s="1"/>
  <c r="F1925" i="2"/>
  <c r="G1925" i="2" s="1"/>
  <c r="F1924" i="2"/>
  <c r="G1924" i="2" s="1"/>
  <c r="F1923" i="2"/>
  <c r="G1923" i="2" s="1"/>
  <c r="F1922" i="2"/>
  <c r="G1922" i="2" s="1"/>
  <c r="F1921" i="2"/>
  <c r="G1921" i="2" s="1"/>
  <c r="G1920" i="2"/>
  <c r="F1920" i="2"/>
  <c r="F1919" i="2"/>
  <c r="G1919" i="2" s="1"/>
  <c r="F1918" i="2"/>
  <c r="G1918" i="2" s="1"/>
  <c r="F1917" i="2"/>
  <c r="G1917" i="2" s="1"/>
  <c r="F1916" i="2"/>
  <c r="G1916" i="2" s="1"/>
  <c r="F1915" i="2"/>
  <c r="G1915" i="2" s="1"/>
  <c r="F1914" i="2"/>
  <c r="G1914" i="2" s="1"/>
  <c r="G1913" i="2"/>
  <c r="F1913" i="2"/>
  <c r="F1912" i="2"/>
  <c r="G1912" i="2" s="1"/>
  <c r="F1911" i="2"/>
  <c r="G1911" i="2" s="1"/>
  <c r="F1910" i="2"/>
  <c r="G1910" i="2" s="1"/>
  <c r="F1909" i="2"/>
  <c r="G1909" i="2" s="1"/>
  <c r="F1908" i="2"/>
  <c r="G1908" i="2" s="1"/>
  <c r="F1907" i="2"/>
  <c r="G1907" i="2" s="1"/>
  <c r="G1906" i="2"/>
  <c r="F1906" i="2"/>
  <c r="F1905" i="2"/>
  <c r="G1905" i="2" s="1"/>
  <c r="F1904" i="2"/>
  <c r="G1904" i="2" s="1"/>
  <c r="F1903" i="2"/>
  <c r="G1903" i="2" s="1"/>
  <c r="F1902" i="2"/>
  <c r="G1902" i="2" s="1"/>
  <c r="G1901" i="2"/>
  <c r="F1901" i="2"/>
  <c r="G1900" i="2"/>
  <c r="F1900" i="2"/>
  <c r="F1899" i="2"/>
  <c r="G1899" i="2" s="1"/>
  <c r="F1898" i="2"/>
  <c r="G1898" i="2" s="1"/>
  <c r="F1897" i="2"/>
  <c r="G1897" i="2" s="1"/>
  <c r="F1896" i="2"/>
  <c r="G1896" i="2" s="1"/>
  <c r="F1895" i="2"/>
  <c r="G1895" i="2" s="1"/>
  <c r="F1894" i="2"/>
  <c r="G1894" i="2" s="1"/>
  <c r="G1893" i="2"/>
  <c r="F1893" i="2"/>
  <c r="F1892" i="2"/>
  <c r="G1892" i="2" s="1"/>
  <c r="F1891" i="2"/>
  <c r="G1891" i="2" s="1"/>
  <c r="F1890" i="2"/>
  <c r="G1890" i="2" s="1"/>
  <c r="F1889" i="2"/>
  <c r="G1889" i="2" s="1"/>
  <c r="F1888" i="2"/>
  <c r="G1888" i="2" s="1"/>
  <c r="F1887" i="2"/>
  <c r="G1887" i="2" s="1"/>
  <c r="F1886" i="2"/>
  <c r="G1886" i="2" s="1"/>
  <c r="F1885" i="2"/>
  <c r="G1885" i="2" s="1"/>
  <c r="F1884" i="2"/>
  <c r="G1884" i="2" s="1"/>
  <c r="F1883" i="2"/>
  <c r="G1883" i="2" s="1"/>
  <c r="F1882" i="2"/>
  <c r="G1882" i="2" s="1"/>
  <c r="F1881" i="2"/>
  <c r="G1881" i="2" s="1"/>
  <c r="F1880" i="2"/>
  <c r="G1880" i="2" s="1"/>
  <c r="F1879" i="2"/>
  <c r="G1879" i="2" s="1"/>
  <c r="F1878" i="2"/>
  <c r="G1878" i="2" s="1"/>
  <c r="F1877" i="2"/>
  <c r="G1877" i="2" s="1"/>
  <c r="F1876" i="2"/>
  <c r="G1876" i="2" s="1"/>
  <c r="F1875" i="2"/>
  <c r="G1875" i="2" s="1"/>
  <c r="F1874" i="2"/>
  <c r="G1874" i="2" s="1"/>
  <c r="F1873" i="2"/>
  <c r="G1873" i="2" s="1"/>
  <c r="F1872" i="2"/>
  <c r="G1872" i="2" s="1"/>
  <c r="F1871" i="2"/>
  <c r="G1871" i="2" s="1"/>
  <c r="F1870" i="2"/>
  <c r="G1870" i="2" s="1"/>
  <c r="F1869" i="2"/>
  <c r="G1869" i="2" s="1"/>
  <c r="F1868" i="2"/>
  <c r="G1868" i="2" s="1"/>
  <c r="F1867" i="2"/>
  <c r="G1867" i="2" s="1"/>
  <c r="F1866" i="2"/>
  <c r="G1866" i="2" s="1"/>
  <c r="F1865" i="2"/>
  <c r="G1865" i="2" s="1"/>
  <c r="F1864" i="2"/>
  <c r="G1864" i="2" s="1"/>
  <c r="F1863" i="2"/>
  <c r="G1863" i="2" s="1"/>
  <c r="F1862" i="2"/>
  <c r="G1862" i="2" s="1"/>
  <c r="F1861" i="2"/>
  <c r="G1861" i="2" s="1"/>
  <c r="G1860" i="2"/>
  <c r="F1860" i="2"/>
  <c r="F1859" i="2"/>
  <c r="G1859" i="2" s="1"/>
  <c r="F1858" i="2"/>
  <c r="G1858" i="2" s="1"/>
  <c r="F1857" i="2"/>
  <c r="G1857" i="2" s="1"/>
  <c r="F1856" i="2"/>
  <c r="G1856" i="2" s="1"/>
  <c r="F1855" i="2"/>
  <c r="G1855" i="2" s="1"/>
  <c r="F1854" i="2"/>
  <c r="G1854" i="2" s="1"/>
  <c r="F1853" i="2"/>
  <c r="G1853" i="2" s="1"/>
  <c r="F1852" i="2"/>
  <c r="G1852" i="2" s="1"/>
  <c r="F1851" i="2"/>
  <c r="G1851" i="2" s="1"/>
  <c r="F1850" i="2"/>
  <c r="G1850" i="2" s="1"/>
  <c r="G1849" i="2"/>
  <c r="F1849" i="2"/>
  <c r="F1848" i="2"/>
  <c r="G1848" i="2" s="1"/>
  <c r="F1847" i="2"/>
  <c r="G1847" i="2" s="1"/>
  <c r="F1846" i="2"/>
  <c r="G1846" i="2" s="1"/>
  <c r="F1845" i="2"/>
  <c r="G1845" i="2" s="1"/>
  <c r="G1844" i="2"/>
  <c r="F1844" i="2"/>
  <c r="F1843" i="2"/>
  <c r="G1843" i="2" s="1"/>
  <c r="F1842" i="2"/>
  <c r="G1842" i="2" s="1"/>
  <c r="F1841" i="2"/>
  <c r="G1841" i="2" s="1"/>
  <c r="F1840" i="2"/>
  <c r="G1840" i="2" s="1"/>
  <c r="F1839" i="2"/>
  <c r="G1839" i="2" s="1"/>
  <c r="F1838" i="2"/>
  <c r="G1838" i="2" s="1"/>
  <c r="F1837" i="2"/>
  <c r="G1837" i="2" s="1"/>
  <c r="G1836" i="2"/>
  <c r="F1836" i="2"/>
  <c r="F1835" i="2"/>
  <c r="G1835" i="2" s="1"/>
  <c r="F1834" i="2"/>
  <c r="G1834" i="2" s="1"/>
  <c r="F1833" i="2"/>
  <c r="G1833" i="2" s="1"/>
  <c r="F1832" i="2"/>
  <c r="G1832" i="2" s="1"/>
  <c r="F1831" i="2"/>
  <c r="G1831" i="2" s="1"/>
  <c r="F1830" i="2"/>
  <c r="G1830" i="2" s="1"/>
  <c r="G1829" i="2"/>
  <c r="F1829" i="2"/>
  <c r="F1828" i="2"/>
  <c r="G1828" i="2" s="1"/>
  <c r="F1827" i="2"/>
  <c r="G1827" i="2" s="1"/>
  <c r="F1826" i="2"/>
  <c r="G1826" i="2" s="1"/>
  <c r="G1825" i="2"/>
  <c r="F1825" i="2"/>
  <c r="G1824" i="2"/>
  <c r="F1824" i="2"/>
  <c r="F1823" i="2"/>
  <c r="G1823" i="2" s="1"/>
  <c r="F1822" i="2"/>
  <c r="G1822" i="2" s="1"/>
  <c r="F1821" i="2"/>
  <c r="G1821" i="2" s="1"/>
  <c r="F1820" i="2"/>
  <c r="G1820" i="2" s="1"/>
  <c r="F1819" i="2"/>
  <c r="G1819" i="2" s="1"/>
  <c r="F1818" i="2"/>
  <c r="G1818" i="2" s="1"/>
  <c r="F1817" i="2"/>
  <c r="G1817" i="2" s="1"/>
  <c r="F1816" i="2"/>
  <c r="G1816" i="2" s="1"/>
  <c r="F1815" i="2"/>
  <c r="G1815" i="2" s="1"/>
  <c r="F1814" i="2"/>
  <c r="G1814" i="2" s="1"/>
  <c r="F1813" i="2"/>
  <c r="G1813" i="2" s="1"/>
  <c r="F1812" i="2"/>
  <c r="G1812" i="2" s="1"/>
  <c r="F1811" i="2"/>
  <c r="G1811" i="2" s="1"/>
  <c r="F1810" i="2"/>
  <c r="G1810" i="2" s="1"/>
  <c r="F1809" i="2"/>
  <c r="G1809" i="2" s="1"/>
  <c r="F1808" i="2"/>
  <c r="G1808" i="2" s="1"/>
  <c r="F1807" i="2"/>
  <c r="G1807" i="2" s="1"/>
  <c r="F1806" i="2"/>
  <c r="G1806" i="2" s="1"/>
  <c r="F1805" i="2"/>
  <c r="G1805" i="2" s="1"/>
  <c r="G1804" i="2"/>
  <c r="F1804" i="2"/>
  <c r="F1803" i="2"/>
  <c r="G1803" i="2" s="1"/>
  <c r="F1802" i="2"/>
  <c r="G1802" i="2" s="1"/>
  <c r="F1801" i="2"/>
  <c r="G1801" i="2" s="1"/>
  <c r="F1800" i="2"/>
  <c r="G1800" i="2" s="1"/>
  <c r="F1799" i="2"/>
  <c r="G1799" i="2" s="1"/>
  <c r="F1798" i="2"/>
  <c r="G1798" i="2" s="1"/>
  <c r="F1797" i="2"/>
  <c r="G1797" i="2" s="1"/>
  <c r="F1796" i="2"/>
  <c r="G1796" i="2" s="1"/>
  <c r="F1795" i="2"/>
  <c r="G1795" i="2" s="1"/>
  <c r="F1794" i="2"/>
  <c r="G1794" i="2" s="1"/>
  <c r="F1793" i="2"/>
  <c r="G1793" i="2" s="1"/>
  <c r="F1792" i="2"/>
  <c r="G1792" i="2" s="1"/>
  <c r="F1791" i="2"/>
  <c r="G1791" i="2" s="1"/>
  <c r="F1790" i="2"/>
  <c r="G1790" i="2" s="1"/>
  <c r="F1789" i="2"/>
  <c r="G1789" i="2" s="1"/>
  <c r="F1788" i="2"/>
  <c r="G1788" i="2" s="1"/>
  <c r="F1787" i="2"/>
  <c r="G1787" i="2" s="1"/>
  <c r="F1786" i="2"/>
  <c r="G1786" i="2" s="1"/>
  <c r="F1785" i="2"/>
  <c r="G1785" i="2" s="1"/>
  <c r="F1784" i="2"/>
  <c r="G1784" i="2" s="1"/>
  <c r="F1783" i="2"/>
  <c r="G1783" i="2" s="1"/>
  <c r="F1782" i="2"/>
  <c r="G1782" i="2" s="1"/>
  <c r="F1781" i="2"/>
  <c r="G1781" i="2" s="1"/>
  <c r="F1780" i="2"/>
  <c r="G1780" i="2" s="1"/>
  <c r="F1779" i="2"/>
  <c r="G1779" i="2" s="1"/>
  <c r="F1778" i="2"/>
  <c r="G1778" i="2" s="1"/>
  <c r="G1777" i="2"/>
  <c r="F1777" i="2"/>
  <c r="F1776" i="2"/>
  <c r="G1776" i="2" s="1"/>
  <c r="F1775" i="2"/>
  <c r="G1775" i="2" s="1"/>
  <c r="F1774" i="2"/>
  <c r="G1774" i="2" s="1"/>
  <c r="F1773" i="2"/>
  <c r="G1773" i="2" s="1"/>
  <c r="F1772" i="2"/>
  <c r="G1772" i="2" s="1"/>
  <c r="F1771" i="2"/>
  <c r="G1771" i="2" s="1"/>
  <c r="F1770" i="2"/>
  <c r="G1770" i="2" s="1"/>
  <c r="F1769" i="2"/>
  <c r="G1769" i="2" s="1"/>
  <c r="F1768" i="2"/>
  <c r="G1768" i="2" s="1"/>
  <c r="F1767" i="2"/>
  <c r="G1767" i="2" s="1"/>
  <c r="F1766" i="2"/>
  <c r="G1766" i="2" s="1"/>
  <c r="F1765" i="2"/>
  <c r="G1765" i="2" s="1"/>
  <c r="F1764" i="2"/>
  <c r="G1764" i="2" s="1"/>
  <c r="F1763" i="2"/>
  <c r="G1763" i="2" s="1"/>
  <c r="F1762" i="2"/>
  <c r="G1762" i="2" s="1"/>
  <c r="F1761" i="2"/>
  <c r="G1761" i="2" s="1"/>
  <c r="F1760" i="2"/>
  <c r="G1760" i="2" s="1"/>
  <c r="F1759" i="2"/>
  <c r="G1759" i="2" s="1"/>
  <c r="G1758" i="2"/>
  <c r="F1758" i="2"/>
  <c r="F1757" i="2"/>
  <c r="G1757" i="2" s="1"/>
  <c r="F1756" i="2"/>
  <c r="G1756" i="2" s="1"/>
  <c r="F1755" i="2"/>
  <c r="G1755" i="2" s="1"/>
  <c r="F1754" i="2"/>
  <c r="G1754" i="2" s="1"/>
  <c r="F1753" i="2"/>
  <c r="G1753" i="2" s="1"/>
  <c r="F1752" i="2"/>
  <c r="G1752" i="2" s="1"/>
  <c r="F1751" i="2"/>
  <c r="G1751" i="2" s="1"/>
  <c r="F1750" i="2"/>
  <c r="G1750" i="2" s="1"/>
  <c r="G1749" i="2"/>
  <c r="F1749" i="2"/>
  <c r="F1748" i="2"/>
  <c r="G1748" i="2" s="1"/>
  <c r="F1747" i="2"/>
  <c r="G1747" i="2" s="1"/>
  <c r="F1746" i="2"/>
  <c r="G1746" i="2" s="1"/>
  <c r="F1745" i="2"/>
  <c r="G1745" i="2" s="1"/>
  <c r="F1744" i="2"/>
  <c r="G1744" i="2" s="1"/>
  <c r="F1743" i="2"/>
  <c r="G1743" i="2" s="1"/>
  <c r="F1742" i="2"/>
  <c r="G1742" i="2" s="1"/>
  <c r="F1741" i="2"/>
  <c r="G1741" i="2" s="1"/>
  <c r="F1740" i="2"/>
  <c r="G1740" i="2" s="1"/>
  <c r="F1739" i="2"/>
  <c r="G1739" i="2" s="1"/>
  <c r="F1738" i="2"/>
  <c r="G1738" i="2" s="1"/>
  <c r="F1737" i="2"/>
  <c r="G1737" i="2" s="1"/>
  <c r="G1736" i="2"/>
  <c r="F1736" i="2"/>
  <c r="F1735" i="2"/>
  <c r="G1735" i="2" s="1"/>
  <c r="F1734" i="2"/>
  <c r="G1734" i="2" s="1"/>
  <c r="F1733" i="2"/>
  <c r="G1733" i="2" s="1"/>
  <c r="G1732" i="2"/>
  <c r="F1732" i="2"/>
  <c r="F1731" i="2"/>
  <c r="G1731" i="2" s="1"/>
  <c r="F1730" i="2"/>
  <c r="G1730" i="2" s="1"/>
  <c r="F1729" i="2"/>
  <c r="G1729" i="2" s="1"/>
  <c r="G1728" i="2"/>
  <c r="F1728" i="2"/>
  <c r="F1727" i="2"/>
  <c r="G1727" i="2" s="1"/>
  <c r="F1726" i="2"/>
  <c r="G1726" i="2" s="1"/>
  <c r="F1725" i="2"/>
  <c r="G1725" i="2" s="1"/>
  <c r="G1724" i="2"/>
  <c r="F1724" i="2"/>
  <c r="F1723" i="2"/>
  <c r="G1723" i="2" s="1"/>
  <c r="G1722" i="2"/>
  <c r="F1722" i="2"/>
  <c r="F1721" i="2"/>
  <c r="G1721" i="2" s="1"/>
  <c r="F1720" i="2"/>
  <c r="G1720" i="2" s="1"/>
  <c r="F1719" i="2"/>
  <c r="G1719" i="2" s="1"/>
  <c r="F1718" i="2"/>
  <c r="G1718" i="2" s="1"/>
  <c r="F1717" i="2"/>
  <c r="G1717" i="2" s="1"/>
  <c r="F1716" i="2"/>
  <c r="G1716" i="2" s="1"/>
  <c r="F1715" i="2"/>
  <c r="G1715" i="2" s="1"/>
  <c r="F1714" i="2"/>
  <c r="G1714" i="2" s="1"/>
  <c r="F1713" i="2"/>
  <c r="G1713" i="2" s="1"/>
  <c r="F1712" i="2"/>
  <c r="G1712" i="2" s="1"/>
  <c r="F1711" i="2"/>
  <c r="G1711" i="2" s="1"/>
  <c r="F1710" i="2"/>
  <c r="G1710" i="2" s="1"/>
  <c r="F1709" i="2"/>
  <c r="G1709" i="2" s="1"/>
  <c r="F1708" i="2"/>
  <c r="G1708" i="2" s="1"/>
  <c r="F1707" i="2"/>
  <c r="G1707" i="2" s="1"/>
  <c r="F1706" i="2"/>
  <c r="G1706" i="2" s="1"/>
  <c r="F1705" i="2"/>
  <c r="G1705" i="2" s="1"/>
  <c r="F1704" i="2"/>
  <c r="G1704" i="2" s="1"/>
  <c r="F1703" i="2"/>
  <c r="G1703" i="2" s="1"/>
  <c r="G1702" i="2"/>
  <c r="F1702" i="2"/>
  <c r="F1701" i="2"/>
  <c r="G1701" i="2" s="1"/>
  <c r="F1700" i="2"/>
  <c r="G1700" i="2" s="1"/>
  <c r="F1699" i="2"/>
  <c r="G1699" i="2" s="1"/>
  <c r="F1698" i="2"/>
  <c r="G1698" i="2" s="1"/>
  <c r="F1697" i="2"/>
  <c r="G1697" i="2" s="1"/>
  <c r="F1696" i="2"/>
  <c r="G1696" i="2" s="1"/>
  <c r="F1695" i="2"/>
  <c r="G1695" i="2" s="1"/>
  <c r="F1694" i="2"/>
  <c r="G1694" i="2" s="1"/>
  <c r="F1693" i="2"/>
  <c r="G1693" i="2" s="1"/>
  <c r="F1692" i="2"/>
  <c r="G1692" i="2" s="1"/>
  <c r="F1691" i="2"/>
  <c r="G1691" i="2" s="1"/>
  <c r="F1690" i="2"/>
  <c r="G1690" i="2" s="1"/>
  <c r="F1689" i="2"/>
  <c r="G1689" i="2" s="1"/>
  <c r="F1688" i="2"/>
  <c r="G1688" i="2" s="1"/>
  <c r="F1687" i="2"/>
  <c r="G1687" i="2" s="1"/>
  <c r="F1686" i="2"/>
  <c r="G1686" i="2" s="1"/>
  <c r="F1685" i="2"/>
  <c r="G1685" i="2" s="1"/>
  <c r="F1684" i="2"/>
  <c r="G1684" i="2" s="1"/>
  <c r="F1683" i="2"/>
  <c r="G1683" i="2" s="1"/>
  <c r="F1682" i="2"/>
  <c r="G1682" i="2" s="1"/>
  <c r="G1681" i="2"/>
  <c r="F1681" i="2"/>
  <c r="F1680" i="2"/>
  <c r="G1680" i="2" s="1"/>
  <c r="F1679" i="2"/>
  <c r="G1679" i="2" s="1"/>
  <c r="F1678" i="2"/>
  <c r="G1678" i="2" s="1"/>
  <c r="G1677" i="2"/>
  <c r="F1677" i="2"/>
  <c r="F1676" i="2"/>
  <c r="G1676" i="2" s="1"/>
  <c r="F1675" i="2"/>
  <c r="G1675" i="2" s="1"/>
  <c r="F1674" i="2"/>
  <c r="G1674" i="2" s="1"/>
  <c r="G1673" i="2"/>
  <c r="F1673" i="2"/>
  <c r="G1672" i="2"/>
  <c r="F1672" i="2"/>
  <c r="F1671" i="2"/>
  <c r="G1671" i="2" s="1"/>
  <c r="F1670" i="2"/>
  <c r="G1670" i="2" s="1"/>
  <c r="F1669" i="2"/>
  <c r="G1669" i="2" s="1"/>
  <c r="F1668" i="2"/>
  <c r="G1668" i="2" s="1"/>
  <c r="F1667" i="2"/>
  <c r="G1667" i="2" s="1"/>
  <c r="F1666" i="2"/>
  <c r="G1666" i="2" s="1"/>
  <c r="G1665" i="2"/>
  <c r="F1665" i="2"/>
  <c r="F1664" i="2"/>
  <c r="G1664" i="2" s="1"/>
  <c r="F1663" i="2"/>
  <c r="G1663" i="2" s="1"/>
  <c r="F1662" i="2"/>
  <c r="G1662" i="2" s="1"/>
  <c r="F1661" i="2"/>
  <c r="G1661" i="2" s="1"/>
  <c r="F1660" i="2"/>
  <c r="G1660" i="2" s="1"/>
  <c r="F1659" i="2"/>
  <c r="G1659" i="2" s="1"/>
  <c r="F1658" i="2"/>
  <c r="G1658" i="2" s="1"/>
  <c r="F1657" i="2"/>
  <c r="G1657" i="2" s="1"/>
  <c r="F1656" i="2"/>
  <c r="G1656" i="2" s="1"/>
  <c r="F1655" i="2"/>
  <c r="G1655" i="2" s="1"/>
  <c r="F1654" i="2"/>
  <c r="G1654" i="2" s="1"/>
  <c r="F1653" i="2"/>
  <c r="G1653" i="2" s="1"/>
  <c r="G1652" i="2"/>
  <c r="F1652" i="2"/>
  <c r="F1651" i="2"/>
  <c r="G1651" i="2" s="1"/>
  <c r="F1650" i="2"/>
  <c r="G1650" i="2" s="1"/>
  <c r="F1649" i="2"/>
  <c r="G1649" i="2" s="1"/>
  <c r="F1648" i="2"/>
  <c r="G1648" i="2" s="1"/>
  <c r="F1647" i="2"/>
  <c r="G1647" i="2" s="1"/>
  <c r="F1646" i="2"/>
  <c r="G1646" i="2" s="1"/>
  <c r="F1645" i="2"/>
  <c r="G1645" i="2" s="1"/>
  <c r="F1644" i="2"/>
  <c r="G1644" i="2" s="1"/>
  <c r="F1643" i="2"/>
  <c r="G1643" i="2" s="1"/>
  <c r="F1642" i="2"/>
  <c r="G1642" i="2" s="1"/>
  <c r="F1641" i="2"/>
  <c r="G1641" i="2" s="1"/>
  <c r="F1640" i="2"/>
  <c r="G1640" i="2" s="1"/>
  <c r="F1639" i="2"/>
  <c r="G1639" i="2" s="1"/>
  <c r="F1638" i="2"/>
  <c r="G1638" i="2" s="1"/>
  <c r="F1637" i="2"/>
  <c r="G1637" i="2" s="1"/>
  <c r="F1636" i="2"/>
  <c r="G1636" i="2" s="1"/>
  <c r="F1635" i="2"/>
  <c r="G1635" i="2" s="1"/>
  <c r="F1634" i="2"/>
  <c r="G1634" i="2" s="1"/>
  <c r="F1633" i="2"/>
  <c r="G1633" i="2" s="1"/>
  <c r="G1632" i="2"/>
  <c r="F1632" i="2"/>
  <c r="F1631" i="2"/>
  <c r="G1631" i="2" s="1"/>
  <c r="F1630" i="2"/>
  <c r="G1630" i="2" s="1"/>
  <c r="F1629" i="2"/>
  <c r="G1629" i="2" s="1"/>
  <c r="F1628" i="2"/>
  <c r="G1628" i="2" s="1"/>
  <c r="F1627" i="2"/>
  <c r="G1627" i="2" s="1"/>
  <c r="G1626" i="2"/>
  <c r="F1626" i="2"/>
  <c r="F1625" i="2"/>
  <c r="G1625" i="2" s="1"/>
  <c r="F1624" i="2"/>
  <c r="G1624" i="2" s="1"/>
  <c r="F1623" i="2"/>
  <c r="G1623" i="2" s="1"/>
  <c r="F1622" i="2"/>
  <c r="G1622" i="2" s="1"/>
  <c r="F1621" i="2"/>
  <c r="G1621" i="2" s="1"/>
  <c r="F1620" i="2"/>
  <c r="G1620" i="2" s="1"/>
  <c r="F1619" i="2"/>
  <c r="G1619" i="2" s="1"/>
  <c r="F1618" i="2"/>
  <c r="G1618" i="2" s="1"/>
  <c r="F1617" i="2"/>
  <c r="G1617" i="2" s="1"/>
  <c r="G1616" i="2"/>
  <c r="F1616" i="2"/>
  <c r="F1615" i="2"/>
  <c r="G1615" i="2" s="1"/>
  <c r="F1614" i="2"/>
  <c r="G1614" i="2" s="1"/>
  <c r="F1613" i="2"/>
  <c r="G1613" i="2" s="1"/>
  <c r="F1612" i="2"/>
  <c r="G1612" i="2" s="1"/>
  <c r="F1611" i="2"/>
  <c r="G1611" i="2" s="1"/>
  <c r="F1610" i="2"/>
  <c r="G1610" i="2" s="1"/>
  <c r="F1609" i="2"/>
  <c r="G1609" i="2" s="1"/>
  <c r="F1608" i="2"/>
  <c r="G1608" i="2" s="1"/>
  <c r="F1607" i="2"/>
  <c r="G1607" i="2" s="1"/>
  <c r="F1606" i="2"/>
  <c r="G1606" i="2" s="1"/>
  <c r="F1605" i="2"/>
  <c r="G1605" i="2" s="1"/>
  <c r="F1604" i="2"/>
  <c r="G1604" i="2" s="1"/>
  <c r="F1603" i="2"/>
  <c r="G1603" i="2" s="1"/>
  <c r="F1602" i="2"/>
  <c r="G1602" i="2" s="1"/>
  <c r="F1601" i="2"/>
  <c r="G1601" i="2" s="1"/>
  <c r="F1600" i="2"/>
  <c r="G1600" i="2" s="1"/>
  <c r="F1599" i="2"/>
  <c r="G1599" i="2" s="1"/>
  <c r="F1598" i="2"/>
  <c r="G1598" i="2" s="1"/>
  <c r="F1597" i="2"/>
  <c r="G1597" i="2" s="1"/>
  <c r="F1596" i="2"/>
  <c r="G1596" i="2" s="1"/>
  <c r="F1595" i="2"/>
  <c r="G1595" i="2" s="1"/>
  <c r="F1594" i="2"/>
  <c r="G1594" i="2" s="1"/>
  <c r="F1593" i="2"/>
  <c r="G1593" i="2" s="1"/>
  <c r="G1592" i="2"/>
  <c r="F1592" i="2"/>
  <c r="F1591" i="2"/>
  <c r="G1591" i="2" s="1"/>
  <c r="F1590" i="2"/>
  <c r="G1590" i="2" s="1"/>
  <c r="F1589" i="2"/>
  <c r="G1589" i="2" s="1"/>
  <c r="F1588" i="2"/>
  <c r="G1588" i="2" s="1"/>
  <c r="F1587" i="2"/>
  <c r="G1587" i="2" s="1"/>
  <c r="F1586" i="2"/>
  <c r="G1586" i="2" s="1"/>
  <c r="G1585" i="2"/>
  <c r="F1585" i="2"/>
  <c r="F1584" i="2"/>
  <c r="G1584" i="2" s="1"/>
  <c r="F1583" i="2"/>
  <c r="G1583" i="2" s="1"/>
  <c r="F1582" i="2"/>
  <c r="G1582" i="2" s="1"/>
  <c r="F1581" i="2"/>
  <c r="G1581" i="2" s="1"/>
  <c r="G1580" i="2"/>
  <c r="F1580" i="2"/>
  <c r="F1579" i="2"/>
  <c r="G1579" i="2" s="1"/>
  <c r="F1578" i="2"/>
  <c r="G1578" i="2" s="1"/>
  <c r="F1577" i="2"/>
  <c r="G1577" i="2" s="1"/>
  <c r="G1576" i="2"/>
  <c r="F1576" i="2"/>
  <c r="F1575" i="2"/>
  <c r="G1575" i="2" s="1"/>
  <c r="F1574" i="2"/>
  <c r="G1574" i="2" s="1"/>
  <c r="F1573" i="2"/>
  <c r="G1573" i="2" s="1"/>
  <c r="F1572" i="2"/>
  <c r="G1572" i="2" s="1"/>
  <c r="F1571" i="2"/>
  <c r="G1571" i="2" s="1"/>
  <c r="F1570" i="2"/>
  <c r="G1570" i="2" s="1"/>
  <c r="G1569" i="2"/>
  <c r="F1569" i="2"/>
  <c r="F1568" i="2"/>
  <c r="G1568" i="2" s="1"/>
  <c r="F1567" i="2"/>
  <c r="G1567" i="2" s="1"/>
  <c r="F1566" i="2"/>
  <c r="G1566" i="2" s="1"/>
  <c r="F1565" i="2"/>
  <c r="G1565" i="2" s="1"/>
  <c r="F1564" i="2"/>
  <c r="G1564" i="2" s="1"/>
  <c r="F1563" i="2"/>
  <c r="G1563" i="2" s="1"/>
  <c r="F1562" i="2"/>
  <c r="G1562" i="2" s="1"/>
  <c r="G1561" i="2"/>
  <c r="F1561" i="2"/>
  <c r="F1560" i="2"/>
  <c r="G1560" i="2" s="1"/>
  <c r="F1559" i="2"/>
  <c r="G1559" i="2" s="1"/>
  <c r="F1558" i="2"/>
  <c r="G1558" i="2" s="1"/>
  <c r="F1557" i="2"/>
  <c r="G1557" i="2" s="1"/>
  <c r="F1556" i="2"/>
  <c r="G1556" i="2" s="1"/>
  <c r="F1555" i="2"/>
  <c r="G1555" i="2" s="1"/>
  <c r="F1554" i="2"/>
  <c r="G1554" i="2" s="1"/>
  <c r="F1553" i="2"/>
  <c r="G1553" i="2" s="1"/>
  <c r="G1552" i="2"/>
  <c r="F1552" i="2"/>
  <c r="F1551" i="2"/>
  <c r="G1551" i="2" s="1"/>
  <c r="F1550" i="2"/>
  <c r="G1550" i="2" s="1"/>
  <c r="F1549" i="2"/>
  <c r="G1549" i="2" s="1"/>
  <c r="F1548" i="2"/>
  <c r="G1548" i="2" s="1"/>
  <c r="F1547" i="2"/>
  <c r="G1547" i="2" s="1"/>
  <c r="F1546" i="2"/>
  <c r="G1546" i="2" s="1"/>
  <c r="F1545" i="2"/>
  <c r="G1545" i="2" s="1"/>
  <c r="F1544" i="2"/>
  <c r="G1544" i="2" s="1"/>
  <c r="F1543" i="2"/>
  <c r="G1543" i="2" s="1"/>
  <c r="F1542" i="2"/>
  <c r="G1542" i="2" s="1"/>
  <c r="F1541" i="2"/>
  <c r="G1541" i="2" s="1"/>
  <c r="F1540" i="2"/>
  <c r="G1540" i="2" s="1"/>
  <c r="F1539" i="2"/>
  <c r="G1539" i="2" s="1"/>
  <c r="F1538" i="2"/>
  <c r="G1538" i="2" s="1"/>
  <c r="F1537" i="2"/>
  <c r="G1537" i="2" s="1"/>
  <c r="F1536" i="2"/>
  <c r="G1536" i="2" s="1"/>
  <c r="F1535" i="2"/>
  <c r="G1535" i="2" s="1"/>
  <c r="G1534" i="2"/>
  <c r="F1534" i="2"/>
  <c r="F1533" i="2"/>
  <c r="G1533" i="2" s="1"/>
  <c r="F1532" i="2"/>
  <c r="G1532" i="2" s="1"/>
  <c r="F1531" i="2"/>
  <c r="G1531" i="2" s="1"/>
  <c r="F1530" i="2"/>
  <c r="G1530" i="2" s="1"/>
  <c r="F1529" i="2"/>
  <c r="G1529" i="2" s="1"/>
  <c r="F1528" i="2"/>
  <c r="G1528" i="2" s="1"/>
  <c r="F1527" i="2"/>
  <c r="G1527" i="2" s="1"/>
  <c r="F1526" i="2"/>
  <c r="G1526" i="2" s="1"/>
  <c r="F1525" i="2"/>
  <c r="G1525" i="2" s="1"/>
  <c r="F1524" i="2"/>
  <c r="G1524" i="2" s="1"/>
  <c r="F1523" i="2"/>
  <c r="G1523" i="2" s="1"/>
  <c r="F1522" i="2"/>
  <c r="G1522" i="2" s="1"/>
  <c r="F1521" i="2"/>
  <c r="G1521" i="2" s="1"/>
  <c r="F1520" i="2"/>
  <c r="G1520" i="2" s="1"/>
  <c r="F1519" i="2"/>
  <c r="G1519" i="2" s="1"/>
  <c r="F1518" i="2"/>
  <c r="G1518" i="2" s="1"/>
  <c r="F1517" i="2"/>
  <c r="G1517" i="2" s="1"/>
  <c r="F1516" i="2"/>
  <c r="G1516" i="2" s="1"/>
  <c r="F1515" i="2"/>
  <c r="G1515" i="2" s="1"/>
  <c r="F1514" i="2"/>
  <c r="G1514" i="2" s="1"/>
  <c r="F1513" i="2"/>
  <c r="G1513" i="2" s="1"/>
  <c r="F1512" i="2"/>
  <c r="G1512" i="2" s="1"/>
  <c r="F1511" i="2"/>
  <c r="G1511" i="2" s="1"/>
  <c r="F1510" i="2"/>
  <c r="G1510" i="2" s="1"/>
  <c r="F1509" i="2"/>
  <c r="G1509" i="2" s="1"/>
  <c r="F1508" i="2"/>
  <c r="G1508" i="2" s="1"/>
  <c r="F1507" i="2"/>
  <c r="G1507" i="2" s="1"/>
  <c r="F1506" i="2"/>
  <c r="G1506" i="2" s="1"/>
  <c r="F1505" i="2"/>
  <c r="G1505" i="2" s="1"/>
  <c r="F1504" i="2"/>
  <c r="G1504" i="2" s="1"/>
  <c r="F1503" i="2"/>
  <c r="G1503" i="2" s="1"/>
  <c r="G1502" i="2"/>
  <c r="F1502" i="2"/>
  <c r="F1501" i="2"/>
  <c r="G1501" i="2" s="1"/>
  <c r="F1500" i="2"/>
  <c r="G1500" i="2" s="1"/>
  <c r="F1499" i="2"/>
  <c r="G1499" i="2" s="1"/>
  <c r="F1498" i="2"/>
  <c r="G1498" i="2" s="1"/>
  <c r="F1497" i="2"/>
  <c r="G1497" i="2" s="1"/>
  <c r="G1496" i="2"/>
  <c r="F1496" i="2"/>
  <c r="F1495" i="2"/>
  <c r="G1495" i="2" s="1"/>
  <c r="F1494" i="2"/>
  <c r="G1494" i="2" s="1"/>
  <c r="F1493" i="2"/>
  <c r="G1493" i="2" s="1"/>
  <c r="G1492" i="2"/>
  <c r="F1492" i="2"/>
  <c r="F1491" i="2"/>
  <c r="G1491" i="2" s="1"/>
  <c r="G1490" i="2"/>
  <c r="F1490" i="2"/>
  <c r="F1489" i="2"/>
  <c r="G1489" i="2" s="1"/>
  <c r="F1488" i="2"/>
  <c r="G1488" i="2" s="1"/>
  <c r="F1487" i="2"/>
  <c r="G1487" i="2" s="1"/>
  <c r="F1486" i="2"/>
  <c r="G1486" i="2" s="1"/>
  <c r="F1485" i="2"/>
  <c r="G1485" i="2" s="1"/>
  <c r="F1484" i="2"/>
  <c r="G1484" i="2" s="1"/>
  <c r="F1483" i="2"/>
  <c r="G1483" i="2" s="1"/>
  <c r="F1482" i="2"/>
  <c r="G1482" i="2" s="1"/>
  <c r="F1481" i="2"/>
  <c r="G1481" i="2" s="1"/>
  <c r="G1480" i="2"/>
  <c r="F1480" i="2"/>
  <c r="F1479" i="2"/>
  <c r="G1479" i="2" s="1"/>
  <c r="F1478" i="2"/>
  <c r="G1478" i="2" s="1"/>
  <c r="F1477" i="2"/>
  <c r="G1477" i="2" s="1"/>
  <c r="G1476" i="2"/>
  <c r="F1476" i="2"/>
  <c r="F1475" i="2"/>
  <c r="G1475" i="2" s="1"/>
  <c r="F1474" i="2"/>
  <c r="G1474" i="2" s="1"/>
  <c r="G1473" i="2"/>
  <c r="F1473" i="2"/>
  <c r="F1472" i="2"/>
  <c r="G1472" i="2" s="1"/>
  <c r="F1471" i="2"/>
  <c r="G1471" i="2" s="1"/>
  <c r="F1470" i="2"/>
  <c r="G1470" i="2" s="1"/>
  <c r="F1469" i="2"/>
  <c r="G1469" i="2" s="1"/>
  <c r="F1468" i="2"/>
  <c r="G1468" i="2" s="1"/>
  <c r="F1467" i="2"/>
  <c r="G1467" i="2" s="1"/>
  <c r="F1466" i="2"/>
  <c r="G1466" i="2" s="1"/>
  <c r="F1465" i="2"/>
  <c r="G1465" i="2" s="1"/>
  <c r="F1464" i="2"/>
  <c r="G1464" i="2" s="1"/>
  <c r="F1463" i="2"/>
  <c r="G1463" i="2" s="1"/>
  <c r="F1462" i="2"/>
  <c r="G1462" i="2" s="1"/>
  <c r="F1461" i="2"/>
  <c r="G1461" i="2" s="1"/>
  <c r="F1460" i="2"/>
  <c r="G1460" i="2" s="1"/>
  <c r="F1459" i="2"/>
  <c r="G1459" i="2" s="1"/>
  <c r="F1458" i="2"/>
  <c r="G1458" i="2" s="1"/>
  <c r="F1457" i="2"/>
  <c r="G1457" i="2" s="1"/>
  <c r="G1456" i="2"/>
  <c r="F1456" i="2"/>
  <c r="F1455" i="2"/>
  <c r="G1455" i="2" s="1"/>
  <c r="F1454" i="2"/>
  <c r="G1454" i="2" s="1"/>
  <c r="F1453" i="2"/>
  <c r="G1453" i="2" s="1"/>
  <c r="F1452" i="2"/>
  <c r="G1452" i="2" s="1"/>
  <c r="F1451" i="2"/>
  <c r="G1451" i="2" s="1"/>
  <c r="F1450" i="2"/>
  <c r="G1450" i="2" s="1"/>
  <c r="F1449" i="2"/>
  <c r="G1449" i="2" s="1"/>
  <c r="F1448" i="2"/>
  <c r="G1448" i="2" s="1"/>
  <c r="F1447" i="2"/>
  <c r="G1447" i="2" s="1"/>
  <c r="F1446" i="2"/>
  <c r="G1446" i="2" s="1"/>
  <c r="F1445" i="2"/>
  <c r="G1445" i="2" s="1"/>
  <c r="F1444" i="2"/>
  <c r="G1444" i="2" s="1"/>
  <c r="F1443" i="2"/>
  <c r="G1443" i="2" s="1"/>
  <c r="F1442" i="2"/>
  <c r="G1442" i="2" s="1"/>
  <c r="F1441" i="2"/>
  <c r="G1441" i="2" s="1"/>
  <c r="F1440" i="2"/>
  <c r="G1440" i="2" s="1"/>
  <c r="F1439" i="2"/>
  <c r="G1439" i="2" s="1"/>
  <c r="F1438" i="2"/>
  <c r="G1438" i="2" s="1"/>
  <c r="F1437" i="2"/>
  <c r="G1437" i="2" s="1"/>
  <c r="G1436" i="2"/>
  <c r="F1436" i="2"/>
  <c r="F1435" i="2"/>
  <c r="G1435" i="2" s="1"/>
  <c r="F1434" i="2"/>
  <c r="G1434" i="2" s="1"/>
  <c r="F1433" i="2"/>
  <c r="G1433" i="2" s="1"/>
  <c r="G1432" i="2"/>
  <c r="F1432" i="2"/>
  <c r="G1431" i="2"/>
  <c r="J9" i="2" s="1"/>
  <c r="K10" i="2" s="1" a="1"/>
  <c r="K10" i="2" s="1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O7" i="2" s="1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Q6" i="2" s="1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Q4" i="2" s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G2773" i="1" s="1"/>
  <c r="F2774" i="1"/>
  <c r="F2775" i="1"/>
  <c r="G2775" i="1" s="1"/>
  <c r="F2776" i="1"/>
  <c r="G2776" i="1" s="1"/>
  <c r="F2777" i="1"/>
  <c r="F2778" i="1"/>
  <c r="F2779" i="1"/>
  <c r="F2780" i="1"/>
  <c r="G2780" i="1" s="1"/>
  <c r="F2781" i="1"/>
  <c r="G2781" i="1" s="1"/>
  <c r="F2782" i="1"/>
  <c r="G2782" i="1" s="1"/>
  <c r="F2783" i="1"/>
  <c r="G2783" i="1" s="1"/>
  <c r="F2784" i="1"/>
  <c r="F2785" i="1"/>
  <c r="F2786" i="1"/>
  <c r="F2787" i="1"/>
  <c r="F2788" i="1"/>
  <c r="F2789" i="1"/>
  <c r="G2789" i="1" s="1"/>
  <c r="F2790" i="1"/>
  <c r="G2790" i="1" s="1"/>
  <c r="F2791" i="1"/>
  <c r="G2791" i="1" s="1"/>
  <c r="F2792" i="1"/>
  <c r="G2792" i="1" s="1"/>
  <c r="F2793" i="1"/>
  <c r="F2794" i="1"/>
  <c r="F2795" i="1"/>
  <c r="F2796" i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F2803" i="1"/>
  <c r="F2804" i="1"/>
  <c r="F2805" i="1"/>
  <c r="G2805" i="1" s="1"/>
  <c r="F2806" i="1"/>
  <c r="F2807" i="1"/>
  <c r="G2807" i="1" s="1"/>
  <c r="F2808" i="1"/>
  <c r="G2808" i="1" s="1"/>
  <c r="F2809" i="1"/>
  <c r="F2810" i="1"/>
  <c r="F2811" i="1"/>
  <c r="F2812" i="1"/>
  <c r="G2812" i="1" s="1"/>
  <c r="F2813" i="1"/>
  <c r="G2813" i="1" s="1"/>
  <c r="F2814" i="1"/>
  <c r="G2814" i="1" s="1"/>
  <c r="F2815" i="1"/>
  <c r="G2815" i="1" s="1"/>
  <c r="F2816" i="1"/>
  <c r="F2817" i="1"/>
  <c r="F2818" i="1"/>
  <c r="F2819" i="1"/>
  <c r="F2820" i="1"/>
  <c r="F2821" i="1"/>
  <c r="G2821" i="1" s="1"/>
  <c r="F2822" i="1"/>
  <c r="G2822" i="1" s="1"/>
  <c r="F2823" i="1"/>
  <c r="G2823" i="1" s="1"/>
  <c r="F2824" i="1"/>
  <c r="G2824" i="1" s="1"/>
  <c r="F2825" i="1"/>
  <c r="F2826" i="1"/>
  <c r="F2827" i="1"/>
  <c r="F2828" i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F2835" i="1"/>
  <c r="F2836" i="1"/>
  <c r="F2837" i="1"/>
  <c r="G2837" i="1" s="1"/>
  <c r="F2838" i="1"/>
  <c r="F2839" i="1"/>
  <c r="G2839" i="1" s="1"/>
  <c r="F2840" i="1"/>
  <c r="G2840" i="1" s="1"/>
  <c r="F2841" i="1"/>
  <c r="F2842" i="1"/>
  <c r="F2843" i="1"/>
  <c r="F2844" i="1"/>
  <c r="G2844" i="1" s="1"/>
  <c r="F2845" i="1"/>
  <c r="G2845" i="1" s="1"/>
  <c r="F2846" i="1"/>
  <c r="G2846" i="1" s="1"/>
  <c r="F2847" i="1"/>
  <c r="G2847" i="1" s="1"/>
  <c r="F2848" i="1"/>
  <c r="F2849" i="1"/>
  <c r="F2850" i="1"/>
  <c r="F2851" i="1"/>
  <c r="F2852" i="1"/>
  <c r="F2853" i="1"/>
  <c r="G2853" i="1" s="1"/>
  <c r="F2854" i="1"/>
  <c r="G2854" i="1" s="1"/>
  <c r="F2855" i="1"/>
  <c r="G2855" i="1" s="1"/>
  <c r="F2856" i="1"/>
  <c r="G2856" i="1" s="1"/>
  <c r="F2857" i="1"/>
  <c r="F2858" i="1"/>
  <c r="F2859" i="1"/>
  <c r="F2860" i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F2867" i="1"/>
  <c r="F2868" i="1"/>
  <c r="F2869" i="1"/>
  <c r="G2869" i="1" s="1"/>
  <c r="F2870" i="1"/>
  <c r="F2871" i="1"/>
  <c r="G2871" i="1" s="1"/>
  <c r="F2872" i="1"/>
  <c r="G2872" i="1" s="1"/>
  <c r="F2873" i="1"/>
  <c r="F2874" i="1"/>
  <c r="F2875" i="1"/>
  <c r="F2876" i="1"/>
  <c r="G2876" i="1" s="1"/>
  <c r="F2877" i="1"/>
  <c r="G2877" i="1" s="1"/>
  <c r="F2878" i="1"/>
  <c r="G2878" i="1" s="1"/>
  <c r="F2879" i="1"/>
  <c r="G2879" i="1" s="1"/>
  <c r="F2880" i="1"/>
  <c r="F2881" i="1"/>
  <c r="F2882" i="1"/>
  <c r="F2883" i="1"/>
  <c r="F2884" i="1"/>
  <c r="F2885" i="1"/>
  <c r="G2885" i="1" s="1"/>
  <c r="F2886" i="1"/>
  <c r="G2886" i="1" s="1"/>
  <c r="F2887" i="1"/>
  <c r="G2887" i="1" s="1"/>
  <c r="F2888" i="1"/>
  <c r="G2888" i="1" s="1"/>
  <c r="F2889" i="1"/>
  <c r="F2890" i="1"/>
  <c r="F2891" i="1"/>
  <c r="F2892" i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F2899" i="1"/>
  <c r="F2900" i="1"/>
  <c r="F2901" i="1"/>
  <c r="G2901" i="1" s="1"/>
  <c r="F2902" i="1"/>
  <c r="F2903" i="1"/>
  <c r="G2903" i="1" s="1"/>
  <c r="F2904" i="1"/>
  <c r="G2904" i="1" s="1"/>
  <c r="F2905" i="1"/>
  <c r="F2906" i="1"/>
  <c r="F2907" i="1"/>
  <c r="F2908" i="1"/>
  <c r="G2908" i="1" s="1"/>
  <c r="F2909" i="1"/>
  <c r="G2909" i="1" s="1"/>
  <c r="F2910" i="1"/>
  <c r="G2910" i="1" s="1"/>
  <c r="F2911" i="1"/>
  <c r="G2911" i="1" s="1"/>
  <c r="F2912" i="1"/>
  <c r="F2913" i="1"/>
  <c r="F2914" i="1"/>
  <c r="F2915" i="1"/>
  <c r="F2916" i="1"/>
  <c r="F2917" i="1"/>
  <c r="G2917" i="1" s="1"/>
  <c r="F2918" i="1"/>
  <c r="G2918" i="1" s="1"/>
  <c r="F2919" i="1"/>
  <c r="G2919" i="1" s="1"/>
  <c r="F2920" i="1"/>
  <c r="G2920" i="1" s="1"/>
  <c r="F2921" i="1"/>
  <c r="F2922" i="1"/>
  <c r="F2923" i="1"/>
  <c r="F2924" i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F2931" i="1"/>
  <c r="F2932" i="1"/>
  <c r="F2933" i="1"/>
  <c r="G2933" i="1" s="1"/>
  <c r="F2934" i="1"/>
  <c r="F2935" i="1"/>
  <c r="G2935" i="1" s="1"/>
  <c r="F2936" i="1"/>
  <c r="G2936" i="1" s="1"/>
  <c r="F2937" i="1"/>
  <c r="F2938" i="1"/>
  <c r="F2939" i="1"/>
  <c r="F2940" i="1"/>
  <c r="G2940" i="1" s="1"/>
  <c r="F2941" i="1"/>
  <c r="G2941" i="1" s="1"/>
  <c r="F2942" i="1"/>
  <c r="G2942" i="1" s="1"/>
  <c r="F2943" i="1"/>
  <c r="G2943" i="1" s="1"/>
  <c r="F2944" i="1"/>
  <c r="F2945" i="1"/>
  <c r="F2946" i="1"/>
  <c r="F2947" i="1"/>
  <c r="F2948" i="1"/>
  <c r="F2949" i="1"/>
  <c r="G2949" i="1" s="1"/>
  <c r="F2950" i="1"/>
  <c r="G2950" i="1" s="1"/>
  <c r="F2951" i="1"/>
  <c r="G2951" i="1" s="1"/>
  <c r="F2952" i="1"/>
  <c r="G2952" i="1" s="1"/>
  <c r="F2953" i="1"/>
  <c r="F2954" i="1"/>
  <c r="F2955" i="1"/>
  <c r="F2956" i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F2963" i="1"/>
  <c r="F2964" i="1"/>
  <c r="F2965" i="1"/>
  <c r="G2965" i="1" s="1"/>
  <c r="F2966" i="1"/>
  <c r="F2967" i="1"/>
  <c r="G2967" i="1" s="1"/>
  <c r="F2968" i="1"/>
  <c r="G2968" i="1" s="1"/>
  <c r="F2969" i="1"/>
  <c r="F2970" i="1"/>
  <c r="F2971" i="1"/>
  <c r="F2972" i="1"/>
  <c r="G2972" i="1" s="1"/>
  <c r="F2973" i="1"/>
  <c r="G2973" i="1" s="1"/>
  <c r="F2974" i="1"/>
  <c r="G2974" i="1" s="1"/>
  <c r="F2975" i="1"/>
  <c r="G2975" i="1" s="1"/>
  <c r="F2976" i="1"/>
  <c r="F2977" i="1"/>
  <c r="F2978" i="1"/>
  <c r="F2979" i="1"/>
  <c r="F2980" i="1"/>
  <c r="F2981" i="1"/>
  <c r="G2981" i="1" s="1"/>
  <c r="F2982" i="1"/>
  <c r="G2982" i="1" s="1"/>
  <c r="F2983" i="1"/>
  <c r="G2983" i="1" s="1"/>
  <c r="F2984" i="1"/>
  <c r="G2984" i="1" s="1"/>
  <c r="F2985" i="1"/>
  <c r="F2986" i="1"/>
  <c r="F2987" i="1"/>
  <c r="F2988" i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F2995" i="1"/>
  <c r="F2996" i="1"/>
  <c r="F2997" i="1"/>
  <c r="G2997" i="1" s="1"/>
  <c r="F2998" i="1"/>
  <c r="F2999" i="1"/>
  <c r="G2999" i="1" s="1"/>
  <c r="F3000" i="1"/>
  <c r="G3000" i="1" s="1"/>
  <c r="F3001" i="1"/>
  <c r="F3002" i="1"/>
  <c r="F3003" i="1"/>
  <c r="F3004" i="1"/>
  <c r="G3004" i="1" s="1"/>
  <c r="F3005" i="1"/>
  <c r="G3005" i="1" s="1"/>
  <c r="F3006" i="1"/>
  <c r="G3006" i="1" s="1"/>
  <c r="F3007" i="1"/>
  <c r="G3007" i="1" s="1"/>
  <c r="F3008" i="1"/>
  <c r="F3009" i="1"/>
  <c r="F3010" i="1"/>
  <c r="F3011" i="1"/>
  <c r="F3012" i="1"/>
  <c r="F3013" i="1"/>
  <c r="G3013" i="1" s="1"/>
  <c r="F3014" i="1"/>
  <c r="G3014" i="1" s="1"/>
  <c r="F3015" i="1"/>
  <c r="G3015" i="1" s="1"/>
  <c r="F3016" i="1"/>
  <c r="G3016" i="1" s="1"/>
  <c r="F3017" i="1"/>
  <c r="F3018" i="1"/>
  <c r="F3019" i="1"/>
  <c r="F3020" i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F3027" i="1"/>
  <c r="F3028" i="1"/>
  <c r="F3029" i="1"/>
  <c r="G3029" i="1" s="1"/>
  <c r="F3030" i="1"/>
  <c r="F3031" i="1"/>
  <c r="G3031" i="1" s="1"/>
  <c r="F3032" i="1"/>
  <c r="G3032" i="1" s="1"/>
  <c r="F3033" i="1"/>
  <c r="F3034" i="1"/>
  <c r="F3035" i="1"/>
  <c r="F3036" i="1"/>
  <c r="G3036" i="1" s="1"/>
  <c r="F3037" i="1"/>
  <c r="G3037" i="1" s="1"/>
  <c r="F3038" i="1"/>
  <c r="G3038" i="1" s="1"/>
  <c r="F3039" i="1"/>
  <c r="G3039" i="1" s="1"/>
  <c r="F3040" i="1"/>
  <c r="F3041" i="1"/>
  <c r="F3042" i="1"/>
  <c r="F3043" i="1"/>
  <c r="F3044" i="1"/>
  <c r="F3045" i="1"/>
  <c r="G3045" i="1" s="1"/>
  <c r="F3046" i="1"/>
  <c r="G3046" i="1" s="1"/>
  <c r="F3047" i="1"/>
  <c r="G3047" i="1" s="1"/>
  <c r="F3048" i="1"/>
  <c r="G3048" i="1" s="1"/>
  <c r="F3049" i="1"/>
  <c r="F3050" i="1"/>
  <c r="F3051" i="1"/>
  <c r="F3052" i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F3059" i="1"/>
  <c r="F3060" i="1"/>
  <c r="F3061" i="1"/>
  <c r="G3061" i="1" s="1"/>
  <c r="F3062" i="1"/>
  <c r="F3063" i="1"/>
  <c r="G3063" i="1" s="1"/>
  <c r="F3064" i="1"/>
  <c r="G3064" i="1" s="1"/>
  <c r="F3065" i="1"/>
  <c r="F3066" i="1"/>
  <c r="F3067" i="1"/>
  <c r="F3068" i="1"/>
  <c r="G3068" i="1" s="1"/>
  <c r="F3069" i="1"/>
  <c r="G3069" i="1" s="1"/>
  <c r="F3070" i="1"/>
  <c r="G3070" i="1" s="1"/>
  <c r="F3071" i="1"/>
  <c r="G3071" i="1" s="1"/>
  <c r="F3072" i="1"/>
  <c r="F3073" i="1"/>
  <c r="F3074" i="1"/>
  <c r="F3075" i="1"/>
  <c r="F3076" i="1"/>
  <c r="F3077" i="1"/>
  <c r="G3077" i="1" s="1"/>
  <c r="F3078" i="1"/>
  <c r="G3078" i="1" s="1"/>
  <c r="F3079" i="1"/>
  <c r="G3079" i="1" s="1"/>
  <c r="F3080" i="1"/>
  <c r="G3080" i="1" s="1"/>
  <c r="F3081" i="1"/>
  <c r="F3082" i="1"/>
  <c r="F3083" i="1"/>
  <c r="F3084" i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F3091" i="1"/>
  <c r="F3092" i="1"/>
  <c r="F3093" i="1"/>
  <c r="G3093" i="1" s="1"/>
  <c r="F3094" i="1"/>
  <c r="F3095" i="1"/>
  <c r="G3095" i="1" s="1"/>
  <c r="F3096" i="1"/>
  <c r="G3096" i="1" s="1"/>
  <c r="F3097" i="1"/>
  <c r="F3098" i="1"/>
  <c r="F3099" i="1"/>
  <c r="F3100" i="1"/>
  <c r="G3100" i="1" s="1"/>
  <c r="F3101" i="1"/>
  <c r="G3101" i="1" s="1"/>
  <c r="F3102" i="1"/>
  <c r="G3102" i="1" s="1"/>
  <c r="F3103" i="1"/>
  <c r="G3103" i="1" s="1"/>
  <c r="F3104" i="1"/>
  <c r="F3105" i="1"/>
  <c r="F3106" i="1"/>
  <c r="F3107" i="1"/>
  <c r="F3108" i="1"/>
  <c r="F3109" i="1"/>
  <c r="G3109" i="1" s="1"/>
  <c r="F3110" i="1"/>
  <c r="G3110" i="1" s="1"/>
  <c r="F3111" i="1"/>
  <c r="G3111" i="1" s="1"/>
  <c r="F3112" i="1"/>
  <c r="G3112" i="1" s="1"/>
  <c r="F3113" i="1"/>
  <c r="F3114" i="1"/>
  <c r="F3115" i="1"/>
  <c r="F3116" i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F3123" i="1"/>
  <c r="F3124" i="1"/>
  <c r="F3125" i="1"/>
  <c r="G3125" i="1" s="1"/>
  <c r="F3126" i="1"/>
  <c r="F3127" i="1"/>
  <c r="G3127" i="1" s="1"/>
  <c r="F3128" i="1"/>
  <c r="G3128" i="1" s="1"/>
  <c r="F3129" i="1"/>
  <c r="F3130" i="1"/>
  <c r="F3131" i="1"/>
  <c r="F3132" i="1"/>
  <c r="G3132" i="1" s="1"/>
  <c r="F3133" i="1"/>
  <c r="G3133" i="1" s="1"/>
  <c r="F3134" i="1"/>
  <c r="G3134" i="1" s="1"/>
  <c r="F3135" i="1"/>
  <c r="G3135" i="1" s="1"/>
  <c r="F3136" i="1"/>
  <c r="F3137" i="1"/>
  <c r="F3138" i="1"/>
  <c r="F3139" i="1"/>
  <c r="F3140" i="1"/>
  <c r="F3141" i="1"/>
  <c r="G3141" i="1" s="1"/>
  <c r="F3142" i="1"/>
  <c r="G3142" i="1" s="1"/>
  <c r="F3143" i="1"/>
  <c r="G3143" i="1" s="1"/>
  <c r="F3144" i="1"/>
  <c r="G3144" i="1" s="1"/>
  <c r="F3145" i="1"/>
  <c r="F3146" i="1"/>
  <c r="F3147" i="1"/>
  <c r="F3148" i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F3155" i="1"/>
  <c r="F3156" i="1"/>
  <c r="F3157" i="1"/>
  <c r="G3157" i="1" s="1"/>
  <c r="F3158" i="1"/>
  <c r="F3159" i="1"/>
  <c r="G3159" i="1" s="1"/>
  <c r="F3160" i="1"/>
  <c r="G3160" i="1" s="1"/>
  <c r="F3161" i="1"/>
  <c r="F3162" i="1"/>
  <c r="F3163" i="1"/>
  <c r="F3164" i="1"/>
  <c r="G3164" i="1" s="1"/>
  <c r="F3165" i="1"/>
  <c r="G3165" i="1" s="1"/>
  <c r="F3166" i="1"/>
  <c r="G3166" i="1" s="1"/>
  <c r="F3167" i="1"/>
  <c r="G3167" i="1" s="1"/>
  <c r="F3168" i="1"/>
  <c r="F3169" i="1"/>
  <c r="F3170" i="1"/>
  <c r="F3171" i="1"/>
  <c r="F3172" i="1"/>
  <c r="F3173" i="1"/>
  <c r="G3173" i="1" s="1"/>
  <c r="F3174" i="1"/>
  <c r="G3174" i="1" s="1"/>
  <c r="F3175" i="1"/>
  <c r="G3175" i="1" s="1"/>
  <c r="F3176" i="1"/>
  <c r="G3176" i="1" s="1"/>
  <c r="F3177" i="1"/>
  <c r="F3178" i="1"/>
  <c r="F3179" i="1"/>
  <c r="F3180" i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F3187" i="1"/>
  <c r="F3188" i="1"/>
  <c r="F3189" i="1"/>
  <c r="G3189" i="1" s="1"/>
  <c r="F3190" i="1"/>
  <c r="F3191" i="1"/>
  <c r="G3191" i="1" s="1"/>
  <c r="F3192" i="1"/>
  <c r="G3192" i="1" s="1"/>
  <c r="F3193" i="1"/>
  <c r="F3194" i="1"/>
  <c r="F3195" i="1"/>
  <c r="F3196" i="1"/>
  <c r="G3196" i="1" s="1"/>
  <c r="F3197" i="1"/>
  <c r="G3197" i="1" s="1"/>
  <c r="F3198" i="1"/>
  <c r="G3198" i="1" s="1"/>
  <c r="F3199" i="1"/>
  <c r="G3199" i="1" s="1"/>
  <c r="F3200" i="1"/>
  <c r="F3201" i="1"/>
  <c r="F3202" i="1"/>
  <c r="F3203" i="1"/>
  <c r="F3204" i="1"/>
  <c r="F3205" i="1"/>
  <c r="G3205" i="1" s="1"/>
  <c r="F3206" i="1"/>
  <c r="G3206" i="1" s="1"/>
  <c r="F3207" i="1"/>
  <c r="G3207" i="1" s="1"/>
  <c r="F3208" i="1"/>
  <c r="G3208" i="1" s="1"/>
  <c r="F3209" i="1"/>
  <c r="F3210" i="1"/>
  <c r="F3211" i="1"/>
  <c r="F3212" i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F3219" i="1"/>
  <c r="F3220" i="1"/>
  <c r="F3221" i="1"/>
  <c r="G3221" i="1" s="1"/>
  <c r="F3222" i="1"/>
  <c r="F3223" i="1"/>
  <c r="G3223" i="1" s="1"/>
  <c r="F3224" i="1"/>
  <c r="G3224" i="1" s="1"/>
  <c r="F3225" i="1"/>
  <c r="F3226" i="1"/>
  <c r="F3227" i="1"/>
  <c r="F3228" i="1"/>
  <c r="G3228" i="1" s="1"/>
  <c r="F3229" i="1"/>
  <c r="G3229" i="1" s="1"/>
  <c r="F3230" i="1"/>
  <c r="G3230" i="1" s="1"/>
  <c r="F3231" i="1"/>
  <c r="G3231" i="1" s="1"/>
  <c r="F3232" i="1"/>
  <c r="F3233" i="1"/>
  <c r="F3234" i="1"/>
  <c r="F3235" i="1"/>
  <c r="F3236" i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F3243" i="1"/>
  <c r="F3244" i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F3251" i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F3259" i="1"/>
  <c r="F3260" i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F3267" i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F3275" i="1"/>
  <c r="F3276" i="1"/>
  <c r="F3277" i="1"/>
  <c r="G3277" i="1" s="1"/>
  <c r="F3278" i="1"/>
  <c r="G3278" i="1" s="1"/>
  <c r="F3279" i="1"/>
  <c r="G3279" i="1" s="1"/>
  <c r="F3280" i="1"/>
  <c r="G3280" i="1" s="1"/>
  <c r="F3281" i="1"/>
  <c r="F3282" i="1"/>
  <c r="F3283" i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F3291" i="1"/>
  <c r="F3292" i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F3299" i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F3307" i="1"/>
  <c r="F3308" i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F3315" i="1"/>
  <c r="F3316" i="1"/>
  <c r="G3316" i="1" s="1"/>
  <c r="F3317" i="1"/>
  <c r="G3317" i="1" s="1"/>
  <c r="F3318" i="1"/>
  <c r="G3318" i="1" s="1"/>
  <c r="F3319" i="1"/>
  <c r="G3319" i="1" s="1"/>
  <c r="F3320" i="1"/>
  <c r="G3320" i="1" s="1"/>
  <c r="G3315" i="1"/>
  <c r="G3314" i="1"/>
  <c r="G3308" i="1"/>
  <c r="G3307" i="1"/>
  <c r="G3306" i="1"/>
  <c r="G3299" i="1"/>
  <c r="G3298" i="1"/>
  <c r="G3292" i="1"/>
  <c r="G3291" i="1"/>
  <c r="G3290" i="1"/>
  <c r="G3283" i="1"/>
  <c r="G3282" i="1"/>
  <c r="G3281" i="1"/>
  <c r="G3276" i="1"/>
  <c r="G3275" i="1"/>
  <c r="G3274" i="1"/>
  <c r="G3267" i="1"/>
  <c r="G3266" i="1"/>
  <c r="G3260" i="1"/>
  <c r="G3259" i="1"/>
  <c r="G3258" i="1"/>
  <c r="G3251" i="1"/>
  <c r="G3250" i="1"/>
  <c r="G3244" i="1"/>
  <c r="G3243" i="1"/>
  <c r="G3242" i="1"/>
  <c r="G3236" i="1"/>
  <c r="G3235" i="1"/>
  <c r="G3234" i="1"/>
  <c r="G3233" i="1"/>
  <c r="G3232" i="1"/>
  <c r="G3227" i="1"/>
  <c r="G3226" i="1"/>
  <c r="G3225" i="1"/>
  <c r="G3222" i="1"/>
  <c r="G3220" i="1"/>
  <c r="G3219" i="1"/>
  <c r="G3218" i="1"/>
  <c r="G3212" i="1"/>
  <c r="G3211" i="1"/>
  <c r="G3210" i="1"/>
  <c r="G3209" i="1"/>
  <c r="G3204" i="1"/>
  <c r="G3203" i="1"/>
  <c r="G3202" i="1"/>
  <c r="G3201" i="1"/>
  <c r="G3200" i="1"/>
  <c r="G3195" i="1"/>
  <c r="G3194" i="1"/>
  <c r="G3193" i="1"/>
  <c r="G3190" i="1"/>
  <c r="G3188" i="1"/>
  <c r="G3187" i="1"/>
  <c r="G3186" i="1"/>
  <c r="G3180" i="1"/>
  <c r="G3179" i="1"/>
  <c r="G3178" i="1"/>
  <c r="G3177" i="1"/>
  <c r="G3172" i="1"/>
  <c r="G3171" i="1"/>
  <c r="G3170" i="1"/>
  <c r="G3169" i="1"/>
  <c r="G3168" i="1"/>
  <c r="G3163" i="1"/>
  <c r="G3162" i="1"/>
  <c r="G3161" i="1"/>
  <c r="G3158" i="1"/>
  <c r="G3156" i="1"/>
  <c r="G3155" i="1"/>
  <c r="G3154" i="1"/>
  <c r="G3148" i="1"/>
  <c r="G3147" i="1"/>
  <c r="G3146" i="1"/>
  <c r="G3145" i="1"/>
  <c r="G3140" i="1"/>
  <c r="G3139" i="1"/>
  <c r="G3138" i="1"/>
  <c r="G3137" i="1"/>
  <c r="G3136" i="1"/>
  <c r="G3131" i="1"/>
  <c r="G3130" i="1"/>
  <c r="G3129" i="1"/>
  <c r="G3126" i="1"/>
  <c r="G3124" i="1"/>
  <c r="G3123" i="1"/>
  <c r="G3122" i="1"/>
  <c r="G3116" i="1"/>
  <c r="G3115" i="1"/>
  <c r="G3114" i="1"/>
  <c r="G3113" i="1"/>
  <c r="G3108" i="1"/>
  <c r="G3107" i="1"/>
  <c r="G3106" i="1"/>
  <c r="G3105" i="1"/>
  <c r="G3104" i="1"/>
  <c r="G3099" i="1"/>
  <c r="G3098" i="1"/>
  <c r="G3097" i="1"/>
  <c r="G3094" i="1"/>
  <c r="G3092" i="1"/>
  <c r="G3091" i="1"/>
  <c r="G3090" i="1"/>
  <c r="G3084" i="1"/>
  <c r="G3083" i="1"/>
  <c r="G3082" i="1"/>
  <c r="G3081" i="1"/>
  <c r="G3076" i="1"/>
  <c r="G3075" i="1"/>
  <c r="G3074" i="1"/>
  <c r="G3073" i="1"/>
  <c r="G3072" i="1"/>
  <c r="G3067" i="1"/>
  <c r="G3066" i="1"/>
  <c r="G3065" i="1"/>
  <c r="G3062" i="1"/>
  <c r="G3060" i="1"/>
  <c r="G3059" i="1"/>
  <c r="G3058" i="1"/>
  <c r="G3052" i="1"/>
  <c r="G3051" i="1"/>
  <c r="G3050" i="1"/>
  <c r="G3049" i="1"/>
  <c r="G3044" i="1"/>
  <c r="G3043" i="1"/>
  <c r="G3042" i="1"/>
  <c r="G3041" i="1"/>
  <c r="G3040" i="1"/>
  <c r="G3035" i="1"/>
  <c r="G3034" i="1"/>
  <c r="G3033" i="1"/>
  <c r="G3030" i="1"/>
  <c r="G3028" i="1"/>
  <c r="G3027" i="1"/>
  <c r="G3026" i="1"/>
  <c r="G3020" i="1"/>
  <c r="G3019" i="1"/>
  <c r="G3018" i="1"/>
  <c r="G3017" i="1"/>
  <c r="G3012" i="1"/>
  <c r="G3011" i="1"/>
  <c r="G3010" i="1"/>
  <c r="G3009" i="1"/>
  <c r="G3008" i="1"/>
  <c r="G3003" i="1"/>
  <c r="G3002" i="1"/>
  <c r="G3001" i="1"/>
  <c r="G2998" i="1"/>
  <c r="G2996" i="1"/>
  <c r="G2995" i="1"/>
  <c r="G2994" i="1"/>
  <c r="G2988" i="1"/>
  <c r="G2987" i="1"/>
  <c r="G2986" i="1"/>
  <c r="G2985" i="1"/>
  <c r="G2980" i="1"/>
  <c r="G2979" i="1"/>
  <c r="G2978" i="1"/>
  <c r="G2977" i="1"/>
  <c r="G2976" i="1"/>
  <c r="G2971" i="1"/>
  <c r="G2970" i="1"/>
  <c r="G2969" i="1"/>
  <c r="G2966" i="1"/>
  <c r="G2964" i="1"/>
  <c r="G2963" i="1"/>
  <c r="G2962" i="1"/>
  <c r="G2956" i="1"/>
  <c r="G2955" i="1"/>
  <c r="G2954" i="1"/>
  <c r="G2953" i="1"/>
  <c r="G2948" i="1"/>
  <c r="G2947" i="1"/>
  <c r="G2946" i="1"/>
  <c r="G2945" i="1"/>
  <c r="G2944" i="1"/>
  <c r="G2939" i="1"/>
  <c r="G2938" i="1"/>
  <c r="G2937" i="1"/>
  <c r="G2934" i="1"/>
  <c r="G2932" i="1"/>
  <c r="G2931" i="1"/>
  <c r="G2930" i="1"/>
  <c r="G2924" i="1"/>
  <c r="G2923" i="1"/>
  <c r="G2922" i="1"/>
  <c r="G2921" i="1"/>
  <c r="G2916" i="1"/>
  <c r="G2915" i="1"/>
  <c r="G2914" i="1"/>
  <c r="G2913" i="1"/>
  <c r="G2912" i="1"/>
  <c r="G2907" i="1"/>
  <c r="G2906" i="1"/>
  <c r="G2905" i="1"/>
  <c r="G2902" i="1"/>
  <c r="G2900" i="1"/>
  <c r="G2899" i="1"/>
  <c r="G2898" i="1"/>
  <c r="G2892" i="1"/>
  <c r="G2891" i="1"/>
  <c r="G2890" i="1"/>
  <c r="G2889" i="1"/>
  <c r="G2884" i="1"/>
  <c r="G2883" i="1"/>
  <c r="G2882" i="1"/>
  <c r="G2881" i="1"/>
  <c r="G2880" i="1"/>
  <c r="G2875" i="1"/>
  <c r="G2874" i="1"/>
  <c r="G2873" i="1"/>
  <c r="G2870" i="1"/>
  <c r="G2868" i="1"/>
  <c r="G2867" i="1"/>
  <c r="G2866" i="1"/>
  <c r="G2860" i="1"/>
  <c r="G2859" i="1"/>
  <c r="G2858" i="1"/>
  <c r="G2857" i="1"/>
  <c r="G2852" i="1"/>
  <c r="G2851" i="1"/>
  <c r="G2850" i="1"/>
  <c r="G2849" i="1"/>
  <c r="G2848" i="1"/>
  <c r="G2843" i="1"/>
  <c r="G2842" i="1"/>
  <c r="G2841" i="1"/>
  <c r="G2838" i="1"/>
  <c r="G2836" i="1"/>
  <c r="G2835" i="1"/>
  <c r="G2834" i="1"/>
  <c r="G2828" i="1"/>
  <c r="G2827" i="1"/>
  <c r="G2826" i="1"/>
  <c r="G2825" i="1"/>
  <c r="G2820" i="1"/>
  <c r="G2819" i="1"/>
  <c r="G2818" i="1"/>
  <c r="G2817" i="1"/>
  <c r="G2816" i="1"/>
  <c r="G2811" i="1"/>
  <c r="G2810" i="1"/>
  <c r="G2809" i="1"/>
  <c r="G2806" i="1"/>
  <c r="G2804" i="1"/>
  <c r="G2803" i="1"/>
  <c r="G2802" i="1"/>
  <c r="G2796" i="1"/>
  <c r="G2795" i="1"/>
  <c r="G2794" i="1"/>
  <c r="G2793" i="1"/>
  <c r="G2788" i="1"/>
  <c r="G2787" i="1"/>
  <c r="G2786" i="1"/>
  <c r="G2785" i="1"/>
  <c r="G2784" i="1"/>
  <c r="G2779" i="1"/>
  <c r="G2778" i="1"/>
  <c r="G2777" i="1"/>
  <c r="G2774" i="1"/>
  <c r="G2772" i="1"/>
  <c r="K5" i="4" l="1" a="1"/>
  <c r="K5" i="4" s="1"/>
  <c r="J6" i="4"/>
  <c r="K7" i="4" s="1" a="1"/>
  <c r="K7" i="4" s="1"/>
  <c r="I3068" i="4"/>
  <c r="P4" i="4"/>
  <c r="L4" i="2"/>
  <c r="O4" i="2"/>
  <c r="N5" i="2"/>
  <c r="Q5" i="2"/>
  <c r="L5" i="2"/>
  <c r="P5" i="2"/>
  <c r="O5" i="2"/>
  <c r="N6" i="2"/>
  <c r="P6" i="2"/>
  <c r="L6" i="2"/>
  <c r="O6" i="2"/>
  <c r="N7" i="2"/>
  <c r="L7" i="2"/>
  <c r="Q7" i="2"/>
  <c r="P7" i="2"/>
  <c r="O8" i="2"/>
  <c r="P8" i="2"/>
  <c r="Q8" i="2"/>
  <c r="L8" i="2"/>
  <c r="N8" i="2"/>
  <c r="J8" i="2"/>
  <c r="K9" i="2" s="1" a="1"/>
  <c r="K9" i="2" s="1"/>
  <c r="J7" i="2"/>
  <c r="K8" i="2" s="1" a="1"/>
  <c r="K8" i="2" s="1"/>
  <c r="J6" i="2"/>
  <c r="K7" i="2" s="1" a="1"/>
  <c r="K7" i="2" s="1"/>
  <c r="J5" i="2"/>
  <c r="K6" i="2" s="1" a="1"/>
  <c r="K6" i="2" s="1"/>
  <c r="J4" i="2"/>
  <c r="K5" i="2" s="1" a="1"/>
  <c r="K5" i="2" s="1"/>
  <c r="N4" i="2"/>
  <c r="P4" i="2"/>
  <c r="I3068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I306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<sst xmlns="http://schemas.openxmlformats.org/spreadsheetml/2006/main" count="30792" uniqueCount="133">
  <si>
    <t>Timestamp</t>
  </si>
  <si>
    <t>System Size (kWp)</t>
  </si>
  <si>
    <t>Total Yield (kWh)</t>
  </si>
  <si>
    <t xml:space="preserve">Panel Orientation </t>
  </si>
  <si>
    <t>County</t>
  </si>
  <si>
    <t>Theoretical Max Yield</t>
  </si>
  <si>
    <t>% of Max Yield</t>
  </si>
  <si>
    <t>Limerick</t>
  </si>
  <si>
    <t>Cork</t>
  </si>
  <si>
    <t>Waterford</t>
  </si>
  <si>
    <t>Wexford</t>
  </si>
  <si>
    <t>South</t>
  </si>
  <si>
    <t>Mayo</t>
  </si>
  <si>
    <t>Tyrone</t>
  </si>
  <si>
    <t>Westmeath</t>
  </si>
  <si>
    <t>Dublin</t>
  </si>
  <si>
    <t>Meath</t>
  </si>
  <si>
    <t>Galway</t>
  </si>
  <si>
    <t>Donegal</t>
  </si>
  <si>
    <t>Sligo</t>
  </si>
  <si>
    <t>Kerry</t>
  </si>
  <si>
    <t>Tipperary</t>
  </si>
  <si>
    <t>Kildare</t>
  </si>
  <si>
    <t>Laois</t>
  </si>
  <si>
    <t>Louth</t>
  </si>
  <si>
    <t>Clare</t>
  </si>
  <si>
    <t>Wicklow</t>
  </si>
  <si>
    <t>Roscommon</t>
  </si>
  <si>
    <t>Carlow</t>
  </si>
  <si>
    <t>Cavan</t>
  </si>
  <si>
    <t>Kilkenny</t>
  </si>
  <si>
    <t>Offaly</t>
  </si>
  <si>
    <t>Leitrim</t>
  </si>
  <si>
    <t>West, East</t>
  </si>
  <si>
    <t>South, South-West</t>
  </si>
  <si>
    <t>South, West</t>
  </si>
  <si>
    <t>E-SE, W-NW</t>
  </si>
  <si>
    <t>South-East, North-West</t>
  </si>
  <si>
    <t>S-SE</t>
  </si>
  <si>
    <t>South-East</t>
  </si>
  <si>
    <t>West</t>
  </si>
  <si>
    <t>Down</t>
  </si>
  <si>
    <t>South-East, South-West</t>
  </si>
  <si>
    <t>South-West</t>
  </si>
  <si>
    <t>South, East</t>
  </si>
  <si>
    <t>South, West, East</t>
  </si>
  <si>
    <t>Fermanagh</t>
  </si>
  <si>
    <t>S-SW</t>
  </si>
  <si>
    <t>E-SE, S-SW</t>
  </si>
  <si>
    <t>Longford</t>
  </si>
  <si>
    <t>South, North</t>
  </si>
  <si>
    <t>E-NE, S-SE</t>
  </si>
  <si>
    <t>S-SE, S-SW</t>
  </si>
  <si>
    <t>South-West, North-East</t>
  </si>
  <si>
    <t>S-SE, W-SW</t>
  </si>
  <si>
    <t>East</t>
  </si>
  <si>
    <t>South-East, North-East</t>
  </si>
  <si>
    <t>E-SE, S-SE</t>
  </si>
  <si>
    <t>E-SE</t>
  </si>
  <si>
    <t>W-SW</t>
  </si>
  <si>
    <t>East, South-West</t>
  </si>
  <si>
    <t>South, E-SE</t>
  </si>
  <si>
    <t>Antrim</t>
  </si>
  <si>
    <t>South-West, E-SE</t>
  </si>
  <si>
    <t>N-NE, S-SW</t>
  </si>
  <si>
    <t>North-East</t>
  </si>
  <si>
    <t>N-NW, S-SE</t>
  </si>
  <si>
    <t>South, South-East</t>
  </si>
  <si>
    <t>Monaghan</t>
  </si>
  <si>
    <t>Derry</t>
  </si>
  <si>
    <t>North-West</t>
  </si>
  <si>
    <t>South-West, S-SW</t>
  </si>
  <si>
    <t>South, West, East, North</t>
  </si>
  <si>
    <t>E-NE, S-SW</t>
  </si>
  <si>
    <t>South-East, S-SW</t>
  </si>
  <si>
    <t>East, North-West</t>
  </si>
  <si>
    <t>East, E-NE</t>
  </si>
  <si>
    <t>W-NW</t>
  </si>
  <si>
    <t>South, S-SE</t>
  </si>
  <si>
    <t>South, S-SW</t>
  </si>
  <si>
    <t>South-West, North-West</t>
  </si>
  <si>
    <t>Armagh</t>
  </si>
  <si>
    <t>N-NW, E-SE</t>
  </si>
  <si>
    <t>E-NE</t>
  </si>
  <si>
    <t>South, W-SW</t>
  </si>
  <si>
    <t>N-NW</t>
  </si>
  <si>
    <t>S-SE, W-NW</t>
  </si>
  <si>
    <t>South, E-SE, W-NW</t>
  </si>
  <si>
    <t>E-NE, W-SW</t>
  </si>
  <si>
    <t>N-NE</t>
  </si>
  <si>
    <t>South, E-SE, W-SW</t>
  </si>
  <si>
    <t>S-SW, W-NW</t>
  </si>
  <si>
    <t>South-East, South-West, North-West</t>
  </si>
  <si>
    <t>South-West, S-SE</t>
  </si>
  <si>
    <t>S-SW, W-SW</t>
  </si>
  <si>
    <t>E-SE, W-SW</t>
  </si>
  <si>
    <t>South-East, S-SE</t>
  </si>
  <si>
    <t>East, South-East, S-SW, W-SW</t>
  </si>
  <si>
    <t>East, North, E-SE, W-NW</t>
  </si>
  <si>
    <t>West, South-East</t>
  </si>
  <si>
    <t>East, South-East</t>
  </si>
  <si>
    <t>South, West, North</t>
  </si>
  <si>
    <t>North-East, North-West</t>
  </si>
  <si>
    <t>South, East, South-West</t>
  </si>
  <si>
    <t>West, South-East, South-West</t>
  </si>
  <si>
    <t>West, South-West</t>
  </si>
  <si>
    <t>West, North</t>
  </si>
  <si>
    <t>E-SE, S-SE, W-NW</t>
  </si>
  <si>
    <t>West, East, North-East</t>
  </si>
  <si>
    <t>South-East, South-West, S-SE, S-SW</t>
  </si>
  <si>
    <t>West, E-NE</t>
  </si>
  <si>
    <t>South, South-East, South-West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</si>
  <si>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</si>
  <si>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</si>
  <si>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</si>
  <si>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</si>
  <si>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</si>
  <si>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</si>
  <si>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</si>
  <si>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</si>
  <si>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</si>
  <si>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</si>
  <si>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</si>
  <si>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</si>
  <si>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July </t>
  </si>
  <si>
    <t>North</t>
  </si>
  <si>
    <t>West,East</t>
  </si>
  <si>
    <t>South,West</t>
  </si>
  <si>
    <t>HRS of sun</t>
  </si>
  <si>
    <t>Yield</t>
  </si>
  <si>
    <t>South-East, South-West, N-NE</t>
  </si>
  <si>
    <t>North-West, S-SE</t>
  </si>
  <si>
    <t>East, S-SW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</si>
</sst>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rgb="FF000000"/>
      <name val=".AppleSystemUIFontMonospaced"/>
    </font>
    <font>
      <sz val="8"/>
      <name val="Arial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9" fontId="1" fillId="0" borderId="0" xfId="0" applyNumberFormat="1" applyFont="1"/>
    <xf numFmtId="0" fontId="3" fillId="0" borderId="0" xfId="0" applyFont="1"/>
    <xf numFmtId="9" fontId="0" fillId="0" borderId="0" xfId="0" applyNumberFormat="1"/>
    <xf numFmtId="0" fontId="2" fillId="0" borderId="0" xfId="0" applyFont="1"/>
    <xf numFmtId="9" fontId="0" fillId="0" borderId="0" xfId="1" applyFont="1"/>
    <xf numFmtId="9" fontId="2" fillId="0" borderId="0" xfId="1" applyFont="1"/>
    <xf numFmtId="0" fontId="5" fillId="0" borderId="0" xfId="0" applyFont="1"/>
    <xf numFmtId="0" fontId="1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20"/>
  <sheetViews>
    <sheetView workbookViewId="0">
      <pane ySplit="1" topLeftCell="A2793" activePane="bottomLeft" state="frozen"/>
      <selection pane="bottomLeft" sqref="A1:G1"/>
    </sheetView>
  </sheetViews>
  <sheetFormatPr baseColWidth="10" defaultColWidth="12.5" defaultRowHeight="15.75" customHeight="1"/>
  <cols>
    <col min="1" max="1" width="18.83203125" customWidth="1"/>
    <col min="2" max="2" width="15.1640625" customWidth="1"/>
    <col min="3" max="3" width="13.5" customWidth="1"/>
    <col min="4" max="6" width="18.83203125" customWidth="1"/>
    <col min="7" max="7" width="12" customWidth="1"/>
    <col min="8" max="9" width="18.83203125" customWidth="1"/>
  </cols>
  <sheetData>
    <row r="1" spans="1:7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>
      <c r="A2" s="4" t="s">
        <v>112</v>
      </c>
      <c r="B2" s="1">
        <v>7</v>
      </c>
      <c r="C2" s="1">
        <v>125</v>
      </c>
      <c r="D2" s="1" t="s">
        <v>33</v>
      </c>
      <c r="E2" s="1" t="s">
        <v>20</v>
      </c>
      <c r="F2" s="1">
        <f t="shared" ref="F2:F31" si="0">B2*100</f>
        <v>700</v>
      </c>
      <c r="G2" s="5">
        <f t="shared" ref="G2:G65" si="1">C2/F2</f>
        <v>0.17857142857142858</v>
      </c>
    </row>
    <row r="3" spans="1:7" ht="13">
      <c r="A3" s="4" t="s">
        <v>112</v>
      </c>
      <c r="B3" s="1">
        <v>5.6</v>
      </c>
      <c r="C3" s="1">
        <v>164</v>
      </c>
      <c r="D3" s="1" t="s">
        <v>52</v>
      </c>
      <c r="E3" s="1" t="s">
        <v>22</v>
      </c>
      <c r="F3" s="1">
        <f t="shared" si="0"/>
        <v>560</v>
      </c>
      <c r="G3" s="5">
        <f t="shared" si="1"/>
        <v>0.29285714285714287</v>
      </c>
    </row>
    <row r="4" spans="1:7" ht="13">
      <c r="A4" s="4" t="s">
        <v>112</v>
      </c>
      <c r="B4" s="1">
        <v>6.09</v>
      </c>
      <c r="C4" s="1">
        <v>109</v>
      </c>
      <c r="D4" s="1" t="s">
        <v>33</v>
      </c>
      <c r="E4" s="1" t="s">
        <v>21</v>
      </c>
      <c r="F4" s="1">
        <f t="shared" si="0"/>
        <v>609</v>
      </c>
      <c r="G4" s="5">
        <f t="shared" si="1"/>
        <v>0.17898193760262726</v>
      </c>
    </row>
    <row r="5" spans="1:7" ht="13">
      <c r="A5" s="4" t="s">
        <v>112</v>
      </c>
      <c r="B5" s="1">
        <v>6.45</v>
      </c>
      <c r="C5" s="1">
        <v>207</v>
      </c>
      <c r="D5" s="1" t="s">
        <v>44</v>
      </c>
      <c r="E5" s="1" t="s">
        <v>30</v>
      </c>
      <c r="F5" s="1">
        <f t="shared" si="0"/>
        <v>645</v>
      </c>
      <c r="G5" s="5">
        <f t="shared" si="1"/>
        <v>0.32093023255813952</v>
      </c>
    </row>
    <row r="6" spans="1:7" ht="13">
      <c r="A6" s="4" t="s">
        <v>112</v>
      </c>
      <c r="B6" s="1">
        <v>5.4</v>
      </c>
      <c r="C6" s="1">
        <v>261</v>
      </c>
      <c r="D6" s="1" t="s">
        <v>11</v>
      </c>
      <c r="E6" s="1" t="s">
        <v>8</v>
      </c>
      <c r="F6" s="1">
        <f t="shared" si="0"/>
        <v>540</v>
      </c>
      <c r="G6" s="5">
        <f t="shared" si="1"/>
        <v>0.48333333333333334</v>
      </c>
    </row>
    <row r="7" spans="1:7" ht="13">
      <c r="A7" s="4" t="s">
        <v>112</v>
      </c>
      <c r="B7" s="1">
        <v>3.4</v>
      </c>
      <c r="C7" s="1">
        <v>78</v>
      </c>
      <c r="D7" s="1" t="s">
        <v>44</v>
      </c>
      <c r="E7" s="1" t="s">
        <v>15</v>
      </c>
      <c r="F7" s="1">
        <f t="shared" si="0"/>
        <v>340</v>
      </c>
      <c r="G7" s="5">
        <f t="shared" si="1"/>
        <v>0.22941176470588234</v>
      </c>
    </row>
    <row r="8" spans="1:7" ht="13">
      <c r="A8" s="4" t="s">
        <v>112</v>
      </c>
      <c r="B8" s="1">
        <v>7.8</v>
      </c>
      <c r="C8" s="1">
        <v>321</v>
      </c>
      <c r="D8" s="1" t="s">
        <v>47</v>
      </c>
      <c r="E8" s="1" t="s">
        <v>23</v>
      </c>
      <c r="F8" s="1">
        <f t="shared" si="0"/>
        <v>780</v>
      </c>
      <c r="G8" s="5">
        <f t="shared" si="1"/>
        <v>0.41153846153846152</v>
      </c>
    </row>
    <row r="9" spans="1:7" ht="13">
      <c r="A9" s="4" t="s">
        <v>112</v>
      </c>
      <c r="B9" s="1">
        <v>6.2</v>
      </c>
      <c r="C9" s="1">
        <v>226</v>
      </c>
      <c r="D9" s="1" t="s">
        <v>11</v>
      </c>
      <c r="E9" s="1" t="s">
        <v>27</v>
      </c>
      <c r="F9" s="1">
        <f t="shared" si="0"/>
        <v>620</v>
      </c>
      <c r="G9" s="5">
        <f t="shared" si="1"/>
        <v>0.36451612903225805</v>
      </c>
    </row>
    <row r="10" spans="1:7" ht="13">
      <c r="A10" s="4" t="s">
        <v>112</v>
      </c>
      <c r="B10" s="1">
        <v>6</v>
      </c>
      <c r="C10" s="1">
        <v>258</v>
      </c>
      <c r="D10" s="1" t="s">
        <v>43</v>
      </c>
      <c r="E10" s="1" t="s">
        <v>8</v>
      </c>
      <c r="F10" s="1">
        <f t="shared" si="0"/>
        <v>600</v>
      </c>
      <c r="G10" s="5">
        <f t="shared" si="1"/>
        <v>0.43</v>
      </c>
    </row>
    <row r="11" spans="1:7" ht="13">
      <c r="A11" s="4" t="s">
        <v>112</v>
      </c>
      <c r="B11" s="1">
        <v>5.2</v>
      </c>
      <c r="C11" s="1">
        <v>92</v>
      </c>
      <c r="D11" s="1" t="s">
        <v>54</v>
      </c>
      <c r="E11" s="1" t="s">
        <v>18</v>
      </c>
      <c r="F11" s="1">
        <f t="shared" si="0"/>
        <v>520</v>
      </c>
      <c r="G11" s="5">
        <f t="shared" si="1"/>
        <v>0.17692307692307693</v>
      </c>
    </row>
    <row r="12" spans="1:7" ht="13">
      <c r="A12" s="4" t="s">
        <v>112</v>
      </c>
      <c r="B12" s="1">
        <v>5.16</v>
      </c>
      <c r="C12" s="1">
        <v>97</v>
      </c>
      <c r="D12" s="1" t="s">
        <v>33</v>
      </c>
      <c r="E12" s="1" t="s">
        <v>15</v>
      </c>
      <c r="F12" s="1">
        <f t="shared" si="0"/>
        <v>516</v>
      </c>
      <c r="G12" s="5">
        <f t="shared" si="1"/>
        <v>0.18798449612403101</v>
      </c>
    </row>
    <row r="13" spans="1:7" ht="13">
      <c r="A13" s="4" t="s">
        <v>112</v>
      </c>
      <c r="B13" s="1">
        <v>6.32</v>
      </c>
      <c r="C13" s="1">
        <v>152</v>
      </c>
      <c r="D13" s="1" t="s">
        <v>61</v>
      </c>
      <c r="E13" s="1" t="s">
        <v>62</v>
      </c>
      <c r="F13" s="1">
        <f t="shared" si="0"/>
        <v>632</v>
      </c>
      <c r="G13" s="5">
        <f t="shared" si="1"/>
        <v>0.24050632911392406</v>
      </c>
    </row>
    <row r="14" spans="1:7" ht="13">
      <c r="A14" s="4" t="s">
        <v>112</v>
      </c>
      <c r="B14" s="1">
        <v>6.09</v>
      </c>
      <c r="C14" s="1">
        <v>164</v>
      </c>
      <c r="D14" s="1" t="s">
        <v>63</v>
      </c>
      <c r="E14" s="1" t="s">
        <v>23</v>
      </c>
      <c r="F14" s="1">
        <f t="shared" si="0"/>
        <v>609</v>
      </c>
      <c r="G14" s="5">
        <f t="shared" si="1"/>
        <v>0.26929392446633826</v>
      </c>
    </row>
    <row r="15" spans="1:7" ht="13">
      <c r="A15" s="4" t="s">
        <v>112</v>
      </c>
      <c r="B15" s="1">
        <v>8</v>
      </c>
      <c r="C15" s="1">
        <v>275</v>
      </c>
      <c r="D15" s="1" t="s">
        <v>47</v>
      </c>
      <c r="E15" s="1" t="s">
        <v>7</v>
      </c>
      <c r="F15" s="1">
        <f t="shared" si="0"/>
        <v>800</v>
      </c>
      <c r="G15" s="5">
        <f t="shared" si="1"/>
        <v>0.34375</v>
      </c>
    </row>
    <row r="16" spans="1:7" ht="13">
      <c r="A16" s="4" t="s">
        <v>112</v>
      </c>
      <c r="B16" s="1">
        <v>5.88</v>
      </c>
      <c r="C16" s="1">
        <v>161</v>
      </c>
      <c r="D16" s="1" t="s">
        <v>39</v>
      </c>
      <c r="E16" s="1" t="s">
        <v>19</v>
      </c>
      <c r="F16" s="1">
        <f t="shared" si="0"/>
        <v>588</v>
      </c>
      <c r="G16" s="5">
        <f t="shared" si="1"/>
        <v>0.27380952380952384</v>
      </c>
    </row>
    <row r="17" spans="1:7" ht="13">
      <c r="A17" s="4" t="s">
        <v>112</v>
      </c>
      <c r="B17" s="1">
        <v>8</v>
      </c>
      <c r="C17" s="1">
        <v>266</v>
      </c>
      <c r="D17" s="1" t="s">
        <v>11</v>
      </c>
      <c r="E17" s="1" t="s">
        <v>22</v>
      </c>
      <c r="F17" s="1">
        <f t="shared" si="0"/>
        <v>800</v>
      </c>
      <c r="G17" s="5">
        <f t="shared" si="1"/>
        <v>0.33250000000000002</v>
      </c>
    </row>
    <row r="18" spans="1:7" ht="13">
      <c r="A18" s="4" t="s">
        <v>112</v>
      </c>
      <c r="B18" s="1">
        <v>7.5</v>
      </c>
      <c r="C18" s="1">
        <v>166</v>
      </c>
      <c r="D18" s="1" t="s">
        <v>43</v>
      </c>
      <c r="E18" s="1" t="s">
        <v>24</v>
      </c>
      <c r="F18" s="1">
        <f t="shared" si="0"/>
        <v>750</v>
      </c>
      <c r="G18" s="5">
        <f t="shared" si="1"/>
        <v>0.22133333333333333</v>
      </c>
    </row>
    <row r="19" spans="1:7" ht="13">
      <c r="A19" s="4" t="s">
        <v>112</v>
      </c>
      <c r="B19" s="1">
        <v>7.8</v>
      </c>
      <c r="C19" s="1">
        <v>196</v>
      </c>
      <c r="D19" s="1" t="s">
        <v>58</v>
      </c>
      <c r="E19" s="1" t="s">
        <v>10</v>
      </c>
      <c r="F19" s="1">
        <f t="shared" si="0"/>
        <v>780</v>
      </c>
      <c r="G19" s="5">
        <f t="shared" si="1"/>
        <v>0.25128205128205128</v>
      </c>
    </row>
    <row r="20" spans="1:7" ht="13">
      <c r="A20" s="4" t="s">
        <v>112</v>
      </c>
      <c r="B20" s="1">
        <v>4.3499999999999996</v>
      </c>
      <c r="C20" s="1">
        <v>185</v>
      </c>
      <c r="D20" s="1" t="s">
        <v>11</v>
      </c>
      <c r="E20" s="1" t="s">
        <v>24</v>
      </c>
      <c r="F20" s="1">
        <f t="shared" si="0"/>
        <v>434.99999999999994</v>
      </c>
      <c r="G20" s="5">
        <f t="shared" si="1"/>
        <v>0.42528735632183912</v>
      </c>
    </row>
    <row r="21" spans="1:7" ht="13">
      <c r="A21" s="4" t="s">
        <v>112</v>
      </c>
      <c r="B21" s="1">
        <v>7.83</v>
      </c>
      <c r="C21" s="1">
        <v>242</v>
      </c>
      <c r="D21" s="1" t="s">
        <v>11</v>
      </c>
      <c r="E21" s="1" t="s">
        <v>21</v>
      </c>
      <c r="F21" s="1">
        <f t="shared" si="0"/>
        <v>783</v>
      </c>
      <c r="G21" s="5">
        <f t="shared" si="1"/>
        <v>0.30906768837803322</v>
      </c>
    </row>
    <row r="22" spans="1:7" ht="13">
      <c r="A22" s="4" t="s">
        <v>112</v>
      </c>
      <c r="B22" s="1">
        <v>7.83</v>
      </c>
      <c r="C22" s="1">
        <v>387</v>
      </c>
      <c r="D22" s="1" t="s">
        <v>11</v>
      </c>
      <c r="E22" s="1" t="s">
        <v>8</v>
      </c>
      <c r="F22" s="1">
        <f t="shared" si="0"/>
        <v>783</v>
      </c>
      <c r="G22" s="5">
        <f t="shared" si="1"/>
        <v>0.4942528735632184</v>
      </c>
    </row>
    <row r="23" spans="1:7" ht="13">
      <c r="A23" s="4" t="s">
        <v>112</v>
      </c>
      <c r="B23" s="1">
        <v>7.74</v>
      </c>
      <c r="C23" s="1">
        <v>308</v>
      </c>
      <c r="D23" s="1" t="s">
        <v>11</v>
      </c>
      <c r="E23" s="1" t="s">
        <v>29</v>
      </c>
      <c r="F23" s="1">
        <f t="shared" si="0"/>
        <v>774</v>
      </c>
      <c r="G23" s="5">
        <f t="shared" si="1"/>
        <v>0.3979328165374677</v>
      </c>
    </row>
    <row r="24" spans="1:7" ht="13">
      <c r="A24" s="4" t="s">
        <v>112</v>
      </c>
      <c r="B24" s="1">
        <v>7.4</v>
      </c>
      <c r="C24" s="1">
        <v>262</v>
      </c>
      <c r="D24" s="1" t="s">
        <v>38</v>
      </c>
      <c r="E24" s="1" t="s">
        <v>17</v>
      </c>
      <c r="F24" s="1">
        <f t="shared" si="0"/>
        <v>740</v>
      </c>
      <c r="G24" s="5">
        <f t="shared" si="1"/>
        <v>0.35405405405405405</v>
      </c>
    </row>
    <row r="25" spans="1:7" ht="13">
      <c r="A25" s="4" t="s">
        <v>112</v>
      </c>
      <c r="B25" s="1">
        <v>6.72</v>
      </c>
      <c r="C25" s="1">
        <v>102</v>
      </c>
      <c r="D25" s="1" t="s">
        <v>33</v>
      </c>
      <c r="E25" s="1" t="s">
        <v>27</v>
      </c>
      <c r="F25" s="1">
        <f t="shared" si="0"/>
        <v>672</v>
      </c>
      <c r="G25" s="5">
        <f t="shared" si="1"/>
        <v>0.15178571428571427</v>
      </c>
    </row>
    <row r="26" spans="1:7" ht="13">
      <c r="A26" s="4" t="s">
        <v>112</v>
      </c>
      <c r="B26" s="1">
        <v>7.8</v>
      </c>
      <c r="C26" s="1">
        <v>251</v>
      </c>
      <c r="D26" s="1" t="s">
        <v>35</v>
      </c>
      <c r="E26" s="1" t="s">
        <v>23</v>
      </c>
      <c r="F26" s="1">
        <f t="shared" si="0"/>
        <v>780</v>
      </c>
      <c r="G26" s="5">
        <f t="shared" si="1"/>
        <v>0.32179487179487182</v>
      </c>
    </row>
    <row r="27" spans="1:7" ht="13">
      <c r="A27" s="4" t="s">
        <v>112</v>
      </c>
      <c r="B27" s="1">
        <v>8.6</v>
      </c>
      <c r="C27" s="1">
        <v>161.19999999999999</v>
      </c>
      <c r="D27" s="1" t="s">
        <v>33</v>
      </c>
      <c r="E27" s="1" t="s">
        <v>26</v>
      </c>
      <c r="F27" s="1">
        <f t="shared" si="0"/>
        <v>860</v>
      </c>
      <c r="G27" s="5">
        <f t="shared" si="1"/>
        <v>0.18744186046511627</v>
      </c>
    </row>
    <row r="28" spans="1:7" ht="13">
      <c r="A28" s="4" t="s">
        <v>112</v>
      </c>
      <c r="B28" s="1">
        <v>7.74</v>
      </c>
      <c r="C28" s="1">
        <v>173</v>
      </c>
      <c r="D28" s="1" t="s">
        <v>52</v>
      </c>
      <c r="E28" s="1" t="s">
        <v>30</v>
      </c>
      <c r="F28" s="1">
        <f t="shared" si="0"/>
        <v>774</v>
      </c>
      <c r="G28" s="5">
        <f t="shared" si="1"/>
        <v>0.22351421188630491</v>
      </c>
    </row>
    <row r="29" spans="1:7" ht="13">
      <c r="A29" s="4" t="s">
        <v>112</v>
      </c>
      <c r="B29" s="1">
        <v>5.12</v>
      </c>
      <c r="C29" s="1">
        <v>104</v>
      </c>
      <c r="D29" s="1" t="s">
        <v>39</v>
      </c>
      <c r="E29" s="1" t="s">
        <v>15</v>
      </c>
      <c r="F29" s="1">
        <f t="shared" si="0"/>
        <v>512</v>
      </c>
      <c r="G29" s="5">
        <f t="shared" si="1"/>
        <v>0.203125</v>
      </c>
    </row>
    <row r="30" spans="1:7" ht="13">
      <c r="A30" s="4" t="s">
        <v>112</v>
      </c>
      <c r="B30" s="1">
        <v>6.5</v>
      </c>
      <c r="C30" s="1">
        <v>245</v>
      </c>
      <c r="D30" s="1" t="s">
        <v>11</v>
      </c>
      <c r="E30" s="1" t="s">
        <v>17</v>
      </c>
      <c r="F30" s="1">
        <f t="shared" si="0"/>
        <v>650</v>
      </c>
      <c r="G30" s="5">
        <f t="shared" si="1"/>
        <v>0.37692307692307692</v>
      </c>
    </row>
    <row r="31" spans="1:7" ht="13">
      <c r="A31" s="4" t="s">
        <v>112</v>
      </c>
      <c r="B31" s="1">
        <v>7.5</v>
      </c>
      <c r="C31" s="1">
        <v>326</v>
      </c>
      <c r="D31" s="1" t="s">
        <v>39</v>
      </c>
      <c r="E31" s="1" t="s">
        <v>9</v>
      </c>
      <c r="F31" s="1">
        <f t="shared" si="0"/>
        <v>750</v>
      </c>
      <c r="G31" s="5">
        <f t="shared" si="1"/>
        <v>0.43466666666666665</v>
      </c>
    </row>
    <row r="32" spans="1:7" ht="13">
      <c r="A32" s="4" t="s">
        <v>112</v>
      </c>
      <c r="B32" s="1">
        <v>6.72</v>
      </c>
      <c r="C32" s="1">
        <v>231</v>
      </c>
      <c r="D32" s="1" t="s">
        <v>11</v>
      </c>
      <c r="E32" s="1" t="s">
        <v>24</v>
      </c>
      <c r="F32" s="1">
        <f t="shared" ref="F32:F95" si="2">B32*100</f>
        <v>672</v>
      </c>
      <c r="G32" s="5">
        <f t="shared" si="1"/>
        <v>0.34375</v>
      </c>
    </row>
    <row r="33" spans="1:7" ht="13">
      <c r="A33" s="4" t="s">
        <v>112</v>
      </c>
      <c r="B33" s="1">
        <v>3.44</v>
      </c>
      <c r="C33" s="1">
        <v>104</v>
      </c>
      <c r="D33" s="1" t="s">
        <v>11</v>
      </c>
      <c r="E33" s="1" t="s">
        <v>22</v>
      </c>
      <c r="F33" s="1">
        <f t="shared" si="2"/>
        <v>344</v>
      </c>
      <c r="G33" s="5">
        <f t="shared" si="1"/>
        <v>0.30232558139534882</v>
      </c>
    </row>
    <row r="34" spans="1:7" ht="13">
      <c r="A34" s="4" t="s">
        <v>112</v>
      </c>
      <c r="B34" s="1">
        <v>7</v>
      </c>
      <c r="C34" s="1">
        <v>248</v>
      </c>
      <c r="D34" s="1" t="s">
        <v>11</v>
      </c>
      <c r="E34" s="1" t="s">
        <v>8</v>
      </c>
      <c r="F34" s="1">
        <f t="shared" si="2"/>
        <v>700</v>
      </c>
      <c r="G34" s="5">
        <f t="shared" si="1"/>
        <v>0.35428571428571426</v>
      </c>
    </row>
    <row r="35" spans="1:7" ht="13">
      <c r="A35" s="4" t="s">
        <v>112</v>
      </c>
      <c r="B35" s="1">
        <v>4.3499999999999996</v>
      </c>
      <c r="C35" s="1">
        <v>74</v>
      </c>
      <c r="D35" s="1" t="s">
        <v>33</v>
      </c>
      <c r="E35" s="1" t="s">
        <v>15</v>
      </c>
      <c r="F35" s="1">
        <f t="shared" si="2"/>
        <v>434.99999999999994</v>
      </c>
      <c r="G35" s="5">
        <f t="shared" si="1"/>
        <v>0.17011494252873566</v>
      </c>
    </row>
    <row r="36" spans="1:7" ht="13">
      <c r="A36" s="4" t="s">
        <v>112</v>
      </c>
      <c r="B36" s="1">
        <v>6</v>
      </c>
      <c r="C36" s="1">
        <v>284</v>
      </c>
      <c r="D36" s="1" t="s">
        <v>11</v>
      </c>
      <c r="E36" s="1" t="s">
        <v>23</v>
      </c>
      <c r="F36" s="1">
        <f t="shared" si="2"/>
        <v>600</v>
      </c>
      <c r="G36" s="5">
        <f t="shared" si="1"/>
        <v>0.47333333333333333</v>
      </c>
    </row>
    <row r="37" spans="1:7" ht="13">
      <c r="A37" s="4" t="s">
        <v>112</v>
      </c>
      <c r="B37" s="1">
        <v>6.5</v>
      </c>
      <c r="C37" s="1">
        <v>291</v>
      </c>
      <c r="D37" s="1" t="s">
        <v>11</v>
      </c>
      <c r="E37" s="1" t="s">
        <v>7</v>
      </c>
      <c r="F37" s="1">
        <f t="shared" si="2"/>
        <v>650</v>
      </c>
      <c r="G37" s="5">
        <f t="shared" si="1"/>
        <v>0.44769230769230767</v>
      </c>
    </row>
    <row r="38" spans="1:7" ht="13">
      <c r="A38" s="4" t="s">
        <v>112</v>
      </c>
      <c r="B38" s="1">
        <v>6.4</v>
      </c>
      <c r="C38" s="1">
        <v>209</v>
      </c>
      <c r="D38" s="1" t="s">
        <v>11</v>
      </c>
      <c r="E38" s="1" t="s">
        <v>23</v>
      </c>
      <c r="F38" s="1">
        <f t="shared" si="2"/>
        <v>640</v>
      </c>
      <c r="G38" s="5">
        <f t="shared" si="1"/>
        <v>0.32656249999999998</v>
      </c>
    </row>
    <row r="39" spans="1:7" ht="13">
      <c r="A39" s="4" t="s">
        <v>112</v>
      </c>
      <c r="B39" s="1">
        <v>3.4</v>
      </c>
      <c r="C39" s="1">
        <v>125</v>
      </c>
      <c r="D39" s="1" t="s">
        <v>43</v>
      </c>
      <c r="E39" s="1" t="s">
        <v>17</v>
      </c>
      <c r="F39" s="1">
        <f t="shared" si="2"/>
        <v>340</v>
      </c>
      <c r="G39" s="5">
        <f t="shared" si="1"/>
        <v>0.36764705882352944</v>
      </c>
    </row>
    <row r="40" spans="1:7" ht="13">
      <c r="A40" s="4" t="s">
        <v>112</v>
      </c>
      <c r="B40" s="1">
        <v>7.56</v>
      </c>
      <c r="C40" s="1">
        <v>321</v>
      </c>
      <c r="D40" s="1" t="s">
        <v>11</v>
      </c>
      <c r="E40" s="1" t="s">
        <v>27</v>
      </c>
      <c r="F40" s="1">
        <f t="shared" si="2"/>
        <v>756</v>
      </c>
      <c r="G40" s="5">
        <f t="shared" si="1"/>
        <v>0.42460317460317459</v>
      </c>
    </row>
    <row r="41" spans="1:7" ht="13">
      <c r="A41" s="4" t="s">
        <v>112</v>
      </c>
      <c r="B41" s="1">
        <v>5</v>
      </c>
      <c r="C41" s="1">
        <v>128</v>
      </c>
      <c r="D41" s="1" t="s">
        <v>11</v>
      </c>
      <c r="E41" s="1" t="s">
        <v>8</v>
      </c>
      <c r="F41" s="1">
        <f t="shared" si="2"/>
        <v>500</v>
      </c>
      <c r="G41" s="5">
        <f t="shared" si="1"/>
        <v>0.25600000000000001</v>
      </c>
    </row>
    <row r="42" spans="1:7" ht="13">
      <c r="A42" s="4" t="s">
        <v>112</v>
      </c>
      <c r="B42" s="1">
        <v>6.88</v>
      </c>
      <c r="C42" s="1">
        <v>111</v>
      </c>
      <c r="D42" s="1" t="s">
        <v>33</v>
      </c>
      <c r="E42" s="1" t="s">
        <v>17</v>
      </c>
      <c r="F42" s="1">
        <f t="shared" si="2"/>
        <v>688</v>
      </c>
      <c r="G42" s="5">
        <f t="shared" si="1"/>
        <v>0.16133720930232559</v>
      </c>
    </row>
    <row r="43" spans="1:7" ht="13">
      <c r="A43" s="4" t="s">
        <v>112</v>
      </c>
      <c r="B43" s="1">
        <v>3.7</v>
      </c>
      <c r="C43" s="1">
        <v>124</v>
      </c>
      <c r="D43" s="1" t="s">
        <v>47</v>
      </c>
      <c r="E43" s="1" t="s">
        <v>20</v>
      </c>
      <c r="F43" s="1">
        <f t="shared" si="2"/>
        <v>370</v>
      </c>
      <c r="G43" s="5">
        <f t="shared" si="1"/>
        <v>0.33513513513513515</v>
      </c>
    </row>
    <row r="44" spans="1:7" ht="13">
      <c r="A44" s="4" t="s">
        <v>112</v>
      </c>
      <c r="B44" s="1">
        <v>7.74</v>
      </c>
      <c r="C44" s="1">
        <v>146</v>
      </c>
      <c r="D44" s="1" t="s">
        <v>33</v>
      </c>
      <c r="E44" s="1" t="s">
        <v>16</v>
      </c>
      <c r="F44" s="1">
        <f t="shared" si="2"/>
        <v>774</v>
      </c>
      <c r="G44" s="5">
        <f t="shared" si="1"/>
        <v>0.18863049095607234</v>
      </c>
    </row>
    <row r="45" spans="1:7" ht="13">
      <c r="A45" s="4" t="s">
        <v>112</v>
      </c>
      <c r="B45" s="1">
        <v>8.6999999999999993</v>
      </c>
      <c r="C45" s="1">
        <v>153</v>
      </c>
      <c r="D45" s="1" t="s">
        <v>33</v>
      </c>
      <c r="E45" s="1" t="s">
        <v>15</v>
      </c>
      <c r="F45" s="1">
        <f t="shared" si="2"/>
        <v>869.99999999999989</v>
      </c>
      <c r="G45" s="5">
        <f t="shared" si="1"/>
        <v>0.17586206896551726</v>
      </c>
    </row>
    <row r="46" spans="1:7" ht="13">
      <c r="A46" s="4" t="s">
        <v>112</v>
      </c>
      <c r="B46" s="1">
        <v>7.74</v>
      </c>
      <c r="C46" s="1">
        <v>133</v>
      </c>
      <c r="D46" s="1" t="s">
        <v>33</v>
      </c>
      <c r="E46" s="1" t="s">
        <v>16</v>
      </c>
      <c r="F46" s="1">
        <f t="shared" si="2"/>
        <v>774</v>
      </c>
      <c r="G46" s="5">
        <f t="shared" si="1"/>
        <v>0.17183462532299743</v>
      </c>
    </row>
    <row r="47" spans="1:7" ht="13">
      <c r="A47" s="4" t="s">
        <v>112</v>
      </c>
      <c r="B47" s="1">
        <v>6</v>
      </c>
      <c r="C47" s="1">
        <v>130</v>
      </c>
      <c r="D47" s="1" t="s">
        <v>40</v>
      </c>
      <c r="E47" s="1" t="s">
        <v>8</v>
      </c>
      <c r="F47" s="1">
        <f t="shared" si="2"/>
        <v>600</v>
      </c>
      <c r="G47" s="5">
        <f t="shared" si="1"/>
        <v>0.21666666666666667</v>
      </c>
    </row>
    <row r="48" spans="1:7" ht="13">
      <c r="A48" s="4" t="s">
        <v>112</v>
      </c>
      <c r="B48" s="1">
        <v>8</v>
      </c>
      <c r="C48" s="1">
        <v>139</v>
      </c>
      <c r="D48" s="1" t="s">
        <v>33</v>
      </c>
      <c r="E48" s="1" t="s">
        <v>17</v>
      </c>
      <c r="F48" s="1">
        <f t="shared" si="2"/>
        <v>800</v>
      </c>
      <c r="G48" s="5">
        <f t="shared" si="1"/>
        <v>0.17374999999999999</v>
      </c>
    </row>
    <row r="49" spans="1:7" ht="13">
      <c r="A49" s="4" t="s">
        <v>112</v>
      </c>
      <c r="B49" s="1">
        <v>6.15</v>
      </c>
      <c r="C49" s="1">
        <v>211</v>
      </c>
      <c r="D49" s="1" t="s">
        <v>11</v>
      </c>
      <c r="E49" s="1" t="s">
        <v>15</v>
      </c>
      <c r="F49" s="1">
        <f t="shared" si="2"/>
        <v>615</v>
      </c>
      <c r="G49" s="5">
        <f t="shared" si="1"/>
        <v>0.34308943089430893</v>
      </c>
    </row>
    <row r="50" spans="1:7" ht="13">
      <c r="A50" s="4" t="s">
        <v>112</v>
      </c>
      <c r="B50" s="1">
        <v>6.4</v>
      </c>
      <c r="C50" s="1">
        <v>143</v>
      </c>
      <c r="D50" s="1" t="s">
        <v>42</v>
      </c>
      <c r="E50" s="1" t="s">
        <v>18</v>
      </c>
      <c r="F50" s="1">
        <f t="shared" si="2"/>
        <v>640</v>
      </c>
      <c r="G50" s="5">
        <f t="shared" si="1"/>
        <v>0.22343750000000001</v>
      </c>
    </row>
    <row r="51" spans="1:7" ht="13">
      <c r="A51" s="4" t="s">
        <v>112</v>
      </c>
      <c r="B51" s="1">
        <v>3.87</v>
      </c>
      <c r="C51" s="1">
        <v>128</v>
      </c>
      <c r="D51" s="1" t="s">
        <v>11</v>
      </c>
      <c r="E51" s="1" t="s">
        <v>19</v>
      </c>
      <c r="F51" s="1">
        <f t="shared" si="2"/>
        <v>387</v>
      </c>
      <c r="G51" s="5">
        <f t="shared" si="1"/>
        <v>0.33074935400516797</v>
      </c>
    </row>
    <row r="52" spans="1:7" ht="13">
      <c r="A52" s="4" t="s">
        <v>112</v>
      </c>
      <c r="B52" s="1">
        <v>7.3</v>
      </c>
      <c r="C52" s="1">
        <v>225</v>
      </c>
      <c r="D52" s="1" t="s">
        <v>47</v>
      </c>
      <c r="E52" s="1" t="s">
        <v>28</v>
      </c>
      <c r="F52" s="1">
        <f t="shared" si="2"/>
        <v>730</v>
      </c>
      <c r="G52" s="5">
        <f t="shared" si="1"/>
        <v>0.30821917808219179</v>
      </c>
    </row>
    <row r="53" spans="1:7" ht="13">
      <c r="A53" s="4" t="s">
        <v>112</v>
      </c>
      <c r="B53" s="1">
        <v>5.12</v>
      </c>
      <c r="C53" s="1">
        <v>246</v>
      </c>
      <c r="D53" s="1" t="s">
        <v>11</v>
      </c>
      <c r="E53" s="1" t="s">
        <v>9</v>
      </c>
      <c r="F53" s="1">
        <f t="shared" si="2"/>
        <v>512</v>
      </c>
      <c r="G53" s="5">
        <f t="shared" si="1"/>
        <v>0.48046875</v>
      </c>
    </row>
    <row r="54" spans="1:7" ht="13">
      <c r="A54" s="4" t="s">
        <v>112</v>
      </c>
      <c r="B54" s="1">
        <v>7.56</v>
      </c>
      <c r="C54" s="1">
        <v>400</v>
      </c>
      <c r="D54" s="1" t="s">
        <v>11</v>
      </c>
      <c r="E54" s="1" t="s">
        <v>7</v>
      </c>
      <c r="F54" s="1">
        <f t="shared" si="2"/>
        <v>756</v>
      </c>
      <c r="G54" s="5">
        <f t="shared" si="1"/>
        <v>0.52910052910052907</v>
      </c>
    </row>
    <row r="55" spans="1:7" ht="13">
      <c r="A55" s="4" t="s">
        <v>112</v>
      </c>
      <c r="B55" s="1">
        <v>7.4</v>
      </c>
      <c r="C55" s="1">
        <v>190</v>
      </c>
      <c r="D55" s="1" t="s">
        <v>11</v>
      </c>
      <c r="E55" s="1" t="s">
        <v>15</v>
      </c>
      <c r="F55" s="1">
        <f t="shared" si="2"/>
        <v>740</v>
      </c>
      <c r="G55" s="5">
        <f t="shared" si="1"/>
        <v>0.25675675675675674</v>
      </c>
    </row>
    <row r="56" spans="1:7" ht="13">
      <c r="A56" s="4" t="s">
        <v>112</v>
      </c>
      <c r="B56" s="1">
        <v>5.16</v>
      </c>
      <c r="C56" s="1">
        <v>81</v>
      </c>
      <c r="D56" s="1" t="s">
        <v>53</v>
      </c>
      <c r="E56" s="1" t="s">
        <v>24</v>
      </c>
      <c r="F56" s="1">
        <f t="shared" si="2"/>
        <v>516</v>
      </c>
      <c r="G56" s="5">
        <f t="shared" si="1"/>
        <v>0.15697674418604651</v>
      </c>
    </row>
    <row r="57" spans="1:7" ht="13">
      <c r="A57" s="4" t="s">
        <v>112</v>
      </c>
      <c r="B57" s="1">
        <v>7.7</v>
      </c>
      <c r="C57" s="1">
        <v>126</v>
      </c>
      <c r="D57" s="1" t="s">
        <v>33</v>
      </c>
      <c r="E57" s="1" t="s">
        <v>10</v>
      </c>
      <c r="F57" s="1">
        <f t="shared" si="2"/>
        <v>770</v>
      </c>
      <c r="G57" s="5">
        <f t="shared" si="1"/>
        <v>0.16363636363636364</v>
      </c>
    </row>
    <row r="58" spans="1:7" ht="13">
      <c r="A58" s="4" t="s">
        <v>112</v>
      </c>
      <c r="B58" s="1">
        <v>5.0999999999999996</v>
      </c>
      <c r="C58" s="1">
        <v>107</v>
      </c>
      <c r="D58" s="1" t="s">
        <v>59</v>
      </c>
      <c r="E58" s="1" t="s">
        <v>18</v>
      </c>
      <c r="F58" s="1">
        <f t="shared" si="2"/>
        <v>509.99999999999994</v>
      </c>
      <c r="G58" s="5">
        <f t="shared" si="1"/>
        <v>0.20980392156862748</v>
      </c>
    </row>
    <row r="59" spans="1:7" ht="13">
      <c r="A59" s="4" t="s">
        <v>112</v>
      </c>
      <c r="B59" s="1">
        <v>4.8</v>
      </c>
      <c r="C59" s="1">
        <v>211</v>
      </c>
      <c r="D59" s="1" t="s">
        <v>38</v>
      </c>
      <c r="E59" s="1" t="s">
        <v>21</v>
      </c>
      <c r="F59" s="1">
        <f t="shared" si="2"/>
        <v>480</v>
      </c>
      <c r="G59" s="5">
        <f t="shared" si="1"/>
        <v>0.43958333333333333</v>
      </c>
    </row>
    <row r="60" spans="1:7" ht="13">
      <c r="A60" s="4" t="s">
        <v>112</v>
      </c>
      <c r="B60" s="1">
        <v>7.56</v>
      </c>
      <c r="C60" s="1">
        <v>367</v>
      </c>
      <c r="D60" s="1" t="s">
        <v>11</v>
      </c>
      <c r="E60" s="1" t="s">
        <v>20</v>
      </c>
      <c r="F60" s="1">
        <f t="shared" si="2"/>
        <v>756</v>
      </c>
      <c r="G60" s="5">
        <f t="shared" si="1"/>
        <v>0.48544973544973546</v>
      </c>
    </row>
    <row r="61" spans="1:7" ht="13">
      <c r="A61" s="4" t="s">
        <v>112</v>
      </c>
      <c r="B61" s="1">
        <v>6.3</v>
      </c>
      <c r="C61" s="1">
        <v>154</v>
      </c>
      <c r="D61" s="1" t="s">
        <v>43</v>
      </c>
      <c r="E61" s="1" t="s">
        <v>29</v>
      </c>
      <c r="F61" s="1">
        <f t="shared" si="2"/>
        <v>630</v>
      </c>
      <c r="G61" s="5">
        <f t="shared" si="1"/>
        <v>0.24444444444444444</v>
      </c>
    </row>
    <row r="62" spans="1:7" ht="13">
      <c r="A62" s="4" t="s">
        <v>112</v>
      </c>
      <c r="B62" s="1">
        <v>7.74</v>
      </c>
      <c r="C62" s="1">
        <v>282</v>
      </c>
      <c r="D62" s="1" t="s">
        <v>11</v>
      </c>
      <c r="E62" s="1" t="s">
        <v>21</v>
      </c>
      <c r="F62" s="1">
        <f t="shared" si="2"/>
        <v>774</v>
      </c>
      <c r="G62" s="5">
        <f t="shared" si="1"/>
        <v>0.36434108527131781</v>
      </c>
    </row>
    <row r="63" spans="1:7" ht="13">
      <c r="A63" s="4" t="s">
        <v>112</v>
      </c>
      <c r="B63" s="1">
        <v>4.3</v>
      </c>
      <c r="C63" s="1">
        <v>161</v>
      </c>
      <c r="D63" s="1" t="s">
        <v>11</v>
      </c>
      <c r="E63" s="1" t="s">
        <v>22</v>
      </c>
      <c r="F63" s="1">
        <f t="shared" si="2"/>
        <v>430</v>
      </c>
      <c r="G63" s="5">
        <f t="shared" si="1"/>
        <v>0.37441860465116278</v>
      </c>
    </row>
    <row r="64" spans="1:7" ht="13">
      <c r="A64" s="4" t="s">
        <v>112</v>
      </c>
      <c r="B64" s="1">
        <v>7.74</v>
      </c>
      <c r="C64" s="1">
        <v>190</v>
      </c>
      <c r="D64" s="1" t="s">
        <v>37</v>
      </c>
      <c r="E64" s="1" t="s">
        <v>16</v>
      </c>
      <c r="F64" s="1">
        <f t="shared" si="2"/>
        <v>774</v>
      </c>
      <c r="G64" s="5">
        <f t="shared" si="1"/>
        <v>0.2454780361757106</v>
      </c>
    </row>
    <row r="65" spans="1:7" ht="13">
      <c r="A65" s="4" t="s">
        <v>112</v>
      </c>
      <c r="B65" s="1">
        <v>10.3</v>
      </c>
      <c r="C65" s="1">
        <v>150</v>
      </c>
      <c r="D65" s="1" t="s">
        <v>37</v>
      </c>
      <c r="E65" s="1" t="s">
        <v>26</v>
      </c>
      <c r="F65" s="1">
        <f t="shared" si="2"/>
        <v>1030</v>
      </c>
      <c r="G65" s="5">
        <f t="shared" si="1"/>
        <v>0.14563106796116504</v>
      </c>
    </row>
    <row r="66" spans="1:7" ht="13">
      <c r="A66" s="4" t="s">
        <v>112</v>
      </c>
      <c r="B66" s="1">
        <v>7.7</v>
      </c>
      <c r="C66" s="1">
        <v>240</v>
      </c>
      <c r="D66" s="1" t="s">
        <v>11</v>
      </c>
      <c r="E66" s="1" t="s">
        <v>23</v>
      </c>
      <c r="F66" s="1">
        <f t="shared" si="2"/>
        <v>770</v>
      </c>
      <c r="G66" s="5">
        <f t="shared" ref="G66:G129" si="3">C66/F66</f>
        <v>0.31168831168831168</v>
      </c>
    </row>
    <row r="67" spans="1:7" ht="13">
      <c r="A67" s="4" t="s">
        <v>112</v>
      </c>
      <c r="B67" s="1">
        <v>4.03</v>
      </c>
      <c r="C67" s="1">
        <v>154</v>
      </c>
      <c r="D67" s="1" t="s">
        <v>11</v>
      </c>
      <c r="E67" s="1" t="s">
        <v>9</v>
      </c>
      <c r="F67" s="1">
        <f t="shared" si="2"/>
        <v>403</v>
      </c>
      <c r="G67" s="5">
        <f t="shared" si="3"/>
        <v>0.38213399503722084</v>
      </c>
    </row>
    <row r="68" spans="1:7" ht="13">
      <c r="A68" s="4" t="s">
        <v>112</v>
      </c>
      <c r="B68" s="1">
        <v>8</v>
      </c>
      <c r="C68" s="1">
        <v>249</v>
      </c>
      <c r="D68" s="1" t="s">
        <v>43</v>
      </c>
      <c r="E68" s="1" t="s">
        <v>21</v>
      </c>
      <c r="F68" s="1">
        <f t="shared" si="2"/>
        <v>800</v>
      </c>
      <c r="G68" s="5">
        <f t="shared" si="3"/>
        <v>0.31125000000000003</v>
      </c>
    </row>
    <row r="69" spans="1:7" ht="13">
      <c r="A69" s="4" t="s">
        <v>112</v>
      </c>
      <c r="B69" s="1">
        <v>4.08</v>
      </c>
      <c r="C69" s="1">
        <v>133</v>
      </c>
      <c r="D69" s="1" t="s">
        <v>39</v>
      </c>
      <c r="E69" s="1" t="s">
        <v>14</v>
      </c>
      <c r="F69" s="1">
        <f t="shared" si="2"/>
        <v>408</v>
      </c>
      <c r="G69" s="5">
        <f t="shared" si="3"/>
        <v>0.32598039215686275</v>
      </c>
    </row>
    <row r="70" spans="1:7" ht="13">
      <c r="A70" s="4" t="s">
        <v>112</v>
      </c>
      <c r="B70" s="1">
        <v>7.14</v>
      </c>
      <c r="C70" s="1">
        <v>224</v>
      </c>
      <c r="D70" s="1" t="s">
        <v>11</v>
      </c>
      <c r="E70" s="1" t="s">
        <v>28</v>
      </c>
      <c r="F70" s="1">
        <f t="shared" si="2"/>
        <v>714</v>
      </c>
      <c r="G70" s="5">
        <f t="shared" si="3"/>
        <v>0.31372549019607843</v>
      </c>
    </row>
    <row r="71" spans="1:7" ht="13">
      <c r="A71" s="4" t="s">
        <v>112</v>
      </c>
      <c r="B71" s="1">
        <v>5.0999999999999996</v>
      </c>
      <c r="C71" s="1">
        <v>171</v>
      </c>
      <c r="D71" s="1" t="s">
        <v>59</v>
      </c>
      <c r="E71" s="1" t="s">
        <v>7</v>
      </c>
      <c r="F71" s="1">
        <f t="shared" si="2"/>
        <v>509.99999999999994</v>
      </c>
      <c r="G71" s="5">
        <f t="shared" si="3"/>
        <v>0.33529411764705885</v>
      </c>
    </row>
    <row r="72" spans="1:7" ht="13">
      <c r="A72" s="4" t="s">
        <v>112</v>
      </c>
      <c r="B72" s="1">
        <v>6</v>
      </c>
      <c r="C72" s="1">
        <v>182</v>
      </c>
      <c r="D72" s="1" t="s">
        <v>42</v>
      </c>
      <c r="E72" s="1" t="s">
        <v>8</v>
      </c>
      <c r="F72" s="1">
        <f t="shared" si="2"/>
        <v>600</v>
      </c>
      <c r="G72" s="5">
        <f t="shared" si="3"/>
        <v>0.30333333333333334</v>
      </c>
    </row>
    <row r="73" spans="1:7" ht="13">
      <c r="A73" s="4" t="s">
        <v>112</v>
      </c>
      <c r="B73" s="1">
        <v>6.96</v>
      </c>
      <c r="C73" s="1">
        <v>129</v>
      </c>
      <c r="D73" s="1" t="s">
        <v>11</v>
      </c>
      <c r="E73" s="1" t="s">
        <v>26</v>
      </c>
      <c r="F73" s="1">
        <f t="shared" si="2"/>
        <v>696</v>
      </c>
      <c r="G73" s="5">
        <f t="shared" si="3"/>
        <v>0.18534482758620691</v>
      </c>
    </row>
    <row r="74" spans="1:7" ht="13">
      <c r="A74" s="4" t="s">
        <v>112</v>
      </c>
      <c r="B74" s="1">
        <v>9.4600000000000009</v>
      </c>
      <c r="C74" s="1">
        <v>255</v>
      </c>
      <c r="D74" s="1" t="s">
        <v>52</v>
      </c>
      <c r="E74" s="1" t="s">
        <v>18</v>
      </c>
      <c r="F74" s="1">
        <f t="shared" si="2"/>
        <v>946.00000000000011</v>
      </c>
      <c r="G74" s="5">
        <f t="shared" si="3"/>
        <v>0.2695560253699788</v>
      </c>
    </row>
    <row r="75" spans="1:7" ht="13">
      <c r="A75" s="4" t="s">
        <v>112</v>
      </c>
      <c r="B75" s="1">
        <v>7.29</v>
      </c>
      <c r="C75" s="1">
        <v>99</v>
      </c>
      <c r="D75" s="1" t="s">
        <v>33</v>
      </c>
      <c r="E75" s="1" t="s">
        <v>17</v>
      </c>
      <c r="F75" s="1">
        <f t="shared" si="2"/>
        <v>729</v>
      </c>
      <c r="G75" s="5">
        <f t="shared" si="3"/>
        <v>0.13580246913580246</v>
      </c>
    </row>
    <row r="76" spans="1:7" ht="13">
      <c r="A76" s="4" t="s">
        <v>112</v>
      </c>
      <c r="B76" s="1">
        <v>9.3000000000000007</v>
      </c>
      <c r="C76" s="1">
        <v>414</v>
      </c>
      <c r="D76" s="1" t="s">
        <v>11</v>
      </c>
      <c r="E76" s="1" t="s">
        <v>20</v>
      </c>
      <c r="F76" s="1">
        <f t="shared" si="2"/>
        <v>930.00000000000011</v>
      </c>
      <c r="G76" s="5">
        <f t="shared" si="3"/>
        <v>0.44516129032258062</v>
      </c>
    </row>
    <row r="77" spans="1:7" ht="13">
      <c r="A77" s="4" t="s">
        <v>112</v>
      </c>
      <c r="B77" s="1">
        <v>6.4</v>
      </c>
      <c r="C77" s="1">
        <v>228</v>
      </c>
      <c r="D77" s="1" t="s">
        <v>11</v>
      </c>
      <c r="E77" s="1" t="s">
        <v>32</v>
      </c>
      <c r="F77" s="1">
        <f t="shared" si="2"/>
        <v>640</v>
      </c>
      <c r="G77" s="5">
        <f t="shared" si="3"/>
        <v>0.35625000000000001</v>
      </c>
    </row>
    <row r="78" spans="1:7" ht="13">
      <c r="A78" s="4" t="s">
        <v>112</v>
      </c>
      <c r="B78" s="1">
        <v>4.3</v>
      </c>
      <c r="C78" s="1">
        <v>70</v>
      </c>
      <c r="D78" s="1" t="s">
        <v>33</v>
      </c>
      <c r="E78" s="1" t="s">
        <v>16</v>
      </c>
      <c r="F78" s="1">
        <f t="shared" si="2"/>
        <v>430</v>
      </c>
      <c r="G78" s="5">
        <f t="shared" si="3"/>
        <v>0.16279069767441862</v>
      </c>
    </row>
    <row r="79" spans="1:7" ht="13">
      <c r="A79" s="4" t="s">
        <v>112</v>
      </c>
      <c r="B79" s="1">
        <v>7.56</v>
      </c>
      <c r="C79" s="1">
        <v>238</v>
      </c>
      <c r="D79" s="1" t="s">
        <v>11</v>
      </c>
      <c r="E79" s="1" t="s">
        <v>25</v>
      </c>
      <c r="F79" s="1">
        <f t="shared" si="2"/>
        <v>756</v>
      </c>
      <c r="G79" s="5">
        <f t="shared" si="3"/>
        <v>0.31481481481481483</v>
      </c>
    </row>
    <row r="80" spans="1:7" ht="13">
      <c r="A80" s="4" t="s">
        <v>112</v>
      </c>
      <c r="B80" s="1">
        <v>4.2</v>
      </c>
      <c r="C80" s="1">
        <v>136</v>
      </c>
      <c r="D80" s="1" t="s">
        <v>38</v>
      </c>
      <c r="E80" s="1" t="s">
        <v>16</v>
      </c>
      <c r="F80" s="1">
        <f t="shared" si="2"/>
        <v>420</v>
      </c>
      <c r="G80" s="5">
        <f t="shared" si="3"/>
        <v>0.32380952380952382</v>
      </c>
    </row>
    <row r="81" spans="1:7" ht="13">
      <c r="A81" s="4" t="s">
        <v>112</v>
      </c>
      <c r="B81" s="1">
        <v>8.1999999999999993</v>
      </c>
      <c r="C81" s="1">
        <v>170</v>
      </c>
      <c r="D81" s="1" t="s">
        <v>11</v>
      </c>
      <c r="E81" s="1" t="s">
        <v>12</v>
      </c>
      <c r="F81" s="1">
        <f t="shared" si="2"/>
        <v>819.99999999999989</v>
      </c>
      <c r="G81" s="5">
        <f t="shared" si="3"/>
        <v>0.20731707317073172</v>
      </c>
    </row>
    <row r="82" spans="1:7" ht="13">
      <c r="A82" s="4" t="s">
        <v>112</v>
      </c>
      <c r="B82" s="1">
        <v>6.4</v>
      </c>
      <c r="C82" s="1">
        <v>286</v>
      </c>
      <c r="D82" s="1" t="s">
        <v>47</v>
      </c>
      <c r="E82" s="1" t="s">
        <v>8</v>
      </c>
      <c r="F82" s="1">
        <f t="shared" si="2"/>
        <v>640</v>
      </c>
      <c r="G82" s="5">
        <f t="shared" si="3"/>
        <v>0.44687500000000002</v>
      </c>
    </row>
    <row r="83" spans="1:7" ht="13">
      <c r="A83" s="4" t="s">
        <v>112</v>
      </c>
      <c r="B83" s="1">
        <v>8.4</v>
      </c>
      <c r="C83" s="1">
        <v>282</v>
      </c>
      <c r="D83" s="1" t="s">
        <v>42</v>
      </c>
      <c r="E83" s="1" t="s">
        <v>30</v>
      </c>
      <c r="F83" s="1">
        <f t="shared" si="2"/>
        <v>840</v>
      </c>
      <c r="G83" s="5">
        <f t="shared" si="3"/>
        <v>0.33571428571428569</v>
      </c>
    </row>
    <row r="84" spans="1:7" ht="13">
      <c r="A84" s="4" t="s">
        <v>112</v>
      </c>
      <c r="B84" s="1">
        <v>7</v>
      </c>
      <c r="C84" s="1">
        <v>90</v>
      </c>
      <c r="D84" s="1" t="s">
        <v>33</v>
      </c>
      <c r="E84" s="1" t="s">
        <v>25</v>
      </c>
      <c r="F84" s="1">
        <f t="shared" si="2"/>
        <v>700</v>
      </c>
      <c r="G84" s="5">
        <f t="shared" si="3"/>
        <v>0.12857142857142856</v>
      </c>
    </row>
    <row r="85" spans="1:7" ht="13">
      <c r="A85" s="4" t="s">
        <v>112</v>
      </c>
      <c r="B85" s="1">
        <v>8.6999999999999993</v>
      </c>
      <c r="C85" s="1">
        <v>310</v>
      </c>
      <c r="D85" s="1" t="s">
        <v>11</v>
      </c>
      <c r="E85" s="1" t="s">
        <v>26</v>
      </c>
      <c r="F85" s="1">
        <f t="shared" si="2"/>
        <v>869.99999999999989</v>
      </c>
      <c r="G85" s="5">
        <f t="shared" si="3"/>
        <v>0.35632183908045983</v>
      </c>
    </row>
    <row r="86" spans="1:7" ht="13">
      <c r="A86" s="4" t="s">
        <v>112</v>
      </c>
      <c r="B86" s="1">
        <v>4</v>
      </c>
      <c r="C86" s="1">
        <v>6</v>
      </c>
      <c r="D86" s="1" t="s">
        <v>44</v>
      </c>
      <c r="E86" s="1" t="s">
        <v>21</v>
      </c>
      <c r="F86" s="1">
        <f t="shared" si="2"/>
        <v>400</v>
      </c>
      <c r="G86" s="5">
        <f t="shared" si="3"/>
        <v>1.4999999999999999E-2</v>
      </c>
    </row>
    <row r="87" spans="1:7" ht="13">
      <c r="A87" s="4" t="s">
        <v>112</v>
      </c>
      <c r="B87" s="1">
        <v>5.46</v>
      </c>
      <c r="C87" s="1">
        <v>220</v>
      </c>
      <c r="D87" s="1" t="s">
        <v>47</v>
      </c>
      <c r="E87" s="1" t="s">
        <v>10</v>
      </c>
      <c r="F87" s="1">
        <f t="shared" si="2"/>
        <v>546</v>
      </c>
      <c r="G87" s="5">
        <f t="shared" si="3"/>
        <v>0.40293040293040294</v>
      </c>
    </row>
    <row r="88" spans="1:7" ht="13">
      <c r="A88" s="4" t="s">
        <v>112</v>
      </c>
      <c r="B88" s="1">
        <v>8.6999999999999993</v>
      </c>
      <c r="C88" s="1">
        <v>135</v>
      </c>
      <c r="D88" s="1" t="s">
        <v>45</v>
      </c>
      <c r="E88" s="1" t="s">
        <v>20</v>
      </c>
      <c r="F88" s="1">
        <f t="shared" si="2"/>
        <v>869.99999999999989</v>
      </c>
      <c r="G88" s="5">
        <f t="shared" si="3"/>
        <v>0.15517241379310348</v>
      </c>
    </row>
    <row r="89" spans="1:7" ht="13">
      <c r="A89" s="4" t="s">
        <v>112</v>
      </c>
      <c r="B89" s="1">
        <v>5.81</v>
      </c>
      <c r="C89" s="1">
        <v>261</v>
      </c>
      <c r="D89" s="1" t="s">
        <v>38</v>
      </c>
      <c r="E89" s="1" t="s">
        <v>8</v>
      </c>
      <c r="F89" s="1">
        <f t="shared" si="2"/>
        <v>581</v>
      </c>
      <c r="G89" s="5">
        <f t="shared" si="3"/>
        <v>0.44922547332185886</v>
      </c>
    </row>
    <row r="90" spans="1:7" ht="13">
      <c r="A90" s="4" t="s">
        <v>112</v>
      </c>
      <c r="B90" s="1">
        <v>6.1</v>
      </c>
      <c r="C90" s="1">
        <v>113</v>
      </c>
      <c r="D90" s="1" t="s">
        <v>33</v>
      </c>
      <c r="E90" s="1" t="s">
        <v>8</v>
      </c>
      <c r="F90" s="1">
        <f t="shared" si="2"/>
        <v>610</v>
      </c>
      <c r="G90" s="5">
        <f t="shared" si="3"/>
        <v>0.18524590163934426</v>
      </c>
    </row>
    <row r="91" spans="1:7" ht="13">
      <c r="A91" s="4" t="s">
        <v>112</v>
      </c>
      <c r="B91" s="1">
        <v>7.5</v>
      </c>
      <c r="C91" s="1">
        <v>154.33000000000001</v>
      </c>
      <c r="D91" s="1" t="s">
        <v>33</v>
      </c>
      <c r="E91" s="1" t="s">
        <v>7</v>
      </c>
      <c r="F91" s="1">
        <f t="shared" si="2"/>
        <v>750</v>
      </c>
      <c r="G91" s="5">
        <f t="shared" si="3"/>
        <v>0.20577333333333336</v>
      </c>
    </row>
    <row r="92" spans="1:7" ht="13">
      <c r="A92" s="4" t="s">
        <v>112</v>
      </c>
      <c r="B92" s="1">
        <v>6</v>
      </c>
      <c r="C92" s="1">
        <v>39</v>
      </c>
      <c r="D92" s="1" t="s">
        <v>40</v>
      </c>
      <c r="E92" s="1" t="s">
        <v>18</v>
      </c>
      <c r="F92" s="1">
        <f t="shared" si="2"/>
        <v>600</v>
      </c>
      <c r="G92" s="5">
        <f t="shared" si="3"/>
        <v>6.5000000000000002E-2</v>
      </c>
    </row>
    <row r="93" spans="1:7" ht="13">
      <c r="A93" s="4" t="s">
        <v>112</v>
      </c>
      <c r="B93" s="1">
        <v>2.87</v>
      </c>
      <c r="C93" s="1">
        <v>78</v>
      </c>
      <c r="D93" s="1" t="s">
        <v>11</v>
      </c>
      <c r="E93" s="1" t="s">
        <v>8</v>
      </c>
      <c r="F93" s="1">
        <f t="shared" si="2"/>
        <v>287</v>
      </c>
      <c r="G93" s="5">
        <f t="shared" si="3"/>
        <v>0.27177700348432055</v>
      </c>
    </row>
    <row r="94" spans="1:7" ht="13">
      <c r="A94" s="4" t="s">
        <v>112</v>
      </c>
      <c r="B94" s="1">
        <v>8.64</v>
      </c>
      <c r="C94" s="1">
        <v>309</v>
      </c>
      <c r="D94" s="1" t="s">
        <v>11</v>
      </c>
      <c r="E94" s="1" t="s">
        <v>9</v>
      </c>
      <c r="F94" s="1">
        <f t="shared" si="2"/>
        <v>864</v>
      </c>
      <c r="G94" s="5">
        <f t="shared" si="3"/>
        <v>0.3576388888888889</v>
      </c>
    </row>
    <row r="95" spans="1:7" ht="13">
      <c r="A95" s="4" t="s">
        <v>112</v>
      </c>
      <c r="B95" s="1">
        <v>6.88</v>
      </c>
      <c r="C95" s="1">
        <v>110.17</v>
      </c>
      <c r="D95" s="1" t="s">
        <v>53</v>
      </c>
      <c r="E95" s="1" t="s">
        <v>16</v>
      </c>
      <c r="F95" s="1">
        <f t="shared" si="2"/>
        <v>688</v>
      </c>
      <c r="G95" s="5">
        <f t="shared" si="3"/>
        <v>0.16013081395348838</v>
      </c>
    </row>
    <row r="96" spans="1:7" ht="13">
      <c r="A96" s="4" t="s">
        <v>112</v>
      </c>
      <c r="B96" s="1">
        <v>5.6</v>
      </c>
      <c r="C96" s="1">
        <v>107</v>
      </c>
      <c r="D96" s="1" t="s">
        <v>33</v>
      </c>
      <c r="E96" s="1" t="s">
        <v>8</v>
      </c>
      <c r="F96" s="1">
        <f t="shared" ref="F96:F159" si="4">B96*100</f>
        <v>560</v>
      </c>
      <c r="G96" s="5">
        <f t="shared" si="3"/>
        <v>0.19107142857142856</v>
      </c>
    </row>
    <row r="97" spans="1:7" ht="13">
      <c r="A97" s="4" t="s">
        <v>112</v>
      </c>
      <c r="B97" s="1">
        <v>6.7</v>
      </c>
      <c r="C97" s="1">
        <v>127</v>
      </c>
      <c r="D97" s="1" t="s">
        <v>33</v>
      </c>
      <c r="E97" s="1" t="s">
        <v>21</v>
      </c>
      <c r="F97" s="1">
        <f t="shared" si="4"/>
        <v>670</v>
      </c>
      <c r="G97" s="5">
        <f t="shared" si="3"/>
        <v>0.18955223880597014</v>
      </c>
    </row>
    <row r="98" spans="1:7" ht="13">
      <c r="A98" s="4" t="s">
        <v>112</v>
      </c>
      <c r="B98" s="1">
        <v>6.4</v>
      </c>
      <c r="C98" s="1">
        <v>144.9</v>
      </c>
      <c r="D98" s="1" t="s">
        <v>35</v>
      </c>
      <c r="E98" s="1" t="s">
        <v>18</v>
      </c>
      <c r="F98" s="1">
        <f t="shared" si="4"/>
        <v>640</v>
      </c>
      <c r="G98" s="5">
        <f t="shared" si="3"/>
        <v>0.22640625</v>
      </c>
    </row>
    <row r="99" spans="1:7" ht="13">
      <c r="A99" s="4" t="s">
        <v>113</v>
      </c>
      <c r="B99" s="1">
        <v>7.7</v>
      </c>
      <c r="C99" s="1">
        <v>400</v>
      </c>
      <c r="D99" s="1" t="s">
        <v>11</v>
      </c>
      <c r="E99" s="1" t="s">
        <v>49</v>
      </c>
      <c r="F99" s="1">
        <f t="shared" si="4"/>
        <v>770</v>
      </c>
      <c r="G99" s="5">
        <f t="shared" si="3"/>
        <v>0.51948051948051943</v>
      </c>
    </row>
    <row r="100" spans="1:7" ht="13">
      <c r="A100" s="4" t="s">
        <v>113</v>
      </c>
      <c r="B100" s="1">
        <v>6.8</v>
      </c>
      <c r="C100" s="1">
        <v>206</v>
      </c>
      <c r="D100" s="1" t="s">
        <v>33</v>
      </c>
      <c r="E100" s="1" t="s">
        <v>7</v>
      </c>
      <c r="F100" s="1">
        <f t="shared" si="4"/>
        <v>680</v>
      </c>
      <c r="G100" s="5">
        <f t="shared" si="3"/>
        <v>0.30294117647058821</v>
      </c>
    </row>
    <row r="101" spans="1:7" ht="13">
      <c r="A101" s="4" t="s">
        <v>113</v>
      </c>
      <c r="B101" s="1">
        <v>3.87</v>
      </c>
      <c r="C101" s="1">
        <v>190</v>
      </c>
      <c r="D101" s="1" t="s">
        <v>11</v>
      </c>
      <c r="E101" s="1" t="s">
        <v>19</v>
      </c>
      <c r="F101" s="1">
        <f t="shared" si="4"/>
        <v>387</v>
      </c>
      <c r="G101" s="5">
        <f t="shared" si="3"/>
        <v>0.49095607235142119</v>
      </c>
    </row>
    <row r="102" spans="1:7" ht="13">
      <c r="A102" s="4" t="s">
        <v>113</v>
      </c>
      <c r="B102" s="1">
        <v>7.78</v>
      </c>
      <c r="C102" s="1">
        <v>332</v>
      </c>
      <c r="D102" s="1" t="s">
        <v>47</v>
      </c>
      <c r="E102" s="1" t="s">
        <v>23</v>
      </c>
      <c r="F102" s="1">
        <f t="shared" si="4"/>
        <v>778</v>
      </c>
      <c r="G102" s="5">
        <f t="shared" si="3"/>
        <v>0.42673521850899743</v>
      </c>
    </row>
    <row r="103" spans="1:7" ht="13">
      <c r="A103" s="4" t="s">
        <v>113</v>
      </c>
      <c r="B103" s="1">
        <v>7.3949999999999996</v>
      </c>
      <c r="C103" s="1">
        <v>370</v>
      </c>
      <c r="D103" s="1" t="s">
        <v>39</v>
      </c>
      <c r="E103" s="1" t="s">
        <v>8</v>
      </c>
      <c r="F103" s="1">
        <f t="shared" si="4"/>
        <v>739.5</v>
      </c>
      <c r="G103" s="5">
        <f t="shared" si="3"/>
        <v>0.5003380662609872</v>
      </c>
    </row>
    <row r="104" spans="1:7" ht="13">
      <c r="A104" s="4" t="s">
        <v>113</v>
      </c>
      <c r="B104" s="1">
        <v>6.02</v>
      </c>
      <c r="C104" s="1">
        <v>332</v>
      </c>
      <c r="D104" s="1" t="s">
        <v>38</v>
      </c>
      <c r="E104" s="1" t="s">
        <v>10</v>
      </c>
      <c r="F104" s="1">
        <f t="shared" si="4"/>
        <v>602</v>
      </c>
      <c r="G104" s="5">
        <f t="shared" si="3"/>
        <v>0.55149501661129563</v>
      </c>
    </row>
    <row r="105" spans="1:7" ht="13">
      <c r="A105" s="4" t="s">
        <v>113</v>
      </c>
      <c r="B105" s="1">
        <v>7.92</v>
      </c>
      <c r="C105" s="1">
        <v>218</v>
      </c>
      <c r="D105" s="1" t="s">
        <v>44</v>
      </c>
      <c r="E105" s="1" t="s">
        <v>24</v>
      </c>
      <c r="F105" s="1">
        <f t="shared" si="4"/>
        <v>792</v>
      </c>
      <c r="G105" s="5">
        <f t="shared" si="3"/>
        <v>0.27525252525252525</v>
      </c>
    </row>
    <row r="106" spans="1:7" ht="13">
      <c r="A106" s="4" t="s">
        <v>113</v>
      </c>
      <c r="B106" s="1">
        <v>6</v>
      </c>
      <c r="C106" s="1">
        <v>269</v>
      </c>
      <c r="D106" s="1" t="s">
        <v>11</v>
      </c>
      <c r="E106" s="1" t="s">
        <v>10</v>
      </c>
      <c r="F106" s="1">
        <f t="shared" si="4"/>
        <v>600</v>
      </c>
      <c r="G106" s="5">
        <f t="shared" si="3"/>
        <v>0.44833333333333331</v>
      </c>
    </row>
    <row r="107" spans="1:7" ht="13">
      <c r="A107" s="4" t="s">
        <v>113</v>
      </c>
      <c r="B107" s="1">
        <v>4</v>
      </c>
      <c r="C107" s="1">
        <v>175</v>
      </c>
      <c r="D107" s="1" t="s">
        <v>11</v>
      </c>
      <c r="E107" s="1" t="s">
        <v>22</v>
      </c>
      <c r="F107" s="1">
        <f t="shared" si="4"/>
        <v>400</v>
      </c>
      <c r="G107" s="5">
        <f t="shared" si="3"/>
        <v>0.4375</v>
      </c>
    </row>
    <row r="108" spans="1:7" ht="13">
      <c r="A108" s="4" t="s">
        <v>113</v>
      </c>
      <c r="B108" s="1">
        <v>4.6040000000000001</v>
      </c>
      <c r="C108" s="1">
        <v>180</v>
      </c>
      <c r="D108" s="1" t="s">
        <v>58</v>
      </c>
      <c r="E108" s="1" t="s">
        <v>14</v>
      </c>
      <c r="F108" s="1">
        <f t="shared" si="4"/>
        <v>460.40000000000003</v>
      </c>
      <c r="G108" s="5">
        <f t="shared" si="3"/>
        <v>0.39096437880104257</v>
      </c>
    </row>
    <row r="109" spans="1:7" ht="13">
      <c r="A109" s="4" t="s">
        <v>113</v>
      </c>
      <c r="B109" s="1">
        <v>5.2</v>
      </c>
      <c r="C109" s="1">
        <v>168</v>
      </c>
      <c r="D109" s="1" t="s">
        <v>53</v>
      </c>
      <c r="E109" s="1" t="s">
        <v>24</v>
      </c>
      <c r="F109" s="1">
        <f t="shared" si="4"/>
        <v>520</v>
      </c>
      <c r="G109" s="5">
        <f t="shared" si="3"/>
        <v>0.32307692307692309</v>
      </c>
    </row>
    <row r="110" spans="1:7" ht="13">
      <c r="A110" s="4" t="s">
        <v>113</v>
      </c>
      <c r="B110" s="1">
        <v>4.9000000000000004</v>
      </c>
      <c r="C110" s="1">
        <v>138</v>
      </c>
      <c r="D110" s="1" t="s">
        <v>33</v>
      </c>
      <c r="E110" s="1" t="s">
        <v>15</v>
      </c>
      <c r="F110" s="1">
        <f t="shared" si="4"/>
        <v>490.00000000000006</v>
      </c>
      <c r="G110" s="5">
        <f t="shared" si="3"/>
        <v>0.28163265306122448</v>
      </c>
    </row>
    <row r="111" spans="1:7" ht="13">
      <c r="A111" s="4" t="s">
        <v>113</v>
      </c>
      <c r="B111" s="1">
        <v>6.4</v>
      </c>
      <c r="C111" s="1">
        <v>332</v>
      </c>
      <c r="D111" s="1" t="s">
        <v>11</v>
      </c>
      <c r="E111" s="1" t="s">
        <v>32</v>
      </c>
      <c r="F111" s="1">
        <f t="shared" si="4"/>
        <v>640</v>
      </c>
      <c r="G111" s="5">
        <f t="shared" si="3"/>
        <v>0.51875000000000004</v>
      </c>
    </row>
    <row r="112" spans="1:7" ht="13">
      <c r="A112" s="4" t="s">
        <v>113</v>
      </c>
      <c r="B112" s="1">
        <v>9.1</v>
      </c>
      <c r="C112" s="1">
        <v>319</v>
      </c>
      <c r="D112" s="1" t="s">
        <v>39</v>
      </c>
      <c r="E112" s="1" t="s">
        <v>14</v>
      </c>
      <c r="F112" s="1">
        <f t="shared" si="4"/>
        <v>910</v>
      </c>
      <c r="G112" s="5">
        <f t="shared" si="3"/>
        <v>0.35054945054945053</v>
      </c>
    </row>
    <row r="113" spans="1:7" ht="13">
      <c r="A113" s="4" t="s">
        <v>113</v>
      </c>
      <c r="B113" s="1">
        <v>6</v>
      </c>
      <c r="C113" s="1">
        <v>220</v>
      </c>
      <c r="D113" s="1" t="s">
        <v>11</v>
      </c>
      <c r="E113" s="1" t="s">
        <v>20</v>
      </c>
      <c r="F113" s="1">
        <f t="shared" si="4"/>
        <v>600</v>
      </c>
      <c r="G113" s="5">
        <f t="shared" si="3"/>
        <v>0.36666666666666664</v>
      </c>
    </row>
    <row r="114" spans="1:7" ht="13">
      <c r="A114" s="4" t="s">
        <v>113</v>
      </c>
      <c r="B114" s="1">
        <v>6.1</v>
      </c>
      <c r="C114" s="1">
        <v>200</v>
      </c>
      <c r="D114" s="1" t="s">
        <v>33</v>
      </c>
      <c r="E114" s="1" t="s">
        <v>26</v>
      </c>
      <c r="F114" s="1">
        <f t="shared" si="4"/>
        <v>610</v>
      </c>
      <c r="G114" s="5">
        <f t="shared" si="3"/>
        <v>0.32786885245901637</v>
      </c>
    </row>
    <row r="115" spans="1:7" ht="13">
      <c r="A115" s="4" t="s">
        <v>113</v>
      </c>
      <c r="B115" s="1">
        <v>6450</v>
      </c>
      <c r="C115" s="1">
        <v>384</v>
      </c>
      <c r="D115" s="1" t="s">
        <v>11</v>
      </c>
      <c r="E115" s="1" t="s">
        <v>8</v>
      </c>
      <c r="F115" s="1">
        <f t="shared" si="4"/>
        <v>645000</v>
      </c>
      <c r="G115" s="5">
        <f t="shared" si="3"/>
        <v>5.9534883720930231E-4</v>
      </c>
    </row>
    <row r="116" spans="1:7" ht="13">
      <c r="A116" s="4" t="s">
        <v>113</v>
      </c>
      <c r="B116" s="1">
        <v>4.92</v>
      </c>
      <c r="C116" s="1">
        <v>150</v>
      </c>
      <c r="D116" s="1" t="s">
        <v>33</v>
      </c>
      <c r="E116" s="1" t="s">
        <v>8</v>
      </c>
      <c r="F116" s="1">
        <f t="shared" si="4"/>
        <v>492</v>
      </c>
      <c r="G116" s="5">
        <f t="shared" si="3"/>
        <v>0.3048780487804878</v>
      </c>
    </row>
    <row r="117" spans="1:7" ht="13">
      <c r="A117" s="4" t="s">
        <v>113</v>
      </c>
      <c r="B117" s="1">
        <v>7.4</v>
      </c>
      <c r="C117" s="1">
        <v>266</v>
      </c>
      <c r="D117" s="1" t="s">
        <v>44</v>
      </c>
      <c r="E117" s="1" t="s">
        <v>17</v>
      </c>
      <c r="F117" s="1">
        <f t="shared" si="4"/>
        <v>740</v>
      </c>
      <c r="G117" s="5">
        <f t="shared" si="3"/>
        <v>0.35945945945945945</v>
      </c>
    </row>
    <row r="118" spans="1:7" ht="13">
      <c r="A118" s="4" t="s">
        <v>113</v>
      </c>
      <c r="B118" s="1">
        <v>6.72</v>
      </c>
      <c r="C118" s="1">
        <v>327</v>
      </c>
      <c r="D118" s="1" t="s">
        <v>11</v>
      </c>
      <c r="E118" s="1" t="s">
        <v>24</v>
      </c>
      <c r="F118" s="1">
        <f t="shared" si="4"/>
        <v>672</v>
      </c>
      <c r="G118" s="5">
        <f t="shared" si="3"/>
        <v>0.48660714285714285</v>
      </c>
    </row>
    <row r="119" spans="1:7" ht="13">
      <c r="A119" s="4" t="s">
        <v>113</v>
      </c>
      <c r="B119" s="1">
        <v>7.2</v>
      </c>
      <c r="C119" s="1">
        <v>200</v>
      </c>
      <c r="D119" s="1" t="s">
        <v>33</v>
      </c>
      <c r="E119" s="1" t="s">
        <v>21</v>
      </c>
      <c r="F119" s="1">
        <f t="shared" si="4"/>
        <v>720</v>
      </c>
      <c r="G119" s="5">
        <f t="shared" si="3"/>
        <v>0.27777777777777779</v>
      </c>
    </row>
    <row r="120" spans="1:7" ht="13">
      <c r="A120" s="4" t="s">
        <v>113</v>
      </c>
      <c r="B120" s="1">
        <v>6.4</v>
      </c>
      <c r="C120" s="1">
        <v>241</v>
      </c>
      <c r="D120" s="1" t="s">
        <v>42</v>
      </c>
      <c r="E120" s="1" t="s">
        <v>18</v>
      </c>
      <c r="F120" s="1">
        <f t="shared" si="4"/>
        <v>640</v>
      </c>
      <c r="G120" s="5">
        <f t="shared" si="3"/>
        <v>0.37656250000000002</v>
      </c>
    </row>
    <row r="121" spans="1:7" ht="13">
      <c r="A121" s="4" t="s">
        <v>113</v>
      </c>
      <c r="B121" s="1">
        <v>6400</v>
      </c>
      <c r="C121" s="1">
        <v>364</v>
      </c>
      <c r="D121" s="1" t="s">
        <v>11</v>
      </c>
      <c r="E121" s="1" t="s">
        <v>26</v>
      </c>
      <c r="F121" s="1">
        <f t="shared" si="4"/>
        <v>640000</v>
      </c>
      <c r="G121" s="5">
        <f t="shared" si="3"/>
        <v>5.6875000000000003E-4</v>
      </c>
    </row>
    <row r="122" spans="1:7" ht="13">
      <c r="A122" s="4" t="s">
        <v>113</v>
      </c>
      <c r="B122" s="1">
        <v>5.7</v>
      </c>
      <c r="C122" s="1">
        <v>169</v>
      </c>
      <c r="D122" s="1" t="s">
        <v>33</v>
      </c>
      <c r="E122" s="1" t="s">
        <v>32</v>
      </c>
      <c r="F122" s="1">
        <f t="shared" si="4"/>
        <v>570</v>
      </c>
      <c r="G122" s="5">
        <f t="shared" si="3"/>
        <v>0.29649122807017542</v>
      </c>
    </row>
    <row r="123" spans="1:7" ht="13">
      <c r="A123" s="4" t="s">
        <v>113</v>
      </c>
      <c r="B123" s="1">
        <v>6.9</v>
      </c>
      <c r="C123" s="1">
        <v>260</v>
      </c>
      <c r="D123" s="1" t="s">
        <v>39</v>
      </c>
      <c r="E123" s="1" t="s">
        <v>15</v>
      </c>
      <c r="F123" s="1">
        <f t="shared" si="4"/>
        <v>690</v>
      </c>
      <c r="G123" s="5">
        <f t="shared" si="3"/>
        <v>0.37681159420289856</v>
      </c>
    </row>
    <row r="124" spans="1:7" ht="13">
      <c r="A124" s="4" t="s">
        <v>113</v>
      </c>
      <c r="B124" s="1">
        <v>4.5</v>
      </c>
      <c r="C124" s="1">
        <v>133</v>
      </c>
      <c r="D124" s="1" t="s">
        <v>33</v>
      </c>
      <c r="E124" s="1" t="s">
        <v>17</v>
      </c>
      <c r="F124" s="1">
        <f t="shared" si="4"/>
        <v>450</v>
      </c>
      <c r="G124" s="5">
        <f t="shared" si="3"/>
        <v>0.29555555555555557</v>
      </c>
    </row>
    <row r="125" spans="1:7" ht="13">
      <c r="A125" s="4" t="s">
        <v>113</v>
      </c>
      <c r="B125" s="1">
        <v>4.9000000000000004</v>
      </c>
      <c r="C125" s="1">
        <v>218</v>
      </c>
      <c r="D125" s="1" t="s">
        <v>44</v>
      </c>
      <c r="E125" s="1" t="s">
        <v>15</v>
      </c>
      <c r="F125" s="1">
        <f t="shared" si="4"/>
        <v>490.00000000000006</v>
      </c>
      <c r="G125" s="5">
        <f t="shared" si="3"/>
        <v>0.44489795918367342</v>
      </c>
    </row>
    <row r="126" spans="1:7" ht="13">
      <c r="A126" s="4" t="s">
        <v>113</v>
      </c>
      <c r="B126" s="1">
        <v>7.3</v>
      </c>
      <c r="C126" s="1">
        <v>330</v>
      </c>
      <c r="D126" s="1" t="s">
        <v>34</v>
      </c>
      <c r="E126" s="1" t="s">
        <v>10</v>
      </c>
      <c r="F126" s="1">
        <f t="shared" si="4"/>
        <v>730</v>
      </c>
      <c r="G126" s="5">
        <f t="shared" si="3"/>
        <v>0.45205479452054792</v>
      </c>
    </row>
    <row r="127" spans="1:7" ht="13">
      <c r="A127" s="4" t="s">
        <v>113</v>
      </c>
      <c r="B127" s="1">
        <v>6.23</v>
      </c>
      <c r="C127" s="1">
        <v>286.60000000000002</v>
      </c>
      <c r="D127" s="1" t="s">
        <v>11</v>
      </c>
      <c r="E127" s="1" t="s">
        <v>12</v>
      </c>
      <c r="F127" s="1">
        <f t="shared" si="4"/>
        <v>623</v>
      </c>
      <c r="G127" s="5">
        <f t="shared" si="3"/>
        <v>0.46003210272873196</v>
      </c>
    </row>
    <row r="128" spans="1:7" ht="13">
      <c r="A128" s="4" t="s">
        <v>113</v>
      </c>
      <c r="B128" s="1">
        <v>6</v>
      </c>
      <c r="C128" s="1">
        <v>242</v>
      </c>
      <c r="D128" s="1" t="s">
        <v>11</v>
      </c>
      <c r="E128" s="1" t="s">
        <v>23</v>
      </c>
      <c r="F128" s="1">
        <f t="shared" si="4"/>
        <v>600</v>
      </c>
      <c r="G128" s="5">
        <f t="shared" si="3"/>
        <v>0.40333333333333332</v>
      </c>
    </row>
    <row r="129" spans="1:7" ht="13">
      <c r="A129" s="4" t="s">
        <v>113</v>
      </c>
      <c r="B129" s="1">
        <v>4.8</v>
      </c>
      <c r="C129" s="1">
        <v>213</v>
      </c>
      <c r="D129" s="1" t="s">
        <v>38</v>
      </c>
      <c r="E129" s="1" t="s">
        <v>21</v>
      </c>
      <c r="F129" s="1">
        <f t="shared" si="4"/>
        <v>480</v>
      </c>
      <c r="G129" s="5">
        <f t="shared" si="3"/>
        <v>0.44374999999999998</v>
      </c>
    </row>
    <row r="130" spans="1:7" ht="13">
      <c r="A130" s="4" t="s">
        <v>113</v>
      </c>
      <c r="B130" s="1">
        <v>8.1</v>
      </c>
      <c r="C130" s="1">
        <v>310</v>
      </c>
      <c r="D130" s="1" t="s">
        <v>35</v>
      </c>
      <c r="E130" s="1" t="s">
        <v>7</v>
      </c>
      <c r="F130" s="1">
        <f t="shared" si="4"/>
        <v>810</v>
      </c>
      <c r="G130" s="5">
        <f t="shared" ref="G130:G193" si="5">C130/F130</f>
        <v>0.38271604938271603</v>
      </c>
    </row>
    <row r="131" spans="1:7" ht="13">
      <c r="A131" s="4" t="s">
        <v>113</v>
      </c>
      <c r="B131" s="1">
        <v>6.9</v>
      </c>
      <c r="C131" s="1">
        <v>266</v>
      </c>
      <c r="D131" s="1" t="s">
        <v>11</v>
      </c>
      <c r="E131" s="1" t="s">
        <v>26</v>
      </c>
      <c r="F131" s="1">
        <f t="shared" si="4"/>
        <v>690</v>
      </c>
      <c r="G131" s="5">
        <f t="shared" si="5"/>
        <v>0.38550724637681161</v>
      </c>
    </row>
    <row r="132" spans="1:7" ht="13">
      <c r="A132" s="4" t="s">
        <v>113</v>
      </c>
      <c r="B132" s="1">
        <v>8</v>
      </c>
      <c r="C132" s="1">
        <v>217</v>
      </c>
      <c r="D132" s="1" t="s">
        <v>33</v>
      </c>
      <c r="E132" s="1" t="s">
        <v>17</v>
      </c>
      <c r="F132" s="1">
        <f t="shared" si="4"/>
        <v>800</v>
      </c>
      <c r="G132" s="5">
        <f t="shared" si="5"/>
        <v>0.27124999999999999</v>
      </c>
    </row>
    <row r="133" spans="1:7" ht="13">
      <c r="A133" s="4" t="s">
        <v>113</v>
      </c>
      <c r="B133" s="1">
        <v>7.56</v>
      </c>
      <c r="C133" s="1">
        <v>379</v>
      </c>
      <c r="D133" s="1" t="s">
        <v>11</v>
      </c>
      <c r="E133" s="1" t="s">
        <v>27</v>
      </c>
      <c r="F133" s="1">
        <f t="shared" si="4"/>
        <v>756</v>
      </c>
      <c r="G133" s="5">
        <f t="shared" si="5"/>
        <v>0.50132275132275128</v>
      </c>
    </row>
    <row r="134" spans="1:7" ht="13">
      <c r="A134" s="4" t="s">
        <v>113</v>
      </c>
      <c r="B134" s="1">
        <v>4.0999999999999996</v>
      </c>
      <c r="C134" s="1">
        <v>184</v>
      </c>
      <c r="D134" s="1" t="s">
        <v>38</v>
      </c>
      <c r="E134" s="1" t="s">
        <v>16</v>
      </c>
      <c r="F134" s="1">
        <f t="shared" si="4"/>
        <v>409.99999999999994</v>
      </c>
      <c r="G134" s="5">
        <f t="shared" si="5"/>
        <v>0.44878048780487811</v>
      </c>
    </row>
    <row r="135" spans="1:7" ht="13">
      <c r="A135" s="4" t="s">
        <v>113</v>
      </c>
      <c r="B135" s="1">
        <v>7.56</v>
      </c>
      <c r="C135" s="1">
        <v>360</v>
      </c>
      <c r="D135" s="1" t="s">
        <v>11</v>
      </c>
      <c r="E135" s="1" t="s">
        <v>7</v>
      </c>
      <c r="F135" s="1">
        <f t="shared" si="4"/>
        <v>756</v>
      </c>
      <c r="G135" s="5">
        <f t="shared" si="5"/>
        <v>0.47619047619047616</v>
      </c>
    </row>
    <row r="136" spans="1:7" ht="13">
      <c r="A136" s="4" t="s">
        <v>113</v>
      </c>
      <c r="B136" s="1">
        <v>6.65</v>
      </c>
      <c r="C136" s="1">
        <v>218</v>
      </c>
      <c r="D136" s="1" t="s">
        <v>33</v>
      </c>
      <c r="E136" s="1" t="s">
        <v>22</v>
      </c>
      <c r="F136" s="1">
        <f t="shared" si="4"/>
        <v>665</v>
      </c>
      <c r="G136" s="5">
        <f t="shared" si="5"/>
        <v>0.32781954887218046</v>
      </c>
    </row>
    <row r="137" spans="1:7" ht="13">
      <c r="A137" s="4" t="s">
        <v>113</v>
      </c>
      <c r="B137" s="1">
        <v>7.7</v>
      </c>
      <c r="C137" s="1">
        <v>286</v>
      </c>
      <c r="D137" s="1" t="s">
        <v>39</v>
      </c>
      <c r="E137" s="1" t="s">
        <v>16</v>
      </c>
      <c r="F137" s="1">
        <f t="shared" si="4"/>
        <v>770</v>
      </c>
      <c r="G137" s="5">
        <f t="shared" si="5"/>
        <v>0.37142857142857144</v>
      </c>
    </row>
    <row r="138" spans="1:7" ht="13">
      <c r="A138" s="4" t="s">
        <v>113</v>
      </c>
      <c r="B138" s="1">
        <v>5.16</v>
      </c>
      <c r="C138" s="1">
        <v>159</v>
      </c>
      <c r="D138" s="1" t="s">
        <v>42</v>
      </c>
      <c r="E138" s="1" t="s">
        <v>22</v>
      </c>
      <c r="F138" s="1">
        <f t="shared" si="4"/>
        <v>516</v>
      </c>
      <c r="G138" s="5">
        <f t="shared" si="5"/>
        <v>0.30813953488372092</v>
      </c>
    </row>
    <row r="139" spans="1:7" ht="13">
      <c r="A139" s="4" t="s">
        <v>113</v>
      </c>
      <c r="B139" s="1">
        <v>6.8</v>
      </c>
      <c r="C139" s="1">
        <v>246</v>
      </c>
      <c r="D139" s="1" t="s">
        <v>47</v>
      </c>
      <c r="E139" s="1" t="s">
        <v>24</v>
      </c>
      <c r="F139" s="1">
        <f t="shared" si="4"/>
        <v>680</v>
      </c>
      <c r="G139" s="5">
        <f t="shared" si="5"/>
        <v>0.36176470588235293</v>
      </c>
    </row>
    <row r="140" spans="1:7" ht="13">
      <c r="A140" s="4" t="s">
        <v>113</v>
      </c>
      <c r="B140" s="1">
        <v>6.7</v>
      </c>
      <c r="C140" s="1">
        <v>284</v>
      </c>
      <c r="D140" s="1" t="s">
        <v>11</v>
      </c>
      <c r="E140" s="1" t="s">
        <v>16</v>
      </c>
      <c r="F140" s="1">
        <f t="shared" si="4"/>
        <v>670</v>
      </c>
      <c r="G140" s="5">
        <f t="shared" si="5"/>
        <v>0.42388059701492536</v>
      </c>
    </row>
    <row r="141" spans="1:7" ht="13">
      <c r="A141" s="4" t="s">
        <v>113</v>
      </c>
      <c r="B141" s="1">
        <v>6.8</v>
      </c>
      <c r="C141" s="1">
        <v>209</v>
      </c>
      <c r="D141" s="1" t="s">
        <v>64</v>
      </c>
      <c r="E141" s="1" t="s">
        <v>32</v>
      </c>
      <c r="F141" s="1">
        <f t="shared" si="4"/>
        <v>680</v>
      </c>
      <c r="G141" s="5">
        <f t="shared" si="5"/>
        <v>0.30735294117647061</v>
      </c>
    </row>
    <row r="142" spans="1:7" ht="13">
      <c r="A142" s="4" t="s">
        <v>113</v>
      </c>
      <c r="B142" s="1">
        <v>7.85</v>
      </c>
      <c r="C142" s="1">
        <v>375</v>
      </c>
      <c r="D142" s="1" t="s">
        <v>11</v>
      </c>
      <c r="E142" s="1" t="s">
        <v>8</v>
      </c>
      <c r="F142" s="1">
        <f t="shared" si="4"/>
        <v>785</v>
      </c>
      <c r="G142" s="5">
        <f t="shared" si="5"/>
        <v>0.47770700636942676</v>
      </c>
    </row>
    <row r="143" spans="1:7" ht="13">
      <c r="A143" s="4" t="s">
        <v>113</v>
      </c>
      <c r="B143" s="1">
        <v>8.8000000000000007</v>
      </c>
      <c r="C143" s="1">
        <v>230</v>
      </c>
      <c r="D143" s="1" t="s">
        <v>44</v>
      </c>
      <c r="E143" s="1" t="s">
        <v>25</v>
      </c>
      <c r="F143" s="1">
        <f t="shared" si="4"/>
        <v>880.00000000000011</v>
      </c>
      <c r="G143" s="5">
        <f t="shared" si="5"/>
        <v>0.26136363636363635</v>
      </c>
    </row>
    <row r="144" spans="1:7" ht="13">
      <c r="A144" s="4" t="s">
        <v>113</v>
      </c>
      <c r="B144" s="1">
        <v>5.12</v>
      </c>
      <c r="C144" s="1">
        <v>237</v>
      </c>
      <c r="D144" s="1" t="s">
        <v>11</v>
      </c>
      <c r="E144" s="1" t="s">
        <v>16</v>
      </c>
      <c r="F144" s="1">
        <f t="shared" si="4"/>
        <v>512</v>
      </c>
      <c r="G144" s="5">
        <f t="shared" si="5"/>
        <v>0.462890625</v>
      </c>
    </row>
    <row r="145" spans="1:7" ht="13">
      <c r="A145" s="4" t="s">
        <v>113</v>
      </c>
      <c r="B145" s="1">
        <v>7.4</v>
      </c>
      <c r="C145" s="1">
        <v>298</v>
      </c>
      <c r="D145" s="1" t="s">
        <v>39</v>
      </c>
      <c r="E145" s="1" t="s">
        <v>10</v>
      </c>
      <c r="F145" s="1">
        <f t="shared" si="4"/>
        <v>740</v>
      </c>
      <c r="G145" s="5">
        <f t="shared" si="5"/>
        <v>0.4027027027027027</v>
      </c>
    </row>
    <row r="146" spans="1:7" ht="13">
      <c r="A146" s="4" t="s">
        <v>113</v>
      </c>
      <c r="B146" s="1">
        <v>4.0999999999999996</v>
      </c>
      <c r="C146" s="1">
        <v>147</v>
      </c>
      <c r="D146" s="1" t="s">
        <v>40</v>
      </c>
      <c r="E146" s="1" t="s">
        <v>25</v>
      </c>
      <c r="F146" s="1">
        <f t="shared" si="4"/>
        <v>409.99999999999994</v>
      </c>
      <c r="G146" s="5">
        <f t="shared" si="5"/>
        <v>0.3585365853658537</v>
      </c>
    </row>
    <row r="147" spans="1:7" ht="13">
      <c r="A147" s="4" t="s">
        <v>113</v>
      </c>
      <c r="B147" s="1">
        <v>3</v>
      </c>
      <c r="C147" s="1">
        <v>136</v>
      </c>
      <c r="D147" s="1" t="s">
        <v>11</v>
      </c>
      <c r="E147" s="1" t="s">
        <v>15</v>
      </c>
      <c r="F147" s="1">
        <f t="shared" si="4"/>
        <v>300</v>
      </c>
      <c r="G147" s="5">
        <f t="shared" si="5"/>
        <v>0.45333333333333331</v>
      </c>
    </row>
    <row r="148" spans="1:7" ht="13">
      <c r="A148" s="4" t="s">
        <v>113</v>
      </c>
      <c r="B148" s="1">
        <v>6.88</v>
      </c>
      <c r="C148" s="1">
        <v>301</v>
      </c>
      <c r="D148" s="1" t="s">
        <v>11</v>
      </c>
      <c r="E148" s="1" t="s">
        <v>8</v>
      </c>
      <c r="F148" s="1">
        <f t="shared" si="4"/>
        <v>688</v>
      </c>
      <c r="G148" s="5">
        <f t="shared" si="5"/>
        <v>0.4375</v>
      </c>
    </row>
    <row r="149" spans="1:7" ht="13">
      <c r="A149" s="4" t="s">
        <v>113</v>
      </c>
      <c r="B149" s="1">
        <v>6.4</v>
      </c>
      <c r="C149" s="1">
        <v>190</v>
      </c>
      <c r="D149" s="1" t="s">
        <v>37</v>
      </c>
      <c r="E149" s="1" t="s">
        <v>20</v>
      </c>
      <c r="F149" s="1">
        <f t="shared" si="4"/>
        <v>640</v>
      </c>
      <c r="G149" s="5">
        <f t="shared" si="5"/>
        <v>0.296875</v>
      </c>
    </row>
    <row r="150" spans="1:7" ht="13">
      <c r="A150" s="4" t="s">
        <v>113</v>
      </c>
      <c r="B150" s="1">
        <v>4.5999999999999996</v>
      </c>
      <c r="C150" s="1">
        <v>221</v>
      </c>
      <c r="D150" s="1" t="s">
        <v>11</v>
      </c>
      <c r="E150" s="1" t="s">
        <v>28</v>
      </c>
      <c r="F150" s="1">
        <f t="shared" si="4"/>
        <v>459.99999999999994</v>
      </c>
      <c r="G150" s="5">
        <f t="shared" si="5"/>
        <v>0.48043478260869571</v>
      </c>
    </row>
    <row r="151" spans="1:7" ht="13">
      <c r="A151" s="4" t="s">
        <v>113</v>
      </c>
      <c r="B151" s="1">
        <v>6.2</v>
      </c>
      <c r="C151" s="1">
        <v>150</v>
      </c>
      <c r="D151" s="1" t="s">
        <v>33</v>
      </c>
      <c r="E151" s="1" t="s">
        <v>9</v>
      </c>
      <c r="F151" s="1">
        <f t="shared" si="4"/>
        <v>620</v>
      </c>
      <c r="G151" s="5">
        <f t="shared" si="5"/>
        <v>0.24193548387096775</v>
      </c>
    </row>
    <row r="152" spans="1:7" ht="13">
      <c r="A152" s="4" t="s">
        <v>113</v>
      </c>
      <c r="B152" s="1">
        <v>4.8</v>
      </c>
      <c r="C152" s="1">
        <v>216</v>
      </c>
      <c r="D152" s="1" t="s">
        <v>11</v>
      </c>
      <c r="E152" s="1" t="s">
        <v>21</v>
      </c>
      <c r="F152" s="1">
        <f t="shared" si="4"/>
        <v>480</v>
      </c>
      <c r="G152" s="5">
        <f t="shared" si="5"/>
        <v>0.45</v>
      </c>
    </row>
    <row r="153" spans="1:7" ht="13">
      <c r="A153" s="4" t="s">
        <v>113</v>
      </c>
      <c r="B153" s="1">
        <v>4.9800000000000004</v>
      </c>
      <c r="C153" s="1">
        <v>138</v>
      </c>
      <c r="D153" s="1" t="s">
        <v>35</v>
      </c>
      <c r="E153" s="1" t="s">
        <v>25</v>
      </c>
      <c r="F153" s="1">
        <f t="shared" si="4"/>
        <v>498.00000000000006</v>
      </c>
      <c r="G153" s="5">
        <f t="shared" si="5"/>
        <v>0.27710843373493971</v>
      </c>
    </row>
    <row r="154" spans="1:7" ht="13">
      <c r="A154" s="4" t="s">
        <v>113</v>
      </c>
      <c r="B154" s="1">
        <v>5.0999999999999996</v>
      </c>
      <c r="C154" s="1">
        <v>138</v>
      </c>
      <c r="D154" s="1" t="s">
        <v>55</v>
      </c>
      <c r="E154" s="1" t="s">
        <v>15</v>
      </c>
      <c r="F154" s="1">
        <f t="shared" si="4"/>
        <v>509.99999999999994</v>
      </c>
      <c r="G154" s="5">
        <f t="shared" si="5"/>
        <v>0.27058823529411768</v>
      </c>
    </row>
    <row r="155" spans="1:7" ht="13">
      <c r="A155" s="4" t="s">
        <v>113</v>
      </c>
      <c r="B155" s="1">
        <v>6</v>
      </c>
      <c r="C155" s="1">
        <v>256</v>
      </c>
      <c r="D155" s="1" t="s">
        <v>11</v>
      </c>
      <c r="E155" s="1" t="s">
        <v>19</v>
      </c>
      <c r="F155" s="1">
        <f t="shared" si="4"/>
        <v>600</v>
      </c>
      <c r="G155" s="5">
        <f t="shared" si="5"/>
        <v>0.42666666666666669</v>
      </c>
    </row>
    <row r="156" spans="1:7" ht="13">
      <c r="A156" s="4" t="s">
        <v>113</v>
      </c>
      <c r="B156" s="1">
        <v>6.09</v>
      </c>
      <c r="C156" s="1">
        <v>234</v>
      </c>
      <c r="D156" s="1" t="s">
        <v>63</v>
      </c>
      <c r="E156" s="1" t="s">
        <v>23</v>
      </c>
      <c r="F156" s="1">
        <f t="shared" si="4"/>
        <v>609</v>
      </c>
      <c r="G156" s="5">
        <f t="shared" si="5"/>
        <v>0.38423645320197042</v>
      </c>
    </row>
    <row r="157" spans="1:7" ht="13">
      <c r="A157" s="4" t="s">
        <v>113</v>
      </c>
      <c r="B157" s="1">
        <v>5.2</v>
      </c>
      <c r="C157" s="1">
        <v>166</v>
      </c>
      <c r="D157" s="1" t="s">
        <v>43</v>
      </c>
      <c r="E157" s="1" t="s">
        <v>25</v>
      </c>
      <c r="F157" s="1">
        <f t="shared" si="4"/>
        <v>520</v>
      </c>
      <c r="G157" s="5">
        <f t="shared" si="5"/>
        <v>0.31923076923076921</v>
      </c>
    </row>
    <row r="158" spans="1:7" ht="13">
      <c r="A158" s="4" t="s">
        <v>113</v>
      </c>
      <c r="B158" s="1">
        <v>7.7</v>
      </c>
      <c r="C158" s="1">
        <v>215</v>
      </c>
      <c r="D158" s="1" t="s">
        <v>33</v>
      </c>
      <c r="E158" s="1" t="s">
        <v>10</v>
      </c>
      <c r="F158" s="1">
        <f t="shared" si="4"/>
        <v>770</v>
      </c>
      <c r="G158" s="5">
        <f t="shared" si="5"/>
        <v>0.2792207792207792</v>
      </c>
    </row>
    <row r="159" spans="1:7" ht="13">
      <c r="A159" s="4" t="s">
        <v>113</v>
      </c>
      <c r="B159" s="1">
        <v>2.25</v>
      </c>
      <c r="C159" s="1">
        <v>51</v>
      </c>
      <c r="D159" s="1" t="s">
        <v>55</v>
      </c>
      <c r="E159" s="1" t="s">
        <v>15</v>
      </c>
      <c r="F159" s="1">
        <f t="shared" si="4"/>
        <v>225</v>
      </c>
      <c r="G159" s="5">
        <f t="shared" si="5"/>
        <v>0.22666666666666666</v>
      </c>
    </row>
    <row r="160" spans="1:7" ht="13">
      <c r="A160" s="4" t="s">
        <v>113</v>
      </c>
      <c r="B160" s="1">
        <v>7.2</v>
      </c>
      <c r="C160" s="1">
        <v>220</v>
      </c>
      <c r="D160" s="1" t="s">
        <v>33</v>
      </c>
      <c r="E160" s="1" t="s">
        <v>25</v>
      </c>
      <c r="F160" s="1">
        <f t="shared" ref="F160:F223" si="6">B160*100</f>
        <v>720</v>
      </c>
      <c r="G160" s="5">
        <f t="shared" si="5"/>
        <v>0.30555555555555558</v>
      </c>
    </row>
    <row r="161" spans="1:7" ht="13">
      <c r="A161" s="4" t="s">
        <v>113</v>
      </c>
      <c r="B161" s="1">
        <v>5.8</v>
      </c>
      <c r="C161" s="1">
        <v>214</v>
      </c>
      <c r="D161" s="1" t="s">
        <v>33</v>
      </c>
      <c r="E161" s="1" t="s">
        <v>10</v>
      </c>
      <c r="F161" s="1">
        <f t="shared" si="6"/>
        <v>580</v>
      </c>
      <c r="G161" s="5">
        <f t="shared" si="5"/>
        <v>0.36896551724137933</v>
      </c>
    </row>
    <row r="162" spans="1:7" ht="13">
      <c r="A162" s="4" t="s">
        <v>113</v>
      </c>
      <c r="B162" s="1">
        <v>7.2</v>
      </c>
      <c r="C162" s="1">
        <v>220</v>
      </c>
      <c r="D162" s="1" t="s">
        <v>33</v>
      </c>
      <c r="E162" s="1" t="s">
        <v>25</v>
      </c>
      <c r="F162" s="1">
        <f t="shared" si="6"/>
        <v>720</v>
      </c>
      <c r="G162" s="5">
        <f t="shared" si="5"/>
        <v>0.30555555555555558</v>
      </c>
    </row>
    <row r="163" spans="1:7" ht="13">
      <c r="A163" s="4" t="s">
        <v>113</v>
      </c>
      <c r="B163" s="1">
        <v>7.4</v>
      </c>
      <c r="C163" s="1">
        <v>299</v>
      </c>
      <c r="D163" s="1" t="s">
        <v>11</v>
      </c>
      <c r="E163" s="1" t="s">
        <v>25</v>
      </c>
      <c r="F163" s="1">
        <f t="shared" si="6"/>
        <v>740</v>
      </c>
      <c r="G163" s="5">
        <f t="shared" si="5"/>
        <v>0.40405405405405403</v>
      </c>
    </row>
    <row r="164" spans="1:7" ht="13">
      <c r="A164" s="4" t="s">
        <v>113</v>
      </c>
      <c r="B164" s="1">
        <v>8.4</v>
      </c>
      <c r="C164" s="1">
        <v>270</v>
      </c>
      <c r="D164" s="1" t="s">
        <v>39</v>
      </c>
      <c r="E164" s="1" t="s">
        <v>17</v>
      </c>
      <c r="F164" s="1">
        <f t="shared" si="6"/>
        <v>840</v>
      </c>
      <c r="G164" s="5">
        <f t="shared" si="5"/>
        <v>0.32142857142857145</v>
      </c>
    </row>
    <row r="165" spans="1:7" ht="13">
      <c r="A165" s="4" t="s">
        <v>113</v>
      </c>
      <c r="B165" s="1">
        <v>5.4</v>
      </c>
      <c r="C165" s="1">
        <v>238</v>
      </c>
      <c r="D165" s="1" t="s">
        <v>11</v>
      </c>
      <c r="E165" s="1" t="s">
        <v>8</v>
      </c>
      <c r="F165" s="1">
        <f t="shared" si="6"/>
        <v>540</v>
      </c>
      <c r="G165" s="5">
        <f t="shared" si="5"/>
        <v>0.44074074074074077</v>
      </c>
    </row>
    <row r="166" spans="1:7" ht="13">
      <c r="A166" s="4" t="s">
        <v>113</v>
      </c>
      <c r="B166" s="1">
        <v>6.2</v>
      </c>
      <c r="C166" s="1">
        <v>312</v>
      </c>
      <c r="D166" s="1" t="s">
        <v>11</v>
      </c>
      <c r="E166" s="1" t="s">
        <v>10</v>
      </c>
      <c r="F166" s="1">
        <f t="shared" si="6"/>
        <v>620</v>
      </c>
      <c r="G166" s="5">
        <f t="shared" si="5"/>
        <v>0.50322580645161286</v>
      </c>
    </row>
    <row r="167" spans="1:7" ht="13">
      <c r="A167" s="4" t="s">
        <v>113</v>
      </c>
      <c r="B167" s="1">
        <v>5.2</v>
      </c>
      <c r="C167" s="1">
        <v>191</v>
      </c>
      <c r="D167" s="1" t="s">
        <v>35</v>
      </c>
      <c r="E167" s="1" t="s">
        <v>41</v>
      </c>
      <c r="F167" s="1">
        <f t="shared" si="6"/>
        <v>520</v>
      </c>
      <c r="G167" s="5">
        <f t="shared" si="5"/>
        <v>0.36730769230769234</v>
      </c>
    </row>
    <row r="168" spans="1:7" ht="13">
      <c r="A168" s="4" t="s">
        <v>113</v>
      </c>
      <c r="B168" s="1">
        <v>7.8</v>
      </c>
      <c r="C168" s="1">
        <v>287</v>
      </c>
      <c r="D168" s="1" t="s">
        <v>65</v>
      </c>
      <c r="E168" s="1" t="s">
        <v>49</v>
      </c>
      <c r="F168" s="1">
        <f t="shared" si="6"/>
        <v>780</v>
      </c>
      <c r="G168" s="5">
        <f t="shared" si="5"/>
        <v>0.36794871794871797</v>
      </c>
    </row>
    <row r="169" spans="1:7" ht="13">
      <c r="A169" s="4" t="s">
        <v>113</v>
      </c>
      <c r="B169" s="1">
        <v>5</v>
      </c>
      <c r="C169" s="1">
        <v>205</v>
      </c>
      <c r="D169" s="1" t="s">
        <v>33</v>
      </c>
      <c r="E169" s="1" t="s">
        <v>32</v>
      </c>
      <c r="F169" s="1">
        <f t="shared" si="6"/>
        <v>500</v>
      </c>
      <c r="G169" s="5">
        <f t="shared" si="5"/>
        <v>0.41</v>
      </c>
    </row>
    <row r="170" spans="1:7" ht="13">
      <c r="A170" s="4" t="s">
        <v>113</v>
      </c>
      <c r="B170" s="1">
        <v>5.12</v>
      </c>
      <c r="C170" s="1">
        <v>234</v>
      </c>
      <c r="D170" s="1" t="s">
        <v>11</v>
      </c>
      <c r="E170" s="1" t="s">
        <v>9</v>
      </c>
      <c r="F170" s="1">
        <f t="shared" si="6"/>
        <v>512</v>
      </c>
      <c r="G170" s="5">
        <f t="shared" si="5"/>
        <v>0.45703125</v>
      </c>
    </row>
    <row r="171" spans="1:7" ht="13">
      <c r="A171" s="4" t="s">
        <v>113</v>
      </c>
      <c r="B171" s="1">
        <v>11.7</v>
      </c>
      <c r="C171" s="1">
        <v>354</v>
      </c>
      <c r="D171" s="1" t="s">
        <v>47</v>
      </c>
      <c r="E171" s="1" t="s">
        <v>14</v>
      </c>
      <c r="F171" s="1">
        <f t="shared" si="6"/>
        <v>1170</v>
      </c>
      <c r="G171" s="5">
        <f t="shared" si="5"/>
        <v>0.30256410256410254</v>
      </c>
    </row>
    <row r="172" spans="1:7" ht="13">
      <c r="A172" s="4" t="s">
        <v>113</v>
      </c>
      <c r="B172" s="1">
        <v>7.56</v>
      </c>
      <c r="C172" s="1">
        <v>235</v>
      </c>
      <c r="D172" s="1" t="s">
        <v>33</v>
      </c>
      <c r="E172" s="1" t="s">
        <v>31</v>
      </c>
      <c r="F172" s="1">
        <f t="shared" si="6"/>
        <v>756</v>
      </c>
      <c r="G172" s="5">
        <f t="shared" si="5"/>
        <v>0.31084656084656087</v>
      </c>
    </row>
    <row r="173" spans="1:7" ht="13">
      <c r="A173" s="4" t="s">
        <v>113</v>
      </c>
      <c r="B173" s="1">
        <v>6</v>
      </c>
      <c r="C173" s="1">
        <v>315</v>
      </c>
      <c r="D173" s="1" t="s">
        <v>47</v>
      </c>
      <c r="E173" s="1" t="s">
        <v>29</v>
      </c>
      <c r="F173" s="1">
        <f t="shared" si="6"/>
        <v>600</v>
      </c>
      <c r="G173" s="5">
        <f t="shared" si="5"/>
        <v>0.52500000000000002</v>
      </c>
    </row>
    <row r="174" spans="1:7" ht="13">
      <c r="A174" s="4" t="s">
        <v>113</v>
      </c>
      <c r="B174" s="1">
        <v>3.44</v>
      </c>
      <c r="C174" s="1">
        <v>172</v>
      </c>
      <c r="D174" s="1" t="s">
        <v>43</v>
      </c>
      <c r="E174" s="1" t="s">
        <v>8</v>
      </c>
      <c r="F174" s="1">
        <f t="shared" si="6"/>
        <v>344</v>
      </c>
      <c r="G174" s="5">
        <f t="shared" si="5"/>
        <v>0.5</v>
      </c>
    </row>
    <row r="175" spans="1:7" ht="13">
      <c r="A175" s="4" t="s">
        <v>113</v>
      </c>
      <c r="B175" s="1">
        <v>8.9700000000000006</v>
      </c>
      <c r="C175" s="1">
        <v>356</v>
      </c>
      <c r="D175" s="1" t="s">
        <v>11</v>
      </c>
      <c r="E175" s="1" t="s">
        <v>31</v>
      </c>
      <c r="F175" s="1">
        <f t="shared" si="6"/>
        <v>897.00000000000011</v>
      </c>
      <c r="G175" s="5">
        <f t="shared" si="5"/>
        <v>0.39687848383500551</v>
      </c>
    </row>
    <row r="176" spans="1:7" ht="13">
      <c r="A176" s="4" t="s">
        <v>113</v>
      </c>
      <c r="B176" s="1">
        <v>8.8000000000000007</v>
      </c>
      <c r="C176" s="1">
        <v>352</v>
      </c>
      <c r="D176" s="1" t="s">
        <v>47</v>
      </c>
      <c r="E176" s="1" t="s">
        <v>30</v>
      </c>
      <c r="F176" s="1">
        <f t="shared" si="6"/>
        <v>880.00000000000011</v>
      </c>
      <c r="G176" s="5">
        <f t="shared" si="5"/>
        <v>0.39999999999999997</v>
      </c>
    </row>
    <row r="177" spans="1:7" ht="13">
      <c r="A177" s="4" t="s">
        <v>113</v>
      </c>
      <c r="B177" s="1">
        <v>6</v>
      </c>
      <c r="C177" s="1">
        <v>284</v>
      </c>
      <c r="D177" s="1" t="s">
        <v>11</v>
      </c>
      <c r="E177" s="1" t="s">
        <v>22</v>
      </c>
      <c r="F177" s="1">
        <f t="shared" si="6"/>
        <v>600</v>
      </c>
      <c r="G177" s="5">
        <f t="shared" si="5"/>
        <v>0.47333333333333333</v>
      </c>
    </row>
    <row r="178" spans="1:7" ht="13">
      <c r="A178" s="4" t="s">
        <v>113</v>
      </c>
      <c r="B178" s="1">
        <v>6.5</v>
      </c>
      <c r="C178" s="1">
        <v>249</v>
      </c>
      <c r="D178" s="1" t="s">
        <v>47</v>
      </c>
      <c r="E178" s="1" t="s">
        <v>17</v>
      </c>
      <c r="F178" s="1">
        <f t="shared" si="6"/>
        <v>650</v>
      </c>
      <c r="G178" s="5">
        <f t="shared" si="5"/>
        <v>0.38307692307692309</v>
      </c>
    </row>
    <row r="179" spans="1:7" ht="13">
      <c r="A179" s="4" t="s">
        <v>113</v>
      </c>
      <c r="B179" s="1">
        <v>7.74</v>
      </c>
      <c r="C179" s="1">
        <v>313</v>
      </c>
      <c r="D179" s="1" t="s">
        <v>11</v>
      </c>
      <c r="E179" s="1" t="s">
        <v>22</v>
      </c>
      <c r="F179" s="1">
        <f t="shared" si="6"/>
        <v>774</v>
      </c>
      <c r="G179" s="5">
        <f t="shared" si="5"/>
        <v>0.40439276485788112</v>
      </c>
    </row>
    <row r="180" spans="1:7" ht="13">
      <c r="A180" s="4" t="s">
        <v>113</v>
      </c>
      <c r="B180" s="1">
        <v>8.69</v>
      </c>
      <c r="C180" s="1">
        <v>423</v>
      </c>
      <c r="D180" s="1" t="s">
        <v>11</v>
      </c>
      <c r="E180" s="1" t="s">
        <v>26</v>
      </c>
      <c r="F180" s="1">
        <f t="shared" si="6"/>
        <v>869</v>
      </c>
      <c r="G180" s="5">
        <f t="shared" si="5"/>
        <v>0.48676639815880324</v>
      </c>
    </row>
    <row r="181" spans="1:7" ht="13">
      <c r="A181" s="4" t="s">
        <v>113</v>
      </c>
      <c r="B181" s="1">
        <v>4.4800000000000004</v>
      </c>
      <c r="C181" s="1">
        <v>117</v>
      </c>
      <c r="D181" s="1" t="s">
        <v>35</v>
      </c>
      <c r="E181" s="1" t="s">
        <v>28</v>
      </c>
      <c r="F181" s="1">
        <f t="shared" si="6"/>
        <v>448.00000000000006</v>
      </c>
      <c r="G181" s="5">
        <f t="shared" si="5"/>
        <v>0.26116071428571425</v>
      </c>
    </row>
    <row r="182" spans="1:7" ht="13">
      <c r="A182" s="4" t="s">
        <v>113</v>
      </c>
      <c r="B182" s="1">
        <v>7.2249999999999996</v>
      </c>
      <c r="C182" s="1">
        <v>265</v>
      </c>
      <c r="D182" s="1" t="s">
        <v>11</v>
      </c>
      <c r="E182" s="1" t="s">
        <v>18</v>
      </c>
      <c r="F182" s="1">
        <f t="shared" si="6"/>
        <v>722.5</v>
      </c>
      <c r="G182" s="5">
        <f t="shared" si="5"/>
        <v>0.36678200692041524</v>
      </c>
    </row>
    <row r="183" spans="1:7" ht="13">
      <c r="A183" s="4" t="s">
        <v>113</v>
      </c>
      <c r="B183" s="1">
        <v>11</v>
      </c>
      <c r="C183" s="1">
        <v>375</v>
      </c>
      <c r="D183" s="1" t="s">
        <v>11</v>
      </c>
      <c r="E183" s="1" t="s">
        <v>10</v>
      </c>
      <c r="F183" s="1">
        <f t="shared" si="6"/>
        <v>1100</v>
      </c>
      <c r="G183" s="5">
        <f t="shared" si="5"/>
        <v>0.34090909090909088</v>
      </c>
    </row>
    <row r="184" spans="1:7" ht="13">
      <c r="A184" s="4" t="s">
        <v>113</v>
      </c>
      <c r="B184" s="1">
        <v>6.56</v>
      </c>
      <c r="C184" s="1">
        <v>214</v>
      </c>
      <c r="D184" s="1" t="s">
        <v>11</v>
      </c>
      <c r="E184" s="1" t="s">
        <v>18</v>
      </c>
      <c r="F184" s="1">
        <f t="shared" si="6"/>
        <v>656</v>
      </c>
      <c r="G184" s="5">
        <f t="shared" si="5"/>
        <v>0.32621951219512196</v>
      </c>
    </row>
    <row r="185" spans="1:7" ht="13">
      <c r="A185" s="4" t="s">
        <v>113</v>
      </c>
      <c r="B185" s="1">
        <v>7.74</v>
      </c>
      <c r="C185" s="1">
        <v>277</v>
      </c>
      <c r="D185" s="1" t="s">
        <v>11</v>
      </c>
      <c r="E185" s="1" t="s">
        <v>25</v>
      </c>
      <c r="F185" s="1">
        <f t="shared" si="6"/>
        <v>774</v>
      </c>
      <c r="G185" s="5">
        <f t="shared" si="5"/>
        <v>0.3578811369509044</v>
      </c>
    </row>
    <row r="186" spans="1:7" ht="13">
      <c r="A186" s="4" t="s">
        <v>113</v>
      </c>
      <c r="B186" s="1">
        <v>6</v>
      </c>
      <c r="C186" s="1">
        <v>200</v>
      </c>
      <c r="D186" s="1" t="s">
        <v>66</v>
      </c>
      <c r="E186" s="1" t="s">
        <v>49</v>
      </c>
      <c r="F186" s="1">
        <f t="shared" si="6"/>
        <v>600</v>
      </c>
      <c r="G186" s="5">
        <f t="shared" si="5"/>
        <v>0.33333333333333331</v>
      </c>
    </row>
    <row r="187" spans="1:7" ht="13">
      <c r="A187" s="4" t="s">
        <v>113</v>
      </c>
      <c r="B187" s="1">
        <v>6.4</v>
      </c>
      <c r="C187" s="1">
        <v>317</v>
      </c>
      <c r="D187" s="1" t="s">
        <v>11</v>
      </c>
      <c r="E187" s="1" t="s">
        <v>17</v>
      </c>
      <c r="F187" s="1">
        <f t="shared" si="6"/>
        <v>640</v>
      </c>
      <c r="G187" s="5">
        <f t="shared" si="5"/>
        <v>0.49531249999999999</v>
      </c>
    </row>
    <row r="188" spans="1:7" ht="13">
      <c r="A188" s="4" t="s">
        <v>113</v>
      </c>
      <c r="B188" s="1">
        <v>6.2</v>
      </c>
      <c r="C188" s="1">
        <v>189</v>
      </c>
      <c r="D188" s="1" t="s">
        <v>33</v>
      </c>
      <c r="E188" s="1" t="s">
        <v>15</v>
      </c>
      <c r="F188" s="1">
        <f t="shared" si="6"/>
        <v>620</v>
      </c>
      <c r="G188" s="5">
        <f t="shared" si="5"/>
        <v>0.30483870967741933</v>
      </c>
    </row>
    <row r="189" spans="1:7" ht="13">
      <c r="A189" s="4" t="s">
        <v>113</v>
      </c>
      <c r="B189" s="1">
        <v>4.3</v>
      </c>
      <c r="C189" s="1">
        <v>229</v>
      </c>
      <c r="D189" s="1" t="s">
        <v>11</v>
      </c>
      <c r="E189" s="1" t="s">
        <v>8</v>
      </c>
      <c r="F189" s="1">
        <f t="shared" si="6"/>
        <v>430</v>
      </c>
      <c r="G189" s="5">
        <f t="shared" si="5"/>
        <v>0.53255813953488373</v>
      </c>
    </row>
    <row r="190" spans="1:7" ht="13">
      <c r="A190" s="4" t="s">
        <v>113</v>
      </c>
      <c r="B190" s="1">
        <v>5.0999999999999996</v>
      </c>
      <c r="C190" s="1">
        <v>194</v>
      </c>
      <c r="D190" s="1" t="s">
        <v>39</v>
      </c>
      <c r="E190" s="1" t="s">
        <v>15</v>
      </c>
      <c r="F190" s="1">
        <f t="shared" si="6"/>
        <v>509.99999999999994</v>
      </c>
      <c r="G190" s="5">
        <f t="shared" si="5"/>
        <v>0.38039215686274513</v>
      </c>
    </row>
    <row r="191" spans="1:7" ht="13">
      <c r="A191" s="4" t="s">
        <v>113</v>
      </c>
      <c r="B191" s="1">
        <v>5</v>
      </c>
      <c r="C191" s="1">
        <v>219</v>
      </c>
      <c r="D191" s="1" t="s">
        <v>47</v>
      </c>
      <c r="E191" s="1" t="s">
        <v>26</v>
      </c>
      <c r="F191" s="1">
        <f t="shared" si="6"/>
        <v>500</v>
      </c>
      <c r="G191" s="5">
        <f t="shared" si="5"/>
        <v>0.438</v>
      </c>
    </row>
    <row r="192" spans="1:7" ht="13">
      <c r="A192" s="4" t="s">
        <v>113</v>
      </c>
      <c r="B192" s="1">
        <v>6.3</v>
      </c>
      <c r="C192" s="1">
        <v>248</v>
      </c>
      <c r="D192" s="1" t="s">
        <v>43</v>
      </c>
      <c r="E192" s="1" t="s">
        <v>29</v>
      </c>
      <c r="F192" s="1">
        <f t="shared" si="6"/>
        <v>630</v>
      </c>
      <c r="G192" s="5">
        <f t="shared" si="5"/>
        <v>0.39365079365079364</v>
      </c>
    </row>
    <row r="193" spans="1:7" ht="13">
      <c r="A193" s="4" t="s">
        <v>113</v>
      </c>
      <c r="B193" s="1">
        <v>5.88</v>
      </c>
      <c r="C193" s="1">
        <v>224</v>
      </c>
      <c r="D193" s="1" t="s">
        <v>11</v>
      </c>
      <c r="E193" s="1" t="s">
        <v>15</v>
      </c>
      <c r="F193" s="1">
        <f t="shared" si="6"/>
        <v>588</v>
      </c>
      <c r="G193" s="5">
        <f t="shared" si="5"/>
        <v>0.38095238095238093</v>
      </c>
    </row>
    <row r="194" spans="1:7" ht="13">
      <c r="A194" s="4" t="s">
        <v>113</v>
      </c>
      <c r="B194" s="1">
        <v>6.7</v>
      </c>
      <c r="C194" s="1">
        <v>295</v>
      </c>
      <c r="D194" s="1" t="s">
        <v>35</v>
      </c>
      <c r="E194" s="1" t="s">
        <v>10</v>
      </c>
      <c r="F194" s="1">
        <f t="shared" si="6"/>
        <v>670</v>
      </c>
      <c r="G194" s="5">
        <f t="shared" ref="G194:G257" si="7">C194/F194</f>
        <v>0.44029850746268656</v>
      </c>
    </row>
    <row r="195" spans="1:7" ht="13">
      <c r="A195" s="4" t="s">
        <v>113</v>
      </c>
      <c r="B195" s="1">
        <v>7.1</v>
      </c>
      <c r="C195" s="1">
        <v>331</v>
      </c>
      <c r="D195" s="1" t="s">
        <v>11</v>
      </c>
      <c r="E195" s="1" t="s">
        <v>10</v>
      </c>
      <c r="F195" s="1">
        <f t="shared" si="6"/>
        <v>710</v>
      </c>
      <c r="G195" s="5">
        <f t="shared" si="7"/>
        <v>0.46619718309859154</v>
      </c>
    </row>
    <row r="196" spans="1:7" ht="13">
      <c r="A196" s="4" t="s">
        <v>113</v>
      </c>
      <c r="B196" s="1">
        <v>6</v>
      </c>
      <c r="C196" s="1">
        <v>148</v>
      </c>
      <c r="D196" s="1" t="s">
        <v>33</v>
      </c>
      <c r="E196" s="1" t="s">
        <v>23</v>
      </c>
      <c r="F196" s="1">
        <f t="shared" si="6"/>
        <v>600</v>
      </c>
      <c r="G196" s="5">
        <f t="shared" si="7"/>
        <v>0.24666666666666667</v>
      </c>
    </row>
    <row r="197" spans="1:7" ht="13">
      <c r="A197" s="4" t="s">
        <v>113</v>
      </c>
      <c r="B197" s="1">
        <v>6.9</v>
      </c>
      <c r="C197" s="1">
        <v>238</v>
      </c>
      <c r="D197" s="1" t="s">
        <v>11</v>
      </c>
      <c r="E197" s="1" t="s">
        <v>7</v>
      </c>
      <c r="F197" s="1">
        <f t="shared" si="6"/>
        <v>690</v>
      </c>
      <c r="G197" s="5">
        <f t="shared" si="7"/>
        <v>0.34492753623188405</v>
      </c>
    </row>
    <row r="198" spans="1:7" ht="13">
      <c r="A198" s="4" t="s">
        <v>113</v>
      </c>
      <c r="B198" s="1">
        <v>6</v>
      </c>
      <c r="C198" s="1">
        <v>203</v>
      </c>
      <c r="D198" s="1" t="s">
        <v>40</v>
      </c>
      <c r="E198" s="1" t="s">
        <v>8</v>
      </c>
      <c r="F198" s="1">
        <f t="shared" si="6"/>
        <v>600</v>
      </c>
      <c r="G198" s="5">
        <f t="shared" si="7"/>
        <v>0.33833333333333332</v>
      </c>
    </row>
    <row r="199" spans="1:7" ht="13">
      <c r="A199" s="4" t="s">
        <v>113</v>
      </c>
      <c r="B199" s="1">
        <v>7.74</v>
      </c>
      <c r="C199" s="1">
        <v>238</v>
      </c>
      <c r="D199" s="1" t="s">
        <v>33</v>
      </c>
      <c r="E199" s="1" t="s">
        <v>16</v>
      </c>
      <c r="F199" s="1">
        <f t="shared" si="6"/>
        <v>774</v>
      </c>
      <c r="G199" s="5">
        <f t="shared" si="7"/>
        <v>0.30749354005167956</v>
      </c>
    </row>
    <row r="200" spans="1:7" ht="13">
      <c r="A200" s="4" t="s">
        <v>113</v>
      </c>
      <c r="B200" s="1">
        <v>7.3</v>
      </c>
      <c r="C200" s="1">
        <v>260</v>
      </c>
      <c r="D200" s="1" t="s">
        <v>33</v>
      </c>
      <c r="E200" s="1" t="s">
        <v>23</v>
      </c>
      <c r="F200" s="1">
        <f t="shared" si="6"/>
        <v>730</v>
      </c>
      <c r="G200" s="5">
        <f t="shared" si="7"/>
        <v>0.35616438356164382</v>
      </c>
    </row>
    <row r="201" spans="1:7" ht="13">
      <c r="A201" s="4" t="s">
        <v>113</v>
      </c>
      <c r="B201" s="1">
        <v>5.6</v>
      </c>
      <c r="C201" s="1">
        <v>116</v>
      </c>
      <c r="D201" s="1" t="s">
        <v>40</v>
      </c>
      <c r="E201" s="1" t="s">
        <v>7</v>
      </c>
      <c r="F201" s="1">
        <f t="shared" si="6"/>
        <v>560</v>
      </c>
      <c r="G201" s="5">
        <f t="shared" si="7"/>
        <v>0.20714285714285716</v>
      </c>
    </row>
    <row r="202" spans="1:7" ht="13">
      <c r="A202" s="4" t="s">
        <v>113</v>
      </c>
      <c r="B202" s="1">
        <v>7.56</v>
      </c>
      <c r="C202" s="1">
        <v>284</v>
      </c>
      <c r="D202" s="1" t="s">
        <v>11</v>
      </c>
      <c r="E202" s="1" t="s">
        <v>25</v>
      </c>
      <c r="F202" s="1">
        <f t="shared" si="6"/>
        <v>756</v>
      </c>
      <c r="G202" s="5">
        <f t="shared" si="7"/>
        <v>0.37566137566137564</v>
      </c>
    </row>
    <row r="203" spans="1:7" ht="13">
      <c r="A203" s="4" t="s">
        <v>113</v>
      </c>
      <c r="B203" s="1">
        <v>7</v>
      </c>
      <c r="C203" s="1">
        <v>225</v>
      </c>
      <c r="D203" s="1" t="s">
        <v>33</v>
      </c>
      <c r="E203" s="1" t="s">
        <v>20</v>
      </c>
      <c r="F203" s="1">
        <f t="shared" si="6"/>
        <v>700</v>
      </c>
      <c r="G203" s="5">
        <f t="shared" si="7"/>
        <v>0.32142857142857145</v>
      </c>
    </row>
    <row r="204" spans="1:7" ht="13">
      <c r="A204" s="4" t="s">
        <v>113</v>
      </c>
      <c r="B204" s="1">
        <v>9.3000000000000007</v>
      </c>
      <c r="C204" s="1">
        <v>456</v>
      </c>
      <c r="D204" s="1" t="s">
        <v>11</v>
      </c>
      <c r="E204" s="1" t="s">
        <v>20</v>
      </c>
      <c r="F204" s="1">
        <f t="shared" si="6"/>
        <v>930.00000000000011</v>
      </c>
      <c r="G204" s="5">
        <f t="shared" si="7"/>
        <v>0.49032258064516121</v>
      </c>
    </row>
    <row r="205" spans="1:7" ht="13">
      <c r="A205" s="4" t="s">
        <v>113</v>
      </c>
      <c r="B205" s="1">
        <v>6.7</v>
      </c>
      <c r="C205" s="1">
        <v>190</v>
      </c>
      <c r="D205" s="1" t="s">
        <v>33</v>
      </c>
      <c r="E205" s="1" t="s">
        <v>21</v>
      </c>
      <c r="F205" s="1">
        <f t="shared" si="6"/>
        <v>670</v>
      </c>
      <c r="G205" s="5">
        <f t="shared" si="7"/>
        <v>0.28358208955223879</v>
      </c>
    </row>
    <row r="206" spans="1:7" ht="13">
      <c r="A206" s="4" t="s">
        <v>113</v>
      </c>
      <c r="B206" s="1">
        <v>5</v>
      </c>
      <c r="C206" s="1">
        <v>263</v>
      </c>
      <c r="D206" s="1" t="s">
        <v>39</v>
      </c>
      <c r="E206" s="1" t="s">
        <v>30</v>
      </c>
      <c r="F206" s="1">
        <f t="shared" si="6"/>
        <v>500</v>
      </c>
      <c r="G206" s="5">
        <f t="shared" si="7"/>
        <v>0.52600000000000002</v>
      </c>
    </row>
    <row r="207" spans="1:7" ht="13">
      <c r="A207" s="4" t="s">
        <v>113</v>
      </c>
      <c r="B207" s="1">
        <v>6.96</v>
      </c>
      <c r="C207" s="1">
        <v>317</v>
      </c>
      <c r="D207" s="1" t="s">
        <v>11</v>
      </c>
      <c r="E207" s="1" t="s">
        <v>14</v>
      </c>
      <c r="F207" s="1">
        <f t="shared" si="6"/>
        <v>696</v>
      </c>
      <c r="G207" s="5">
        <f t="shared" si="7"/>
        <v>0.45545977011494254</v>
      </c>
    </row>
    <row r="208" spans="1:7" ht="13">
      <c r="A208" s="4" t="s">
        <v>113</v>
      </c>
      <c r="B208" s="1">
        <v>7.8</v>
      </c>
      <c r="C208" s="1">
        <v>313</v>
      </c>
      <c r="D208" s="1" t="s">
        <v>11</v>
      </c>
      <c r="E208" s="1" t="s">
        <v>21</v>
      </c>
      <c r="F208" s="1">
        <f t="shared" si="6"/>
        <v>780</v>
      </c>
      <c r="G208" s="5">
        <f t="shared" si="7"/>
        <v>0.4012820512820513</v>
      </c>
    </row>
    <row r="209" spans="1:7" ht="13">
      <c r="A209" s="4" t="s">
        <v>113</v>
      </c>
      <c r="B209" s="1">
        <v>8.6</v>
      </c>
      <c r="C209" s="1">
        <v>411</v>
      </c>
      <c r="D209" s="1" t="s">
        <v>11</v>
      </c>
      <c r="E209" s="1" t="s">
        <v>19</v>
      </c>
      <c r="F209" s="1">
        <f t="shared" si="6"/>
        <v>860</v>
      </c>
      <c r="G209" s="5">
        <f t="shared" si="7"/>
        <v>0.47790697674418603</v>
      </c>
    </row>
    <row r="210" spans="1:7" ht="13">
      <c r="A210" s="4" t="s">
        <v>113</v>
      </c>
      <c r="B210" s="1">
        <v>4.92</v>
      </c>
      <c r="C210" s="1">
        <v>223</v>
      </c>
      <c r="D210" s="1" t="s">
        <v>11</v>
      </c>
      <c r="E210" s="1" t="s">
        <v>17</v>
      </c>
      <c r="F210" s="1">
        <f t="shared" si="6"/>
        <v>492</v>
      </c>
      <c r="G210" s="5">
        <f t="shared" si="7"/>
        <v>0.4532520325203252</v>
      </c>
    </row>
    <row r="211" spans="1:7" ht="13">
      <c r="A211" s="4" t="s">
        <v>113</v>
      </c>
      <c r="B211" s="1">
        <v>2.5</v>
      </c>
      <c r="C211" s="1">
        <v>105</v>
      </c>
      <c r="D211" s="1" t="s">
        <v>11</v>
      </c>
      <c r="E211" s="1" t="s">
        <v>24</v>
      </c>
      <c r="F211" s="1">
        <f t="shared" si="6"/>
        <v>250</v>
      </c>
      <c r="G211" s="5">
        <f t="shared" si="7"/>
        <v>0.42</v>
      </c>
    </row>
    <row r="212" spans="1:7" ht="13">
      <c r="A212" s="4" t="s">
        <v>113</v>
      </c>
      <c r="B212" s="1">
        <v>4.2</v>
      </c>
      <c r="C212" s="1">
        <v>214</v>
      </c>
      <c r="D212" s="1" t="s">
        <v>11</v>
      </c>
      <c r="E212" s="1" t="s">
        <v>15</v>
      </c>
      <c r="F212" s="1">
        <f t="shared" si="6"/>
        <v>420</v>
      </c>
      <c r="G212" s="5">
        <f t="shared" si="7"/>
        <v>0.50952380952380949</v>
      </c>
    </row>
    <row r="213" spans="1:7" ht="13">
      <c r="A213" s="4" t="s">
        <v>113</v>
      </c>
      <c r="B213" s="1">
        <v>5.46</v>
      </c>
      <c r="C213" s="1">
        <v>166.3</v>
      </c>
      <c r="D213" s="1" t="s">
        <v>33</v>
      </c>
      <c r="E213" s="1" t="s">
        <v>14</v>
      </c>
      <c r="F213" s="1">
        <f t="shared" si="6"/>
        <v>546</v>
      </c>
      <c r="G213" s="5">
        <f t="shared" si="7"/>
        <v>0.30457875457875461</v>
      </c>
    </row>
    <row r="214" spans="1:7" ht="13">
      <c r="A214" s="4" t="s">
        <v>113</v>
      </c>
      <c r="B214" s="1">
        <v>6.72</v>
      </c>
      <c r="C214" s="1">
        <v>197</v>
      </c>
      <c r="D214" s="1" t="s">
        <v>33</v>
      </c>
      <c r="E214" s="1" t="s">
        <v>27</v>
      </c>
      <c r="F214" s="1">
        <f t="shared" si="6"/>
        <v>672</v>
      </c>
      <c r="G214" s="5">
        <f t="shared" si="7"/>
        <v>0.29315476190476192</v>
      </c>
    </row>
    <row r="215" spans="1:7" ht="13">
      <c r="A215" s="4" t="s">
        <v>113</v>
      </c>
      <c r="B215" s="1">
        <v>4.5</v>
      </c>
      <c r="C215" s="1">
        <v>130</v>
      </c>
      <c r="D215" s="1" t="s">
        <v>37</v>
      </c>
      <c r="E215" s="1" t="s">
        <v>15</v>
      </c>
      <c r="F215" s="1">
        <f t="shared" si="6"/>
        <v>450</v>
      </c>
      <c r="G215" s="5">
        <f t="shared" si="7"/>
        <v>0.28888888888888886</v>
      </c>
    </row>
    <row r="216" spans="1:7" ht="13">
      <c r="A216" s="4" t="s">
        <v>113</v>
      </c>
      <c r="B216" s="1">
        <v>6.4</v>
      </c>
      <c r="C216" s="1">
        <v>321</v>
      </c>
      <c r="D216" s="1" t="s">
        <v>11</v>
      </c>
      <c r="E216" s="1" t="s">
        <v>16</v>
      </c>
      <c r="F216" s="1">
        <f t="shared" si="6"/>
        <v>640</v>
      </c>
      <c r="G216" s="5">
        <f t="shared" si="7"/>
        <v>0.50156250000000002</v>
      </c>
    </row>
    <row r="217" spans="1:7" ht="13">
      <c r="A217" s="4" t="s">
        <v>113</v>
      </c>
      <c r="B217" s="1">
        <v>5.81</v>
      </c>
      <c r="C217" s="1">
        <v>300</v>
      </c>
      <c r="D217" s="1" t="s">
        <v>38</v>
      </c>
      <c r="E217" s="1" t="s">
        <v>8</v>
      </c>
      <c r="F217" s="1">
        <f t="shared" si="6"/>
        <v>581</v>
      </c>
      <c r="G217" s="5">
        <f t="shared" si="7"/>
        <v>0.51635111876075734</v>
      </c>
    </row>
    <row r="218" spans="1:7" ht="13">
      <c r="A218" s="4" t="s">
        <v>113</v>
      </c>
      <c r="B218" s="1">
        <v>6</v>
      </c>
      <c r="C218" s="1">
        <v>283</v>
      </c>
      <c r="D218" s="1" t="s">
        <v>11</v>
      </c>
      <c r="E218" s="1" t="s">
        <v>29</v>
      </c>
      <c r="F218" s="1">
        <f t="shared" si="6"/>
        <v>600</v>
      </c>
      <c r="G218" s="5">
        <f t="shared" si="7"/>
        <v>0.47166666666666668</v>
      </c>
    </row>
    <row r="219" spans="1:7" ht="13">
      <c r="A219" s="4" t="s">
        <v>113</v>
      </c>
      <c r="B219" s="1">
        <v>5.0999999999999996</v>
      </c>
      <c r="C219" s="1">
        <v>122</v>
      </c>
      <c r="D219" s="1" t="s">
        <v>33</v>
      </c>
      <c r="E219" s="1" t="s">
        <v>15</v>
      </c>
      <c r="F219" s="1">
        <f t="shared" si="6"/>
        <v>509.99999999999994</v>
      </c>
      <c r="G219" s="5">
        <f t="shared" si="7"/>
        <v>0.23921568627450984</v>
      </c>
    </row>
    <row r="220" spans="1:7" ht="13">
      <c r="A220" s="4" t="s">
        <v>113</v>
      </c>
      <c r="B220" s="1">
        <v>5.0999999999999996</v>
      </c>
      <c r="C220" s="1">
        <v>122</v>
      </c>
      <c r="D220" s="1" t="s">
        <v>33</v>
      </c>
      <c r="E220" s="1" t="s">
        <v>15</v>
      </c>
      <c r="F220" s="1">
        <f t="shared" si="6"/>
        <v>509.99999999999994</v>
      </c>
      <c r="G220" s="5">
        <f t="shared" si="7"/>
        <v>0.23921568627450984</v>
      </c>
    </row>
    <row r="221" spans="1:7" ht="13">
      <c r="A221" s="4" t="s">
        <v>113</v>
      </c>
      <c r="B221" s="1">
        <v>8.4</v>
      </c>
      <c r="C221" s="1">
        <v>272</v>
      </c>
      <c r="D221" s="1" t="s">
        <v>33</v>
      </c>
      <c r="E221" s="1" t="s">
        <v>10</v>
      </c>
      <c r="F221" s="1">
        <f t="shared" si="6"/>
        <v>840</v>
      </c>
      <c r="G221" s="5">
        <f t="shared" si="7"/>
        <v>0.32380952380952382</v>
      </c>
    </row>
    <row r="222" spans="1:7" ht="13">
      <c r="A222" s="4" t="s">
        <v>113</v>
      </c>
      <c r="B222" s="1">
        <v>5.6</v>
      </c>
      <c r="C222" s="1">
        <v>195</v>
      </c>
      <c r="D222" s="1" t="s">
        <v>11</v>
      </c>
      <c r="E222" s="1" t="s">
        <v>21</v>
      </c>
      <c r="F222" s="1">
        <f t="shared" si="6"/>
        <v>560</v>
      </c>
      <c r="G222" s="5">
        <f t="shared" si="7"/>
        <v>0.3482142857142857</v>
      </c>
    </row>
    <row r="223" spans="1:7" ht="13">
      <c r="A223" s="4" t="s">
        <v>113</v>
      </c>
      <c r="B223" s="1">
        <v>4.2</v>
      </c>
      <c r="C223" s="1">
        <v>155</v>
      </c>
      <c r="D223" s="1" t="s">
        <v>44</v>
      </c>
      <c r="E223" s="1" t="s">
        <v>15</v>
      </c>
      <c r="F223" s="1">
        <f t="shared" si="6"/>
        <v>420</v>
      </c>
      <c r="G223" s="5">
        <f t="shared" si="7"/>
        <v>0.36904761904761907</v>
      </c>
    </row>
    <row r="224" spans="1:7" ht="13">
      <c r="A224" s="4" t="s">
        <v>113</v>
      </c>
      <c r="B224" s="1">
        <v>6.8</v>
      </c>
      <c r="C224" s="1">
        <v>222</v>
      </c>
      <c r="D224" s="1" t="s">
        <v>11</v>
      </c>
      <c r="E224" s="1" t="s">
        <v>46</v>
      </c>
      <c r="F224" s="1">
        <f t="shared" ref="F224:F287" si="8">B224*100</f>
        <v>680</v>
      </c>
      <c r="G224" s="5">
        <f t="shared" si="7"/>
        <v>0.32647058823529412</v>
      </c>
    </row>
    <row r="225" spans="1:7" ht="13">
      <c r="A225" s="4" t="s">
        <v>113</v>
      </c>
      <c r="B225" s="1">
        <v>6.1</v>
      </c>
      <c r="C225" s="1">
        <v>237</v>
      </c>
      <c r="D225" s="1" t="s">
        <v>42</v>
      </c>
      <c r="E225" s="1" t="s">
        <v>17</v>
      </c>
      <c r="F225" s="1">
        <f t="shared" si="8"/>
        <v>610</v>
      </c>
      <c r="G225" s="5">
        <f t="shared" si="7"/>
        <v>0.38852459016393442</v>
      </c>
    </row>
    <row r="226" spans="1:7" ht="13">
      <c r="A226" s="4" t="s">
        <v>113</v>
      </c>
      <c r="B226" s="1">
        <v>6.7</v>
      </c>
      <c r="C226" s="1">
        <v>234</v>
      </c>
      <c r="D226" s="1" t="s">
        <v>53</v>
      </c>
      <c r="E226" s="1" t="s">
        <v>8</v>
      </c>
      <c r="F226" s="1">
        <f t="shared" si="8"/>
        <v>670</v>
      </c>
      <c r="G226" s="5">
        <f t="shared" si="7"/>
        <v>0.34925373134328358</v>
      </c>
    </row>
    <row r="227" spans="1:7" ht="13">
      <c r="A227" s="4" t="s">
        <v>113</v>
      </c>
      <c r="B227" s="1">
        <v>5.81</v>
      </c>
      <c r="C227" s="1">
        <v>279</v>
      </c>
      <c r="D227" s="1" t="s">
        <v>38</v>
      </c>
      <c r="E227" s="1" t="s">
        <v>8</v>
      </c>
      <c r="F227" s="1">
        <f t="shared" si="8"/>
        <v>581</v>
      </c>
      <c r="G227" s="5">
        <f t="shared" si="7"/>
        <v>0.48020654044750433</v>
      </c>
    </row>
    <row r="228" spans="1:7" ht="13">
      <c r="A228" s="4" t="s">
        <v>113</v>
      </c>
      <c r="B228" s="1">
        <v>10.199999999999999</v>
      </c>
      <c r="C228" s="1">
        <v>329</v>
      </c>
      <c r="D228" s="1" t="s">
        <v>11</v>
      </c>
      <c r="E228" s="1" t="s">
        <v>7</v>
      </c>
      <c r="F228" s="1">
        <f t="shared" si="8"/>
        <v>1019.9999999999999</v>
      </c>
      <c r="G228" s="5">
        <f t="shared" si="7"/>
        <v>0.32254901960784316</v>
      </c>
    </row>
    <row r="229" spans="1:7" ht="13">
      <c r="A229" s="4" t="s">
        <v>113</v>
      </c>
      <c r="B229" s="1">
        <v>6.04</v>
      </c>
      <c r="C229" s="1">
        <v>291</v>
      </c>
      <c r="D229" s="1" t="s">
        <v>42</v>
      </c>
      <c r="E229" s="1" t="s">
        <v>8</v>
      </c>
      <c r="F229" s="1">
        <f t="shared" si="8"/>
        <v>604</v>
      </c>
      <c r="G229" s="5">
        <f t="shared" si="7"/>
        <v>0.48178807947019869</v>
      </c>
    </row>
    <row r="230" spans="1:7" ht="13">
      <c r="A230" s="4" t="s">
        <v>113</v>
      </c>
      <c r="B230" s="1">
        <v>5.6</v>
      </c>
      <c r="C230" s="1">
        <v>215</v>
      </c>
      <c r="D230" s="1" t="s">
        <v>54</v>
      </c>
      <c r="E230" s="1" t="s">
        <v>22</v>
      </c>
      <c r="F230" s="1">
        <f t="shared" si="8"/>
        <v>560</v>
      </c>
      <c r="G230" s="5">
        <f t="shared" si="7"/>
        <v>0.38392857142857145</v>
      </c>
    </row>
    <row r="231" spans="1:7" ht="13">
      <c r="A231" s="4" t="s">
        <v>113</v>
      </c>
      <c r="B231" s="1">
        <v>6</v>
      </c>
      <c r="C231" s="1">
        <v>265</v>
      </c>
      <c r="D231" s="1" t="s">
        <v>42</v>
      </c>
      <c r="E231" s="1" t="s">
        <v>26</v>
      </c>
      <c r="F231" s="1">
        <f t="shared" si="8"/>
        <v>600</v>
      </c>
      <c r="G231" s="5">
        <f t="shared" si="7"/>
        <v>0.44166666666666665</v>
      </c>
    </row>
    <row r="232" spans="1:7" ht="13">
      <c r="A232" s="4" t="s">
        <v>113</v>
      </c>
      <c r="B232" s="1">
        <v>6</v>
      </c>
      <c r="C232" s="1">
        <v>193</v>
      </c>
      <c r="D232" s="1" t="s">
        <v>11</v>
      </c>
      <c r="E232" s="1" t="s">
        <v>8</v>
      </c>
      <c r="F232" s="1">
        <f t="shared" si="8"/>
        <v>600</v>
      </c>
      <c r="G232" s="5">
        <f t="shared" si="7"/>
        <v>0.32166666666666666</v>
      </c>
    </row>
    <row r="233" spans="1:7" ht="13">
      <c r="A233" s="4" t="s">
        <v>113</v>
      </c>
      <c r="B233" s="1">
        <v>6.9</v>
      </c>
      <c r="C233" s="1">
        <v>301</v>
      </c>
      <c r="D233" s="1" t="s">
        <v>39</v>
      </c>
      <c r="E233" s="1" t="s">
        <v>8</v>
      </c>
      <c r="F233" s="1">
        <f t="shared" si="8"/>
        <v>690</v>
      </c>
      <c r="G233" s="5">
        <f t="shared" si="7"/>
        <v>0.43623188405797103</v>
      </c>
    </row>
    <row r="234" spans="1:7" ht="13">
      <c r="A234" s="4" t="s">
        <v>113</v>
      </c>
      <c r="B234" s="1">
        <v>6.96</v>
      </c>
      <c r="C234" s="1">
        <v>371</v>
      </c>
      <c r="D234" s="1" t="s">
        <v>11</v>
      </c>
      <c r="E234" s="1" t="s">
        <v>8</v>
      </c>
      <c r="F234" s="1">
        <f t="shared" si="8"/>
        <v>696</v>
      </c>
      <c r="G234" s="5">
        <f t="shared" si="7"/>
        <v>0.53304597701149425</v>
      </c>
    </row>
    <row r="235" spans="1:7" ht="13">
      <c r="A235" s="4" t="s">
        <v>113</v>
      </c>
      <c r="B235" s="1">
        <v>9.4600000000000009</v>
      </c>
      <c r="C235" s="1">
        <v>345</v>
      </c>
      <c r="D235" s="1" t="s">
        <v>52</v>
      </c>
      <c r="E235" s="1" t="s">
        <v>18</v>
      </c>
      <c r="F235" s="1">
        <f t="shared" si="8"/>
        <v>946.00000000000011</v>
      </c>
      <c r="G235" s="5">
        <f t="shared" si="7"/>
        <v>0.36469344608879489</v>
      </c>
    </row>
    <row r="236" spans="1:7" ht="13">
      <c r="A236" s="4" t="s">
        <v>113</v>
      </c>
      <c r="B236" s="1">
        <v>8.1</v>
      </c>
      <c r="C236" s="1">
        <v>364</v>
      </c>
      <c r="D236" s="1" t="s">
        <v>42</v>
      </c>
      <c r="E236" s="1" t="s">
        <v>10</v>
      </c>
      <c r="F236" s="1">
        <f t="shared" si="8"/>
        <v>810</v>
      </c>
      <c r="G236" s="5">
        <f t="shared" si="7"/>
        <v>0.44938271604938274</v>
      </c>
    </row>
    <row r="237" spans="1:7" ht="13">
      <c r="A237" s="4" t="s">
        <v>113</v>
      </c>
      <c r="B237" s="1">
        <v>4.92</v>
      </c>
      <c r="C237" s="1">
        <v>203.1</v>
      </c>
      <c r="D237" s="1" t="s">
        <v>47</v>
      </c>
      <c r="E237" s="1" t="s">
        <v>10</v>
      </c>
      <c r="F237" s="1">
        <f t="shared" si="8"/>
        <v>492</v>
      </c>
      <c r="G237" s="5">
        <f t="shared" si="7"/>
        <v>0.41280487804878047</v>
      </c>
    </row>
    <row r="238" spans="1:7" ht="13">
      <c r="A238" s="4" t="s">
        <v>113</v>
      </c>
      <c r="B238" s="1">
        <v>9</v>
      </c>
      <c r="C238" s="1">
        <v>188</v>
      </c>
      <c r="D238" s="1" t="s">
        <v>60</v>
      </c>
      <c r="E238" s="1" t="s">
        <v>17</v>
      </c>
      <c r="F238" s="1">
        <f t="shared" si="8"/>
        <v>900</v>
      </c>
      <c r="G238" s="5">
        <f t="shared" si="7"/>
        <v>0.2088888888888889</v>
      </c>
    </row>
    <row r="239" spans="1:7" ht="13">
      <c r="A239" s="4" t="s">
        <v>113</v>
      </c>
      <c r="B239" s="1">
        <v>6.2</v>
      </c>
      <c r="C239" s="1">
        <v>262</v>
      </c>
      <c r="D239" s="1" t="s">
        <v>11</v>
      </c>
      <c r="E239" s="1" t="s">
        <v>7</v>
      </c>
      <c r="F239" s="1">
        <f t="shared" si="8"/>
        <v>620</v>
      </c>
      <c r="G239" s="5">
        <f t="shared" si="7"/>
        <v>0.42258064516129035</v>
      </c>
    </row>
    <row r="240" spans="1:7" ht="13">
      <c r="A240" s="4" t="s">
        <v>113</v>
      </c>
      <c r="B240" s="1">
        <v>6.72</v>
      </c>
      <c r="C240" s="1">
        <v>206</v>
      </c>
      <c r="D240" s="1" t="s">
        <v>33</v>
      </c>
      <c r="E240" s="1" t="s">
        <v>20</v>
      </c>
      <c r="F240" s="1">
        <f t="shared" si="8"/>
        <v>672</v>
      </c>
      <c r="G240" s="5">
        <f t="shared" si="7"/>
        <v>0.30654761904761907</v>
      </c>
    </row>
    <row r="241" spans="1:7" ht="13">
      <c r="A241" s="4" t="s">
        <v>113</v>
      </c>
      <c r="B241" s="1">
        <v>6.02</v>
      </c>
      <c r="C241" s="1">
        <v>230</v>
      </c>
      <c r="D241" s="1" t="s">
        <v>43</v>
      </c>
      <c r="E241" s="1" t="s">
        <v>21</v>
      </c>
      <c r="F241" s="1">
        <f t="shared" si="8"/>
        <v>602</v>
      </c>
      <c r="G241" s="5">
        <f t="shared" si="7"/>
        <v>0.38205980066445183</v>
      </c>
    </row>
    <row r="242" spans="1:7" ht="13">
      <c r="A242" s="4" t="s">
        <v>113</v>
      </c>
      <c r="B242" s="1">
        <v>4.9000000000000004</v>
      </c>
      <c r="C242" s="1">
        <v>209</v>
      </c>
      <c r="D242" s="1" t="s">
        <v>47</v>
      </c>
      <c r="E242" s="1" t="s">
        <v>19</v>
      </c>
      <c r="F242" s="1">
        <f t="shared" si="8"/>
        <v>490.00000000000006</v>
      </c>
      <c r="G242" s="5">
        <f t="shared" si="7"/>
        <v>0.42653061224489791</v>
      </c>
    </row>
    <row r="243" spans="1:7" ht="13">
      <c r="A243" s="4" t="s">
        <v>113</v>
      </c>
      <c r="B243" s="1">
        <v>8.5</v>
      </c>
      <c r="C243" s="1">
        <v>337</v>
      </c>
      <c r="D243" s="1" t="s">
        <v>39</v>
      </c>
      <c r="E243" s="1" t="s">
        <v>20</v>
      </c>
      <c r="F243" s="1">
        <f t="shared" si="8"/>
        <v>850</v>
      </c>
      <c r="G243" s="5">
        <f t="shared" si="7"/>
        <v>0.39647058823529413</v>
      </c>
    </row>
    <row r="244" spans="1:7" ht="13">
      <c r="A244" s="4" t="s">
        <v>113</v>
      </c>
      <c r="B244" s="1">
        <v>7.5</v>
      </c>
      <c r="C244" s="1">
        <v>299</v>
      </c>
      <c r="D244" s="1" t="s">
        <v>67</v>
      </c>
      <c r="E244" s="1" t="s">
        <v>21</v>
      </c>
      <c r="F244" s="1">
        <f t="shared" si="8"/>
        <v>750</v>
      </c>
      <c r="G244" s="5">
        <f t="shared" si="7"/>
        <v>0.39866666666666667</v>
      </c>
    </row>
    <row r="245" spans="1:7" ht="13">
      <c r="A245" s="4" t="s">
        <v>113</v>
      </c>
      <c r="B245" s="1">
        <v>4950</v>
      </c>
      <c r="C245" s="1">
        <v>233</v>
      </c>
      <c r="D245" s="1" t="s">
        <v>11</v>
      </c>
      <c r="E245" s="1" t="s">
        <v>10</v>
      </c>
      <c r="F245" s="1">
        <f t="shared" si="8"/>
        <v>495000</v>
      </c>
      <c r="G245" s="5">
        <f t="shared" si="7"/>
        <v>4.7070707070707068E-4</v>
      </c>
    </row>
    <row r="246" spans="1:7" ht="13">
      <c r="A246" s="4" t="s">
        <v>113</v>
      </c>
      <c r="B246" s="1">
        <v>7.56</v>
      </c>
      <c r="C246" s="1">
        <v>355</v>
      </c>
      <c r="D246" s="1" t="s">
        <v>11</v>
      </c>
      <c r="E246" s="1" t="s">
        <v>9</v>
      </c>
      <c r="F246" s="1">
        <f t="shared" si="8"/>
        <v>756</v>
      </c>
      <c r="G246" s="5">
        <f t="shared" si="7"/>
        <v>0.46957671957671959</v>
      </c>
    </row>
    <row r="247" spans="1:7" ht="13">
      <c r="A247" s="4" t="s">
        <v>113</v>
      </c>
      <c r="B247" s="1">
        <v>5.4</v>
      </c>
      <c r="C247" s="1">
        <v>229</v>
      </c>
      <c r="D247" s="1" t="s">
        <v>35</v>
      </c>
      <c r="E247" s="1" t="s">
        <v>8</v>
      </c>
      <c r="F247" s="1">
        <f t="shared" si="8"/>
        <v>540</v>
      </c>
      <c r="G247" s="5">
        <f t="shared" si="7"/>
        <v>0.42407407407407405</v>
      </c>
    </row>
    <row r="248" spans="1:7" ht="13">
      <c r="A248" s="4" t="s">
        <v>113</v>
      </c>
      <c r="B248" s="1">
        <v>6.4</v>
      </c>
      <c r="C248" s="1">
        <v>208.5</v>
      </c>
      <c r="D248" s="1" t="s">
        <v>35</v>
      </c>
      <c r="E248" s="1" t="s">
        <v>18</v>
      </c>
      <c r="F248" s="1">
        <f t="shared" si="8"/>
        <v>640</v>
      </c>
      <c r="G248" s="5">
        <f t="shared" si="7"/>
        <v>0.32578125000000002</v>
      </c>
    </row>
    <row r="249" spans="1:7" ht="13">
      <c r="A249" s="4" t="s">
        <v>113</v>
      </c>
      <c r="B249" s="1">
        <v>5.915</v>
      </c>
      <c r="C249" s="1">
        <v>211</v>
      </c>
      <c r="D249" s="1" t="s">
        <v>39</v>
      </c>
      <c r="E249" s="1" t="s">
        <v>24</v>
      </c>
      <c r="F249" s="1">
        <f t="shared" si="8"/>
        <v>591.5</v>
      </c>
      <c r="G249" s="5">
        <f t="shared" si="7"/>
        <v>0.35672020287404904</v>
      </c>
    </row>
    <row r="250" spans="1:7" ht="13">
      <c r="A250" s="4" t="s">
        <v>113</v>
      </c>
      <c r="B250" s="1">
        <v>5</v>
      </c>
      <c r="C250" s="1">
        <v>213</v>
      </c>
      <c r="D250" s="1" t="s">
        <v>42</v>
      </c>
      <c r="E250" s="1" t="s">
        <v>30</v>
      </c>
      <c r="F250" s="1">
        <f t="shared" si="8"/>
        <v>500</v>
      </c>
      <c r="G250" s="5">
        <f t="shared" si="7"/>
        <v>0.42599999999999999</v>
      </c>
    </row>
    <row r="251" spans="1:7" ht="13">
      <c r="A251" s="4" t="s">
        <v>113</v>
      </c>
      <c r="B251" s="1">
        <v>8</v>
      </c>
      <c r="C251" s="1">
        <v>293</v>
      </c>
      <c r="D251" s="1" t="s">
        <v>11</v>
      </c>
      <c r="E251" s="1" t="s">
        <v>22</v>
      </c>
      <c r="F251" s="1">
        <f t="shared" si="8"/>
        <v>800</v>
      </c>
      <c r="G251" s="5">
        <f t="shared" si="7"/>
        <v>0.36625000000000002</v>
      </c>
    </row>
    <row r="252" spans="1:7" ht="13">
      <c r="A252" s="4" t="s">
        <v>113</v>
      </c>
      <c r="B252" s="1">
        <v>4.3</v>
      </c>
      <c r="C252" s="1">
        <v>154</v>
      </c>
      <c r="D252" s="1" t="s">
        <v>33</v>
      </c>
      <c r="E252" s="1" t="s">
        <v>16</v>
      </c>
      <c r="F252" s="1">
        <f t="shared" si="8"/>
        <v>430</v>
      </c>
      <c r="G252" s="5">
        <f t="shared" si="7"/>
        <v>0.35813953488372091</v>
      </c>
    </row>
    <row r="253" spans="1:7" ht="13">
      <c r="A253" s="4" t="s">
        <v>113</v>
      </c>
      <c r="B253" s="1">
        <v>6</v>
      </c>
      <c r="C253" s="1">
        <v>156</v>
      </c>
      <c r="D253" s="1" t="s">
        <v>33</v>
      </c>
      <c r="E253" s="1" t="s">
        <v>9</v>
      </c>
      <c r="F253" s="1">
        <f t="shared" si="8"/>
        <v>600</v>
      </c>
      <c r="G253" s="5">
        <f t="shared" si="7"/>
        <v>0.26</v>
      </c>
    </row>
    <row r="254" spans="1:7" ht="13">
      <c r="A254" s="4" t="s">
        <v>113</v>
      </c>
      <c r="B254" s="1">
        <v>6.72</v>
      </c>
      <c r="C254" s="1">
        <v>212.36</v>
      </c>
      <c r="D254" s="1" t="s">
        <v>33</v>
      </c>
      <c r="E254" s="1" t="s">
        <v>10</v>
      </c>
      <c r="F254" s="1">
        <f t="shared" si="8"/>
        <v>672</v>
      </c>
      <c r="G254" s="5">
        <f t="shared" si="7"/>
        <v>0.31601190476190477</v>
      </c>
    </row>
    <row r="255" spans="1:7" ht="13">
      <c r="A255" s="4" t="s">
        <v>113</v>
      </c>
      <c r="B255" s="1">
        <v>7.8</v>
      </c>
      <c r="C255" s="1">
        <v>198</v>
      </c>
      <c r="D255" s="1" t="s">
        <v>33</v>
      </c>
      <c r="E255" s="1" t="s">
        <v>25</v>
      </c>
      <c r="F255" s="1">
        <f t="shared" si="8"/>
        <v>780</v>
      </c>
      <c r="G255" s="5">
        <f t="shared" si="7"/>
        <v>0.25384615384615383</v>
      </c>
    </row>
    <row r="256" spans="1:7" ht="13">
      <c r="A256" s="4" t="s">
        <v>113</v>
      </c>
      <c r="B256" s="1">
        <v>6.5</v>
      </c>
      <c r="C256" s="1">
        <v>360</v>
      </c>
      <c r="D256" s="1" t="s">
        <v>11</v>
      </c>
      <c r="E256" s="1" t="s">
        <v>15</v>
      </c>
      <c r="F256" s="1">
        <f t="shared" si="8"/>
        <v>650</v>
      </c>
      <c r="G256" s="5">
        <f t="shared" si="7"/>
        <v>0.55384615384615388</v>
      </c>
    </row>
    <row r="257" spans="1:7" ht="13">
      <c r="A257" s="4" t="s">
        <v>113</v>
      </c>
      <c r="B257" s="1">
        <v>5.0999999999999996</v>
      </c>
      <c r="C257" s="1">
        <v>149</v>
      </c>
      <c r="D257" s="1" t="s">
        <v>40</v>
      </c>
      <c r="E257" s="1" t="s">
        <v>15</v>
      </c>
      <c r="F257" s="1">
        <f t="shared" si="8"/>
        <v>509.99999999999994</v>
      </c>
      <c r="G257" s="5">
        <f t="shared" si="7"/>
        <v>0.29215686274509806</v>
      </c>
    </row>
    <row r="258" spans="1:7" ht="13">
      <c r="A258" s="4" t="s">
        <v>113</v>
      </c>
      <c r="B258" s="1">
        <v>6.72</v>
      </c>
      <c r="C258" s="1">
        <v>168</v>
      </c>
      <c r="D258" s="1" t="s">
        <v>39</v>
      </c>
      <c r="E258" s="1" t="s">
        <v>25</v>
      </c>
      <c r="F258" s="1">
        <f t="shared" si="8"/>
        <v>672</v>
      </c>
      <c r="G258" s="5">
        <f t="shared" ref="G258:G321" si="9">C258/F258</f>
        <v>0.25</v>
      </c>
    </row>
    <row r="259" spans="1:7" ht="13">
      <c r="A259" s="4" t="s">
        <v>113</v>
      </c>
      <c r="B259" s="1">
        <v>8.7200000000000006</v>
      </c>
      <c r="C259" s="1">
        <v>369</v>
      </c>
      <c r="D259" s="1" t="s">
        <v>47</v>
      </c>
      <c r="E259" s="1" t="s">
        <v>31</v>
      </c>
      <c r="F259" s="1">
        <f t="shared" si="8"/>
        <v>872.00000000000011</v>
      </c>
      <c r="G259" s="5">
        <f t="shared" si="9"/>
        <v>0.42316513761467883</v>
      </c>
    </row>
    <row r="260" spans="1:7" ht="13">
      <c r="A260" s="4" t="s">
        <v>113</v>
      </c>
      <c r="B260" s="1">
        <v>4</v>
      </c>
      <c r="C260" s="1">
        <v>210</v>
      </c>
      <c r="D260" s="1" t="s">
        <v>38</v>
      </c>
      <c r="E260" s="1" t="s">
        <v>24</v>
      </c>
      <c r="F260" s="1">
        <f t="shared" si="8"/>
        <v>400</v>
      </c>
      <c r="G260" s="5">
        <f t="shared" si="9"/>
        <v>0.52500000000000002</v>
      </c>
    </row>
    <row r="261" spans="1:7" ht="13">
      <c r="A261" s="4" t="s">
        <v>113</v>
      </c>
      <c r="B261" s="1">
        <v>3.25</v>
      </c>
      <c r="C261" s="1">
        <v>143</v>
      </c>
      <c r="D261" s="1" t="s">
        <v>11</v>
      </c>
      <c r="E261" s="1" t="s">
        <v>22</v>
      </c>
      <c r="F261" s="1">
        <f t="shared" si="8"/>
        <v>325</v>
      </c>
      <c r="G261" s="5">
        <f t="shared" si="9"/>
        <v>0.44</v>
      </c>
    </row>
    <row r="262" spans="1:7" ht="13">
      <c r="A262" s="4" t="s">
        <v>113</v>
      </c>
      <c r="B262" s="1">
        <v>6.88</v>
      </c>
      <c r="C262" s="1">
        <v>218</v>
      </c>
      <c r="D262" s="1" t="s">
        <v>53</v>
      </c>
      <c r="E262" s="1" t="s">
        <v>16</v>
      </c>
      <c r="F262" s="1">
        <f t="shared" si="8"/>
        <v>688</v>
      </c>
      <c r="G262" s="5">
        <f t="shared" si="9"/>
        <v>0.31686046511627908</v>
      </c>
    </row>
    <row r="263" spans="1:7" ht="13">
      <c r="A263" s="4" t="s">
        <v>113</v>
      </c>
      <c r="B263" s="1">
        <v>7.83</v>
      </c>
      <c r="C263" s="1">
        <v>265</v>
      </c>
      <c r="D263" s="1" t="s">
        <v>33</v>
      </c>
      <c r="E263" s="1" t="s">
        <v>9</v>
      </c>
      <c r="F263" s="1">
        <f t="shared" si="8"/>
        <v>783</v>
      </c>
      <c r="G263" s="5">
        <f t="shared" si="9"/>
        <v>0.3384418901660281</v>
      </c>
    </row>
    <row r="264" spans="1:7" ht="13">
      <c r="A264" s="4" t="s">
        <v>113</v>
      </c>
      <c r="B264" s="1">
        <v>5.6</v>
      </c>
      <c r="C264" s="1">
        <v>151</v>
      </c>
      <c r="D264" s="1" t="s">
        <v>11</v>
      </c>
      <c r="E264" s="1" t="s">
        <v>21</v>
      </c>
      <c r="F264" s="1">
        <f t="shared" si="8"/>
        <v>560</v>
      </c>
      <c r="G264" s="5">
        <f t="shared" si="9"/>
        <v>0.26964285714285713</v>
      </c>
    </row>
    <row r="265" spans="1:7" ht="13">
      <c r="A265" s="4" t="s">
        <v>113</v>
      </c>
      <c r="B265" s="1">
        <v>7.83</v>
      </c>
      <c r="C265" s="1">
        <v>295</v>
      </c>
      <c r="D265" s="1" t="s">
        <v>11</v>
      </c>
      <c r="E265" s="1" t="s">
        <v>21</v>
      </c>
      <c r="F265" s="1">
        <f t="shared" si="8"/>
        <v>783</v>
      </c>
      <c r="G265" s="5">
        <f t="shared" si="9"/>
        <v>0.37675606641123882</v>
      </c>
    </row>
    <row r="266" spans="1:7" ht="13">
      <c r="A266" s="4" t="s">
        <v>113</v>
      </c>
      <c r="B266" s="1">
        <v>6.4</v>
      </c>
      <c r="C266" s="1">
        <v>307</v>
      </c>
      <c r="D266" s="1" t="s">
        <v>11</v>
      </c>
      <c r="E266" s="1" t="s">
        <v>8</v>
      </c>
      <c r="F266" s="1">
        <f t="shared" si="8"/>
        <v>640</v>
      </c>
      <c r="G266" s="5">
        <f t="shared" si="9"/>
        <v>0.47968749999999999</v>
      </c>
    </row>
    <row r="267" spans="1:7" ht="13">
      <c r="A267" s="4" t="s">
        <v>113</v>
      </c>
      <c r="B267" s="1">
        <v>7.5</v>
      </c>
      <c r="C267" s="1">
        <v>185.3</v>
      </c>
      <c r="D267" s="1" t="s">
        <v>47</v>
      </c>
      <c r="E267" s="1" t="s">
        <v>22</v>
      </c>
      <c r="F267" s="1">
        <f t="shared" si="8"/>
        <v>750</v>
      </c>
      <c r="G267" s="5">
        <f t="shared" si="9"/>
        <v>0.24706666666666668</v>
      </c>
    </row>
    <row r="268" spans="1:7" ht="13">
      <c r="A268" s="4" t="s">
        <v>113</v>
      </c>
      <c r="B268" s="1">
        <v>7.74</v>
      </c>
      <c r="C268" s="1">
        <v>381.4</v>
      </c>
      <c r="D268" s="1" t="s">
        <v>11</v>
      </c>
      <c r="E268" s="1" t="s">
        <v>29</v>
      </c>
      <c r="F268" s="1">
        <f t="shared" si="8"/>
        <v>774</v>
      </c>
      <c r="G268" s="5">
        <f t="shared" si="9"/>
        <v>0.49276485788113694</v>
      </c>
    </row>
    <row r="269" spans="1:7" ht="13">
      <c r="A269" s="4" t="s">
        <v>113</v>
      </c>
      <c r="B269" s="1">
        <v>7.47</v>
      </c>
      <c r="C269" s="1">
        <v>269</v>
      </c>
      <c r="D269" s="1" t="s">
        <v>33</v>
      </c>
      <c r="E269" s="1" t="s">
        <v>8</v>
      </c>
      <c r="F269" s="1">
        <f t="shared" si="8"/>
        <v>747</v>
      </c>
      <c r="G269" s="5">
        <f t="shared" si="9"/>
        <v>0.36010709504685406</v>
      </c>
    </row>
    <row r="270" spans="1:7" ht="13">
      <c r="A270" s="4" t="s">
        <v>113</v>
      </c>
      <c r="B270" s="1">
        <v>5.6</v>
      </c>
      <c r="C270" s="1">
        <v>210</v>
      </c>
      <c r="D270" s="1" t="s">
        <v>53</v>
      </c>
      <c r="E270" s="1" t="s">
        <v>8</v>
      </c>
      <c r="F270" s="1">
        <f t="shared" si="8"/>
        <v>560</v>
      </c>
      <c r="G270" s="5">
        <f t="shared" si="9"/>
        <v>0.375</v>
      </c>
    </row>
    <row r="271" spans="1:7" ht="13">
      <c r="A271" s="4" t="s">
        <v>113</v>
      </c>
      <c r="B271" s="1">
        <v>4.5999999999999996</v>
      </c>
      <c r="C271" s="1">
        <v>188</v>
      </c>
      <c r="D271" s="1" t="s">
        <v>11</v>
      </c>
      <c r="E271" s="1" t="s">
        <v>9</v>
      </c>
      <c r="F271" s="1">
        <f t="shared" si="8"/>
        <v>459.99999999999994</v>
      </c>
      <c r="G271" s="5">
        <f t="shared" si="9"/>
        <v>0.40869565217391307</v>
      </c>
    </row>
    <row r="272" spans="1:7" ht="13">
      <c r="A272" s="4" t="s">
        <v>113</v>
      </c>
      <c r="B272" s="1">
        <v>19.600000000000001</v>
      </c>
      <c r="C272" s="1">
        <v>585</v>
      </c>
      <c r="D272" s="1" t="s">
        <v>43</v>
      </c>
      <c r="E272" s="1" t="s">
        <v>23</v>
      </c>
      <c r="F272" s="1">
        <f t="shared" si="8"/>
        <v>1960.0000000000002</v>
      </c>
      <c r="G272" s="5">
        <f t="shared" si="9"/>
        <v>0.29846938775510201</v>
      </c>
    </row>
    <row r="273" spans="1:7" ht="13">
      <c r="A273" s="4" t="s">
        <v>113</v>
      </c>
      <c r="B273" s="1">
        <v>8.1999999999999993</v>
      </c>
      <c r="C273" s="1">
        <v>315</v>
      </c>
      <c r="D273" s="1" t="s">
        <v>11</v>
      </c>
      <c r="E273" s="1" t="s">
        <v>12</v>
      </c>
      <c r="F273" s="1">
        <f t="shared" si="8"/>
        <v>819.99999999999989</v>
      </c>
      <c r="G273" s="5">
        <f t="shared" si="9"/>
        <v>0.3841463414634147</v>
      </c>
    </row>
    <row r="274" spans="1:7" ht="13">
      <c r="A274" s="4" t="s">
        <v>113</v>
      </c>
      <c r="B274" s="1">
        <v>4.08</v>
      </c>
      <c r="C274" s="1">
        <v>131</v>
      </c>
      <c r="D274" s="1" t="s">
        <v>33</v>
      </c>
      <c r="E274" s="1" t="s">
        <v>26</v>
      </c>
      <c r="F274" s="1">
        <f t="shared" si="8"/>
        <v>408</v>
      </c>
      <c r="G274" s="5">
        <f t="shared" si="9"/>
        <v>0.32107843137254904</v>
      </c>
    </row>
    <row r="275" spans="1:7" ht="13">
      <c r="A275" s="4" t="s">
        <v>113</v>
      </c>
      <c r="B275" s="1">
        <v>3</v>
      </c>
      <c r="C275" s="1">
        <v>192.6</v>
      </c>
      <c r="D275" s="1" t="s">
        <v>43</v>
      </c>
      <c r="E275" s="1" t="s">
        <v>18</v>
      </c>
      <c r="F275" s="1">
        <f t="shared" si="8"/>
        <v>300</v>
      </c>
      <c r="G275" s="5">
        <f t="shared" si="9"/>
        <v>0.64200000000000002</v>
      </c>
    </row>
    <row r="276" spans="1:7" ht="13">
      <c r="A276" s="4" t="s">
        <v>113</v>
      </c>
      <c r="B276" s="1">
        <v>4.2</v>
      </c>
      <c r="C276" s="1">
        <v>209</v>
      </c>
      <c r="D276" s="1" t="s">
        <v>11</v>
      </c>
      <c r="E276" s="1" t="s">
        <v>25</v>
      </c>
      <c r="F276" s="1">
        <f t="shared" si="8"/>
        <v>420</v>
      </c>
      <c r="G276" s="5">
        <f t="shared" si="9"/>
        <v>0.49761904761904763</v>
      </c>
    </row>
    <row r="277" spans="1:7" ht="13">
      <c r="A277" s="4" t="s">
        <v>113</v>
      </c>
      <c r="B277" s="1">
        <v>7.74</v>
      </c>
      <c r="C277" s="1">
        <v>269</v>
      </c>
      <c r="D277" s="1" t="s">
        <v>11</v>
      </c>
      <c r="E277" s="1" t="s">
        <v>25</v>
      </c>
      <c r="F277" s="1">
        <f t="shared" si="8"/>
        <v>774</v>
      </c>
      <c r="G277" s="5">
        <f t="shared" si="9"/>
        <v>0.34754521963824292</v>
      </c>
    </row>
    <row r="278" spans="1:7" ht="13">
      <c r="A278" s="4" t="s">
        <v>113</v>
      </c>
      <c r="B278" s="1">
        <v>4.7</v>
      </c>
      <c r="C278" s="1">
        <v>204</v>
      </c>
      <c r="D278" s="1" t="s">
        <v>11</v>
      </c>
      <c r="E278" s="1" t="s">
        <v>18</v>
      </c>
      <c r="F278" s="1">
        <f t="shared" si="8"/>
        <v>470</v>
      </c>
      <c r="G278" s="5">
        <f t="shared" si="9"/>
        <v>0.43404255319148938</v>
      </c>
    </row>
    <row r="279" spans="1:7" ht="13">
      <c r="A279" s="4" t="s">
        <v>113</v>
      </c>
      <c r="B279" s="1">
        <v>5.59</v>
      </c>
      <c r="C279" s="1">
        <v>178</v>
      </c>
      <c r="D279" s="1" t="s">
        <v>36</v>
      </c>
      <c r="E279" s="1" t="s">
        <v>9</v>
      </c>
      <c r="F279" s="1">
        <f t="shared" si="8"/>
        <v>559</v>
      </c>
      <c r="G279" s="5">
        <f t="shared" si="9"/>
        <v>0.31842576028622538</v>
      </c>
    </row>
    <row r="280" spans="1:7" ht="13">
      <c r="A280" s="4" t="s">
        <v>113</v>
      </c>
      <c r="B280" s="1">
        <v>8.6</v>
      </c>
      <c r="C280" s="1">
        <v>400</v>
      </c>
      <c r="D280" s="1" t="s">
        <v>11</v>
      </c>
      <c r="E280" s="1" t="s">
        <v>68</v>
      </c>
      <c r="F280" s="1">
        <f t="shared" si="8"/>
        <v>860</v>
      </c>
      <c r="G280" s="5">
        <f t="shared" si="9"/>
        <v>0.46511627906976744</v>
      </c>
    </row>
    <row r="281" spans="1:7" ht="13">
      <c r="A281" s="4" t="s">
        <v>113</v>
      </c>
      <c r="B281" s="1">
        <v>7</v>
      </c>
      <c r="C281" s="1">
        <v>170</v>
      </c>
      <c r="D281" s="1" t="s">
        <v>33</v>
      </c>
      <c r="E281" s="1" t="s">
        <v>8</v>
      </c>
      <c r="F281" s="1">
        <f t="shared" si="8"/>
        <v>700</v>
      </c>
      <c r="G281" s="5">
        <f t="shared" si="9"/>
        <v>0.24285714285714285</v>
      </c>
    </row>
    <row r="282" spans="1:7" ht="13">
      <c r="A282" s="4" t="s">
        <v>113</v>
      </c>
      <c r="B282" s="1">
        <v>6</v>
      </c>
      <c r="C282" s="1">
        <v>231</v>
      </c>
      <c r="D282" s="1" t="s">
        <v>11</v>
      </c>
      <c r="E282" s="1" t="s">
        <v>14</v>
      </c>
      <c r="F282" s="1">
        <f t="shared" si="8"/>
        <v>600</v>
      </c>
      <c r="G282" s="5">
        <f t="shared" si="9"/>
        <v>0.38500000000000001</v>
      </c>
    </row>
    <row r="283" spans="1:7" ht="13">
      <c r="A283" s="4" t="s">
        <v>113</v>
      </c>
      <c r="B283" s="1">
        <v>8.5</v>
      </c>
      <c r="C283" s="1">
        <v>359</v>
      </c>
      <c r="D283" s="1" t="s">
        <v>11</v>
      </c>
      <c r="E283" s="1" t="s">
        <v>12</v>
      </c>
      <c r="F283" s="1">
        <f t="shared" si="8"/>
        <v>850</v>
      </c>
      <c r="G283" s="5">
        <f t="shared" si="9"/>
        <v>0.4223529411764706</v>
      </c>
    </row>
    <row r="284" spans="1:7" ht="13">
      <c r="A284" s="4" t="s">
        <v>113</v>
      </c>
      <c r="B284" s="1">
        <v>16.5</v>
      </c>
      <c r="C284" s="1">
        <v>750</v>
      </c>
      <c r="D284" s="1" t="s">
        <v>45</v>
      </c>
      <c r="E284" s="1" t="s">
        <v>25</v>
      </c>
      <c r="F284" s="1">
        <f t="shared" si="8"/>
        <v>1650</v>
      </c>
      <c r="G284" s="5">
        <f t="shared" si="9"/>
        <v>0.45454545454545453</v>
      </c>
    </row>
    <row r="285" spans="1:7" ht="13">
      <c r="A285" s="4" t="s">
        <v>113</v>
      </c>
      <c r="B285" s="1">
        <v>7.4</v>
      </c>
      <c r="C285" s="1">
        <v>231</v>
      </c>
      <c r="D285" s="1" t="s">
        <v>33</v>
      </c>
      <c r="E285" s="1" t="s">
        <v>17</v>
      </c>
      <c r="F285" s="1">
        <f t="shared" si="8"/>
        <v>740</v>
      </c>
      <c r="G285" s="5">
        <f t="shared" si="9"/>
        <v>0.31216216216216214</v>
      </c>
    </row>
    <row r="286" spans="1:7" ht="13">
      <c r="A286" s="4" t="s">
        <v>113</v>
      </c>
      <c r="B286" s="1">
        <v>6.45</v>
      </c>
      <c r="C286" s="1">
        <v>262</v>
      </c>
      <c r="D286" s="1" t="s">
        <v>11</v>
      </c>
      <c r="E286" s="1" t="s">
        <v>30</v>
      </c>
      <c r="F286" s="1">
        <f t="shared" si="8"/>
        <v>645</v>
      </c>
      <c r="G286" s="5">
        <f t="shared" si="9"/>
        <v>0.40620155038759692</v>
      </c>
    </row>
    <row r="287" spans="1:7" ht="13">
      <c r="A287" s="4" t="s">
        <v>113</v>
      </c>
      <c r="B287" s="1">
        <v>9.1300000000000008</v>
      </c>
      <c r="C287" s="1">
        <v>380</v>
      </c>
      <c r="D287" s="1" t="s">
        <v>11</v>
      </c>
      <c r="E287" s="1" t="s">
        <v>19</v>
      </c>
      <c r="F287" s="1">
        <f t="shared" si="8"/>
        <v>913.00000000000011</v>
      </c>
      <c r="G287" s="5">
        <f t="shared" si="9"/>
        <v>0.41621029572836798</v>
      </c>
    </row>
    <row r="288" spans="1:7" ht="13">
      <c r="A288" s="4" t="s">
        <v>113</v>
      </c>
      <c r="B288" s="1">
        <v>8.32</v>
      </c>
      <c r="C288" s="1">
        <v>326</v>
      </c>
      <c r="D288" s="1" t="s">
        <v>11</v>
      </c>
      <c r="E288" s="1" t="s">
        <v>19</v>
      </c>
      <c r="F288" s="1">
        <f t="shared" ref="F288:F351" si="10">B288*100</f>
        <v>832</v>
      </c>
      <c r="G288" s="5">
        <f t="shared" si="9"/>
        <v>0.39182692307692307</v>
      </c>
    </row>
    <row r="289" spans="1:7" ht="13">
      <c r="A289" s="4" t="s">
        <v>113</v>
      </c>
      <c r="B289" s="1">
        <v>32</v>
      </c>
      <c r="C289" s="1">
        <v>600</v>
      </c>
      <c r="D289" s="1" t="s">
        <v>40</v>
      </c>
      <c r="E289" s="1" t="s">
        <v>69</v>
      </c>
      <c r="F289" s="1">
        <f t="shared" si="10"/>
        <v>3200</v>
      </c>
      <c r="G289" s="5">
        <f t="shared" si="9"/>
        <v>0.1875</v>
      </c>
    </row>
    <row r="290" spans="1:7" ht="13">
      <c r="A290" s="4" t="s">
        <v>113</v>
      </c>
      <c r="B290" s="1">
        <v>5.22</v>
      </c>
      <c r="C290" s="1">
        <v>184</v>
      </c>
      <c r="D290" s="1" t="s">
        <v>45</v>
      </c>
      <c r="E290" s="1" t="s">
        <v>15</v>
      </c>
      <c r="F290" s="1">
        <f t="shared" si="10"/>
        <v>522</v>
      </c>
      <c r="G290" s="5">
        <f t="shared" si="9"/>
        <v>0.35249042145593867</v>
      </c>
    </row>
    <row r="291" spans="1:7" ht="13">
      <c r="A291" s="4" t="s">
        <v>113</v>
      </c>
      <c r="B291" s="1">
        <v>2.6</v>
      </c>
      <c r="C291" s="1">
        <v>130</v>
      </c>
      <c r="D291" s="1" t="s">
        <v>11</v>
      </c>
      <c r="E291" s="1" t="s">
        <v>15</v>
      </c>
      <c r="F291" s="1">
        <f t="shared" si="10"/>
        <v>260</v>
      </c>
      <c r="G291" s="5">
        <f t="shared" si="9"/>
        <v>0.5</v>
      </c>
    </row>
    <row r="292" spans="1:7" ht="13">
      <c r="A292" s="4" t="s">
        <v>113</v>
      </c>
      <c r="B292" s="1">
        <v>7</v>
      </c>
      <c r="C292" s="1">
        <v>246</v>
      </c>
      <c r="D292" s="1" t="s">
        <v>33</v>
      </c>
      <c r="E292" s="1" t="s">
        <v>7</v>
      </c>
      <c r="F292" s="1">
        <f t="shared" si="10"/>
        <v>700</v>
      </c>
      <c r="G292" s="5">
        <f t="shared" si="9"/>
        <v>0.35142857142857142</v>
      </c>
    </row>
    <row r="293" spans="1:7" ht="13">
      <c r="A293" s="4" t="s">
        <v>113</v>
      </c>
      <c r="B293" s="1">
        <v>6.8</v>
      </c>
      <c r="C293" s="1">
        <v>211</v>
      </c>
      <c r="D293" s="1" t="s">
        <v>33</v>
      </c>
      <c r="E293" s="1" t="s">
        <v>20</v>
      </c>
      <c r="F293" s="1">
        <f t="shared" si="10"/>
        <v>680</v>
      </c>
      <c r="G293" s="5">
        <f t="shared" si="9"/>
        <v>0.31029411764705883</v>
      </c>
    </row>
    <row r="294" spans="1:7" ht="13">
      <c r="A294" s="4" t="s">
        <v>113</v>
      </c>
      <c r="B294" s="1">
        <v>7.7</v>
      </c>
      <c r="C294" s="1">
        <v>265</v>
      </c>
      <c r="D294" s="1" t="s">
        <v>53</v>
      </c>
      <c r="E294" s="1" t="s">
        <v>17</v>
      </c>
      <c r="F294" s="1">
        <f t="shared" si="10"/>
        <v>770</v>
      </c>
      <c r="G294" s="5">
        <f t="shared" si="9"/>
        <v>0.34415584415584416</v>
      </c>
    </row>
    <row r="295" spans="1:7" ht="13">
      <c r="A295" s="4" t="s">
        <v>113</v>
      </c>
      <c r="B295" s="1">
        <v>7.29</v>
      </c>
      <c r="C295" s="1">
        <v>372</v>
      </c>
      <c r="D295" s="1" t="s">
        <v>11</v>
      </c>
      <c r="E295" s="1" t="s">
        <v>27</v>
      </c>
      <c r="F295" s="1">
        <f t="shared" si="10"/>
        <v>729</v>
      </c>
      <c r="G295" s="5">
        <f t="shared" si="9"/>
        <v>0.51028806584362141</v>
      </c>
    </row>
    <row r="296" spans="1:7" ht="13">
      <c r="A296" s="4" t="s">
        <v>113</v>
      </c>
      <c r="B296" s="1">
        <v>6.9</v>
      </c>
      <c r="C296" s="1">
        <v>289</v>
      </c>
      <c r="D296" s="1" t="s">
        <v>11</v>
      </c>
      <c r="E296" s="1" t="s">
        <v>22</v>
      </c>
      <c r="F296" s="1">
        <f t="shared" si="10"/>
        <v>690</v>
      </c>
      <c r="G296" s="5">
        <f t="shared" si="9"/>
        <v>0.41884057971014493</v>
      </c>
    </row>
    <row r="297" spans="1:7" ht="13">
      <c r="A297" s="4" t="s">
        <v>113</v>
      </c>
      <c r="B297" s="1">
        <v>3.9</v>
      </c>
      <c r="C297" s="1">
        <v>147</v>
      </c>
      <c r="D297" s="1" t="s">
        <v>11</v>
      </c>
      <c r="E297" s="1" t="s">
        <v>15</v>
      </c>
      <c r="F297" s="1">
        <f t="shared" si="10"/>
        <v>390</v>
      </c>
      <c r="G297" s="5">
        <f t="shared" si="9"/>
        <v>0.37692307692307692</v>
      </c>
    </row>
    <row r="298" spans="1:7" ht="13">
      <c r="A298" s="4" t="s">
        <v>113</v>
      </c>
      <c r="B298" s="1">
        <v>6.3</v>
      </c>
      <c r="C298" s="1">
        <v>204</v>
      </c>
      <c r="D298" s="1" t="s">
        <v>39</v>
      </c>
      <c r="E298" s="1" t="s">
        <v>15</v>
      </c>
      <c r="F298" s="1">
        <f t="shared" si="10"/>
        <v>630</v>
      </c>
      <c r="G298" s="5">
        <f t="shared" si="9"/>
        <v>0.32380952380952382</v>
      </c>
    </row>
    <row r="299" spans="1:7" ht="13">
      <c r="A299" s="4" t="s">
        <v>113</v>
      </c>
      <c r="B299" s="1">
        <v>7.2</v>
      </c>
      <c r="C299" s="1">
        <v>252</v>
      </c>
      <c r="D299" s="1" t="s">
        <v>43</v>
      </c>
      <c r="E299" s="1" t="s">
        <v>17</v>
      </c>
      <c r="F299" s="1">
        <f t="shared" si="10"/>
        <v>720</v>
      </c>
      <c r="G299" s="5">
        <f t="shared" si="9"/>
        <v>0.35</v>
      </c>
    </row>
    <row r="300" spans="1:7" ht="13">
      <c r="A300" s="4" t="s">
        <v>113</v>
      </c>
      <c r="B300" s="1">
        <v>6.02</v>
      </c>
      <c r="C300" s="1">
        <v>249</v>
      </c>
      <c r="D300" s="1" t="s">
        <v>47</v>
      </c>
      <c r="E300" s="1" t="s">
        <v>20</v>
      </c>
      <c r="F300" s="1">
        <f t="shared" si="10"/>
        <v>602</v>
      </c>
      <c r="G300" s="5">
        <f t="shared" si="9"/>
        <v>0.41362126245847175</v>
      </c>
    </row>
    <row r="301" spans="1:7" ht="13">
      <c r="A301" s="4" t="s">
        <v>113</v>
      </c>
      <c r="B301" s="1">
        <v>6.8</v>
      </c>
      <c r="C301" s="1">
        <v>298</v>
      </c>
      <c r="D301" s="1" t="s">
        <v>11</v>
      </c>
      <c r="E301" s="1" t="s">
        <v>23</v>
      </c>
      <c r="F301" s="1">
        <f t="shared" si="10"/>
        <v>680</v>
      </c>
      <c r="G301" s="5">
        <f t="shared" si="9"/>
        <v>0.43823529411764706</v>
      </c>
    </row>
    <row r="302" spans="1:7" ht="13">
      <c r="A302" s="4" t="s">
        <v>113</v>
      </c>
      <c r="B302" s="1">
        <v>4.2</v>
      </c>
      <c r="C302" s="1">
        <v>218.07</v>
      </c>
      <c r="D302" s="1" t="s">
        <v>11</v>
      </c>
      <c r="E302" s="1" t="s">
        <v>16</v>
      </c>
      <c r="F302" s="1">
        <f t="shared" si="10"/>
        <v>420</v>
      </c>
      <c r="G302" s="5">
        <f t="shared" si="9"/>
        <v>0.51921428571428574</v>
      </c>
    </row>
    <row r="303" spans="1:7" ht="13">
      <c r="A303" s="4" t="s">
        <v>113</v>
      </c>
      <c r="B303" s="1">
        <v>2.25</v>
      </c>
      <c r="C303" s="1">
        <v>72</v>
      </c>
      <c r="D303" s="1" t="s">
        <v>55</v>
      </c>
      <c r="E303" s="1" t="s">
        <v>15</v>
      </c>
      <c r="F303" s="1">
        <f t="shared" si="10"/>
        <v>225</v>
      </c>
      <c r="G303" s="5">
        <f t="shared" si="9"/>
        <v>0.32</v>
      </c>
    </row>
    <row r="304" spans="1:7" ht="13">
      <c r="A304" s="4" t="s">
        <v>113</v>
      </c>
      <c r="B304" s="1">
        <v>9.1300000000000008</v>
      </c>
      <c r="C304" s="1">
        <v>298</v>
      </c>
      <c r="D304" s="1" t="s">
        <v>33</v>
      </c>
      <c r="E304" s="1" t="s">
        <v>20</v>
      </c>
      <c r="F304" s="1">
        <f t="shared" si="10"/>
        <v>913.00000000000011</v>
      </c>
      <c r="G304" s="5">
        <f t="shared" si="9"/>
        <v>0.32639649507119384</v>
      </c>
    </row>
    <row r="305" spans="1:7" ht="13">
      <c r="A305" s="4" t="s">
        <v>113</v>
      </c>
      <c r="B305" s="1">
        <v>5.52</v>
      </c>
      <c r="C305" s="1">
        <v>279</v>
      </c>
      <c r="D305" s="1" t="s">
        <v>11</v>
      </c>
      <c r="E305" s="1" t="s">
        <v>26</v>
      </c>
      <c r="F305" s="1">
        <f t="shared" si="10"/>
        <v>552</v>
      </c>
      <c r="G305" s="5">
        <f t="shared" si="9"/>
        <v>0.50543478260869568</v>
      </c>
    </row>
    <row r="306" spans="1:7" ht="13">
      <c r="A306" s="4" t="s">
        <v>113</v>
      </c>
      <c r="B306" s="1">
        <v>5.2</v>
      </c>
      <c r="C306" s="1">
        <v>210</v>
      </c>
      <c r="D306" s="1" t="s">
        <v>43</v>
      </c>
      <c r="E306" s="1" t="s">
        <v>18</v>
      </c>
      <c r="F306" s="1">
        <f t="shared" si="10"/>
        <v>520</v>
      </c>
      <c r="G306" s="5">
        <f t="shared" si="9"/>
        <v>0.40384615384615385</v>
      </c>
    </row>
    <row r="307" spans="1:7" ht="13">
      <c r="A307" s="4" t="s">
        <v>113</v>
      </c>
      <c r="B307" s="1">
        <v>6.96</v>
      </c>
      <c r="C307" s="1">
        <v>316</v>
      </c>
      <c r="D307" s="1" t="s">
        <v>11</v>
      </c>
      <c r="E307" s="1" t="s">
        <v>20</v>
      </c>
      <c r="F307" s="1">
        <f t="shared" si="10"/>
        <v>696</v>
      </c>
      <c r="G307" s="5">
        <f t="shared" si="9"/>
        <v>0.45402298850574713</v>
      </c>
    </row>
    <row r="308" spans="1:7" ht="13">
      <c r="A308" s="4" t="s">
        <v>113</v>
      </c>
      <c r="B308" s="1">
        <v>7.39</v>
      </c>
      <c r="C308" s="1">
        <v>251</v>
      </c>
      <c r="D308" s="1" t="s">
        <v>52</v>
      </c>
      <c r="E308" s="1" t="s">
        <v>25</v>
      </c>
      <c r="F308" s="1">
        <f t="shared" si="10"/>
        <v>739</v>
      </c>
      <c r="G308" s="5">
        <f t="shared" si="9"/>
        <v>0.33964817320703655</v>
      </c>
    </row>
    <row r="309" spans="1:7" ht="13">
      <c r="A309" s="4" t="s">
        <v>113</v>
      </c>
      <c r="B309" s="1">
        <v>6.88</v>
      </c>
      <c r="C309" s="1">
        <v>230</v>
      </c>
      <c r="D309" s="1" t="s">
        <v>33</v>
      </c>
      <c r="E309" s="1" t="s">
        <v>8</v>
      </c>
      <c r="F309" s="1">
        <f t="shared" si="10"/>
        <v>688</v>
      </c>
      <c r="G309" s="5">
        <f t="shared" si="9"/>
        <v>0.33430232558139533</v>
      </c>
    </row>
    <row r="310" spans="1:7" ht="13">
      <c r="A310" s="4" t="s">
        <v>113</v>
      </c>
      <c r="B310" s="1">
        <v>4.8</v>
      </c>
      <c r="C310" s="1">
        <v>122</v>
      </c>
      <c r="D310" s="1" t="s">
        <v>11</v>
      </c>
      <c r="E310" s="1" t="s">
        <v>10</v>
      </c>
      <c r="F310" s="1">
        <f t="shared" si="10"/>
        <v>480</v>
      </c>
      <c r="G310" s="5">
        <f t="shared" si="9"/>
        <v>0.25416666666666665</v>
      </c>
    </row>
    <row r="311" spans="1:7" ht="13">
      <c r="A311" s="4" t="s">
        <v>113</v>
      </c>
      <c r="B311" s="1">
        <v>5.5</v>
      </c>
      <c r="C311" s="1">
        <v>192</v>
      </c>
      <c r="D311" s="1" t="s">
        <v>43</v>
      </c>
      <c r="E311" s="1" t="s">
        <v>25</v>
      </c>
      <c r="F311" s="1">
        <f t="shared" si="10"/>
        <v>550</v>
      </c>
      <c r="G311" s="5">
        <f t="shared" si="9"/>
        <v>0.34909090909090912</v>
      </c>
    </row>
    <row r="312" spans="1:7" ht="13">
      <c r="A312" s="4" t="s">
        <v>113</v>
      </c>
      <c r="B312" s="1">
        <v>9</v>
      </c>
      <c r="C312" s="1">
        <v>240.34</v>
      </c>
      <c r="D312" s="1" t="s">
        <v>33</v>
      </c>
      <c r="E312" s="1" t="s">
        <v>12</v>
      </c>
      <c r="F312" s="1">
        <f t="shared" si="10"/>
        <v>900</v>
      </c>
      <c r="G312" s="5">
        <f t="shared" si="9"/>
        <v>0.26704444444444447</v>
      </c>
    </row>
    <row r="313" spans="1:7" ht="13">
      <c r="A313" s="4" t="s">
        <v>114</v>
      </c>
      <c r="B313" s="1">
        <v>7.5</v>
      </c>
      <c r="C313" s="1">
        <v>402</v>
      </c>
      <c r="D313" s="1" t="s">
        <v>11</v>
      </c>
      <c r="E313" s="1" t="s">
        <v>7</v>
      </c>
      <c r="F313" s="1">
        <f t="shared" si="10"/>
        <v>750</v>
      </c>
      <c r="G313" s="5">
        <f t="shared" si="9"/>
        <v>0.53600000000000003</v>
      </c>
    </row>
    <row r="314" spans="1:7" ht="13">
      <c r="A314" s="4" t="s">
        <v>114</v>
      </c>
      <c r="B314" s="1">
        <v>5.2</v>
      </c>
      <c r="C314" s="1">
        <v>366.3</v>
      </c>
      <c r="D314" s="1" t="s">
        <v>39</v>
      </c>
      <c r="E314" s="1" t="s">
        <v>25</v>
      </c>
      <c r="F314" s="1">
        <f t="shared" si="10"/>
        <v>520</v>
      </c>
      <c r="G314" s="5">
        <f t="shared" si="9"/>
        <v>0.70442307692307693</v>
      </c>
    </row>
    <row r="315" spans="1:7" ht="13">
      <c r="A315" s="4" t="s">
        <v>114</v>
      </c>
      <c r="B315" s="1">
        <v>5.6</v>
      </c>
      <c r="C315" s="1">
        <v>291</v>
      </c>
      <c r="D315" s="1" t="s">
        <v>33</v>
      </c>
      <c r="E315" s="1" t="s">
        <v>16</v>
      </c>
      <c r="F315" s="1">
        <f t="shared" si="10"/>
        <v>560</v>
      </c>
      <c r="G315" s="5">
        <f t="shared" si="9"/>
        <v>0.51964285714285718</v>
      </c>
    </row>
    <row r="316" spans="1:7" ht="13">
      <c r="A316" s="4" t="s">
        <v>114</v>
      </c>
      <c r="B316" s="1">
        <v>8</v>
      </c>
      <c r="C316" s="1">
        <v>431</v>
      </c>
      <c r="D316" s="1" t="s">
        <v>33</v>
      </c>
      <c r="E316" s="1" t="s">
        <v>17</v>
      </c>
      <c r="F316" s="1">
        <f t="shared" si="10"/>
        <v>800</v>
      </c>
      <c r="G316" s="5">
        <f t="shared" si="9"/>
        <v>0.53874999999999995</v>
      </c>
    </row>
    <row r="317" spans="1:7" ht="13">
      <c r="A317" s="4" t="s">
        <v>114</v>
      </c>
      <c r="B317" s="1">
        <v>6</v>
      </c>
      <c r="C317" s="1">
        <v>360</v>
      </c>
      <c r="D317" s="1" t="s">
        <v>11</v>
      </c>
      <c r="E317" s="1" t="s">
        <v>9</v>
      </c>
      <c r="F317" s="1">
        <f t="shared" si="10"/>
        <v>600</v>
      </c>
      <c r="G317" s="5">
        <f t="shared" si="9"/>
        <v>0.6</v>
      </c>
    </row>
    <row r="318" spans="1:7" ht="13">
      <c r="A318" s="4" t="s">
        <v>114</v>
      </c>
      <c r="B318" s="1">
        <v>9.1</v>
      </c>
      <c r="C318" s="1">
        <v>548</v>
      </c>
      <c r="D318" s="1" t="s">
        <v>44</v>
      </c>
      <c r="E318" s="1" t="s">
        <v>8</v>
      </c>
      <c r="F318" s="1">
        <f t="shared" si="10"/>
        <v>910</v>
      </c>
      <c r="G318" s="5">
        <f t="shared" si="9"/>
        <v>0.60219780219780217</v>
      </c>
    </row>
    <row r="319" spans="1:7" ht="13">
      <c r="A319" s="4" t="s">
        <v>114</v>
      </c>
      <c r="B319" s="1">
        <v>5.4</v>
      </c>
      <c r="C319" s="1">
        <v>432</v>
      </c>
      <c r="D319" s="1" t="s">
        <v>11</v>
      </c>
      <c r="E319" s="1" t="s">
        <v>8</v>
      </c>
      <c r="F319" s="1">
        <f t="shared" si="10"/>
        <v>540</v>
      </c>
      <c r="G319" s="5">
        <f t="shared" si="9"/>
        <v>0.8</v>
      </c>
    </row>
    <row r="320" spans="1:7" ht="13">
      <c r="A320" s="4" t="s">
        <v>114</v>
      </c>
      <c r="B320" s="1">
        <v>5</v>
      </c>
      <c r="C320" s="1">
        <v>421</v>
      </c>
      <c r="D320" s="1" t="s">
        <v>11</v>
      </c>
      <c r="E320" s="1" t="s">
        <v>8</v>
      </c>
      <c r="F320" s="1">
        <f t="shared" si="10"/>
        <v>500</v>
      </c>
      <c r="G320" s="5">
        <f t="shared" si="9"/>
        <v>0.84199999999999997</v>
      </c>
    </row>
    <row r="321" spans="1:7" ht="13">
      <c r="A321" s="4" t="s">
        <v>114</v>
      </c>
      <c r="B321" s="1">
        <v>7</v>
      </c>
      <c r="C321" s="1">
        <v>402</v>
      </c>
      <c r="D321" s="1" t="s">
        <v>33</v>
      </c>
      <c r="E321" s="1" t="s">
        <v>20</v>
      </c>
      <c r="F321" s="1">
        <f t="shared" si="10"/>
        <v>700</v>
      </c>
      <c r="G321" s="5">
        <f t="shared" si="9"/>
        <v>0.57428571428571429</v>
      </c>
    </row>
    <row r="322" spans="1:7" ht="13">
      <c r="A322" s="4" t="s">
        <v>114</v>
      </c>
      <c r="B322" s="1">
        <v>5.2</v>
      </c>
      <c r="C322" s="1">
        <v>256</v>
      </c>
      <c r="D322" s="1" t="s">
        <v>59</v>
      </c>
      <c r="E322" s="1" t="s">
        <v>16</v>
      </c>
      <c r="F322" s="1">
        <f t="shared" si="10"/>
        <v>520</v>
      </c>
      <c r="G322" s="5">
        <f t="shared" ref="G322:G385" si="11">C322/F322</f>
        <v>0.49230769230769234</v>
      </c>
    </row>
    <row r="323" spans="1:7" ht="13">
      <c r="A323" s="4" t="s">
        <v>114</v>
      </c>
      <c r="B323" s="1">
        <v>6</v>
      </c>
      <c r="C323" s="1">
        <v>372</v>
      </c>
      <c r="D323" s="1" t="s">
        <v>11</v>
      </c>
      <c r="E323" s="1" t="s">
        <v>68</v>
      </c>
      <c r="F323" s="1">
        <f t="shared" si="10"/>
        <v>600</v>
      </c>
      <c r="G323" s="5">
        <f t="shared" si="11"/>
        <v>0.62</v>
      </c>
    </row>
    <row r="324" spans="1:7" ht="13">
      <c r="A324" s="4" t="s">
        <v>114</v>
      </c>
      <c r="B324" s="1">
        <v>8</v>
      </c>
      <c r="C324" s="1">
        <v>312</v>
      </c>
      <c r="D324" s="1" t="s">
        <v>40</v>
      </c>
      <c r="E324" s="1" t="s">
        <v>27</v>
      </c>
      <c r="F324" s="1">
        <f t="shared" si="10"/>
        <v>800</v>
      </c>
      <c r="G324" s="5">
        <f t="shared" si="11"/>
        <v>0.39</v>
      </c>
    </row>
    <row r="325" spans="1:7" ht="13">
      <c r="A325" s="4" t="s">
        <v>114</v>
      </c>
      <c r="B325" s="1">
        <v>5.915</v>
      </c>
      <c r="C325" s="1">
        <v>335</v>
      </c>
      <c r="D325" s="1" t="s">
        <v>55</v>
      </c>
      <c r="E325" s="1" t="s">
        <v>24</v>
      </c>
      <c r="F325" s="1">
        <f t="shared" si="10"/>
        <v>591.5</v>
      </c>
      <c r="G325" s="5">
        <f t="shared" si="11"/>
        <v>0.56635672020287409</v>
      </c>
    </row>
    <row r="326" spans="1:7" ht="13">
      <c r="A326" s="4" t="s">
        <v>114</v>
      </c>
      <c r="B326" s="1">
        <v>6.4</v>
      </c>
      <c r="C326" s="1">
        <v>415</v>
      </c>
      <c r="D326" s="1" t="s">
        <v>11</v>
      </c>
      <c r="E326" s="1" t="s">
        <v>25</v>
      </c>
      <c r="F326" s="1">
        <f t="shared" si="10"/>
        <v>640</v>
      </c>
      <c r="G326" s="5">
        <f t="shared" si="11"/>
        <v>0.6484375</v>
      </c>
    </row>
    <row r="327" spans="1:7" ht="13">
      <c r="A327" s="4" t="s">
        <v>114</v>
      </c>
      <c r="B327" s="1">
        <v>5.22</v>
      </c>
      <c r="C327" s="1">
        <v>331</v>
      </c>
      <c r="D327" s="1" t="s">
        <v>50</v>
      </c>
      <c r="E327" s="1" t="s">
        <v>16</v>
      </c>
      <c r="F327" s="1">
        <f t="shared" si="10"/>
        <v>522</v>
      </c>
      <c r="G327" s="5">
        <f t="shared" si="11"/>
        <v>0.63409961685823757</v>
      </c>
    </row>
    <row r="328" spans="1:7" ht="13">
      <c r="A328" s="4" t="s">
        <v>114</v>
      </c>
      <c r="B328" s="1">
        <v>5.4</v>
      </c>
      <c r="C328" s="1">
        <v>364</v>
      </c>
      <c r="D328" s="1" t="s">
        <v>33</v>
      </c>
      <c r="E328" s="1" t="s">
        <v>17</v>
      </c>
      <c r="F328" s="1">
        <f t="shared" si="10"/>
        <v>540</v>
      </c>
      <c r="G328" s="5">
        <f t="shared" si="11"/>
        <v>0.67407407407407405</v>
      </c>
    </row>
    <row r="329" spans="1:7" ht="13">
      <c r="A329" s="4" t="s">
        <v>114</v>
      </c>
      <c r="B329" s="1">
        <v>6.03</v>
      </c>
      <c r="C329" s="1">
        <v>432</v>
      </c>
      <c r="D329" s="1" t="s">
        <v>47</v>
      </c>
      <c r="E329" s="1" t="s">
        <v>20</v>
      </c>
      <c r="F329" s="1">
        <f t="shared" si="10"/>
        <v>603</v>
      </c>
      <c r="G329" s="5">
        <f t="shared" si="11"/>
        <v>0.71641791044776115</v>
      </c>
    </row>
    <row r="330" spans="1:7" ht="13">
      <c r="A330" s="4" t="s">
        <v>114</v>
      </c>
      <c r="B330" s="1">
        <v>5</v>
      </c>
      <c r="C330" s="1">
        <v>256</v>
      </c>
      <c r="D330" s="1" t="s">
        <v>33</v>
      </c>
      <c r="E330" s="1" t="s">
        <v>15</v>
      </c>
      <c r="F330" s="1">
        <f t="shared" si="10"/>
        <v>500</v>
      </c>
      <c r="G330" s="5">
        <f t="shared" si="11"/>
        <v>0.51200000000000001</v>
      </c>
    </row>
    <row r="331" spans="1:7" ht="13">
      <c r="A331" s="4" t="s">
        <v>114</v>
      </c>
      <c r="B331" s="1">
        <v>4</v>
      </c>
      <c r="C331" s="1">
        <v>231</v>
      </c>
      <c r="D331" s="1" t="s">
        <v>33</v>
      </c>
      <c r="E331" s="1" t="s">
        <v>8</v>
      </c>
      <c r="F331" s="1">
        <f t="shared" si="10"/>
        <v>400</v>
      </c>
      <c r="G331" s="5">
        <f t="shared" si="11"/>
        <v>0.57750000000000001</v>
      </c>
    </row>
    <row r="332" spans="1:7" ht="13">
      <c r="A332" s="4" t="s">
        <v>114</v>
      </c>
      <c r="B332" s="1">
        <v>4</v>
      </c>
      <c r="C332" s="1">
        <v>319</v>
      </c>
      <c r="D332" s="1" t="s">
        <v>11</v>
      </c>
      <c r="E332" s="1" t="s">
        <v>24</v>
      </c>
      <c r="F332" s="1">
        <f t="shared" si="10"/>
        <v>400</v>
      </c>
      <c r="G332" s="5">
        <f t="shared" si="11"/>
        <v>0.79749999999999999</v>
      </c>
    </row>
    <row r="333" spans="1:7" ht="13">
      <c r="A333" s="4" t="s">
        <v>114</v>
      </c>
      <c r="B333" s="1">
        <v>6.9</v>
      </c>
      <c r="C333" s="1">
        <v>339.9</v>
      </c>
      <c r="D333" s="1" t="s">
        <v>38</v>
      </c>
      <c r="E333" s="1" t="s">
        <v>30</v>
      </c>
      <c r="F333" s="1">
        <f t="shared" si="10"/>
        <v>690</v>
      </c>
      <c r="G333" s="5">
        <f t="shared" si="11"/>
        <v>0.49260869565217386</v>
      </c>
    </row>
    <row r="334" spans="1:7" ht="13">
      <c r="A334" s="4" t="s">
        <v>114</v>
      </c>
      <c r="B334" s="1">
        <v>5.8</v>
      </c>
      <c r="C334" s="1">
        <v>5</v>
      </c>
      <c r="D334" s="1" t="s">
        <v>58</v>
      </c>
      <c r="E334" s="1" t="s">
        <v>12</v>
      </c>
      <c r="F334" s="1">
        <f t="shared" si="10"/>
        <v>580</v>
      </c>
      <c r="G334" s="5">
        <f t="shared" si="11"/>
        <v>8.6206896551724137E-3</v>
      </c>
    </row>
    <row r="335" spans="1:7" ht="13">
      <c r="A335" s="4" t="s">
        <v>114</v>
      </c>
      <c r="B335" s="1">
        <v>6.4</v>
      </c>
      <c r="C335" s="1">
        <v>416</v>
      </c>
      <c r="D335" s="1" t="s">
        <v>42</v>
      </c>
      <c r="E335" s="1" t="s">
        <v>18</v>
      </c>
      <c r="F335" s="1">
        <f t="shared" si="10"/>
        <v>640</v>
      </c>
      <c r="G335" s="5">
        <f t="shared" si="11"/>
        <v>0.65</v>
      </c>
    </row>
    <row r="336" spans="1:7" ht="13">
      <c r="A336" s="4" t="s">
        <v>114</v>
      </c>
      <c r="B336" s="1">
        <v>7.7</v>
      </c>
      <c r="C336" s="1">
        <v>529</v>
      </c>
      <c r="D336" s="1" t="s">
        <v>11</v>
      </c>
      <c r="E336" s="1" t="s">
        <v>49</v>
      </c>
      <c r="F336" s="1">
        <f t="shared" si="10"/>
        <v>770</v>
      </c>
      <c r="G336" s="5">
        <f t="shared" si="11"/>
        <v>0.68701298701298696</v>
      </c>
    </row>
    <row r="337" spans="1:7" ht="13">
      <c r="A337" s="4" t="s">
        <v>114</v>
      </c>
      <c r="B337" s="1">
        <v>3.6</v>
      </c>
      <c r="C337" s="1">
        <v>205</v>
      </c>
      <c r="D337" s="1" t="s">
        <v>44</v>
      </c>
      <c r="E337" s="1" t="s">
        <v>15</v>
      </c>
      <c r="F337" s="1">
        <f t="shared" si="10"/>
        <v>360</v>
      </c>
      <c r="G337" s="5">
        <f t="shared" si="11"/>
        <v>0.56944444444444442</v>
      </c>
    </row>
    <row r="338" spans="1:7" ht="13">
      <c r="A338" s="4" t="s">
        <v>114</v>
      </c>
      <c r="B338" s="1">
        <v>6.9</v>
      </c>
      <c r="C338" s="1">
        <v>339.9</v>
      </c>
      <c r="D338" s="1" t="s">
        <v>38</v>
      </c>
      <c r="E338" s="1" t="s">
        <v>30</v>
      </c>
      <c r="F338" s="1">
        <f t="shared" si="10"/>
        <v>690</v>
      </c>
      <c r="G338" s="5">
        <f t="shared" si="11"/>
        <v>0.49260869565217386</v>
      </c>
    </row>
    <row r="339" spans="1:7" ht="13">
      <c r="A339" s="4" t="s">
        <v>114</v>
      </c>
      <c r="B339" s="1">
        <v>9.4600000000000009</v>
      </c>
      <c r="C339" s="1">
        <v>538</v>
      </c>
      <c r="D339" s="1" t="s">
        <v>52</v>
      </c>
      <c r="E339" s="1" t="s">
        <v>18</v>
      </c>
      <c r="F339" s="1">
        <f t="shared" si="10"/>
        <v>946.00000000000011</v>
      </c>
      <c r="G339" s="5">
        <f t="shared" si="11"/>
        <v>0.56871035940803372</v>
      </c>
    </row>
    <row r="340" spans="1:7" ht="13">
      <c r="A340" s="4" t="s">
        <v>114</v>
      </c>
      <c r="B340" s="1">
        <v>4.0999999999999996</v>
      </c>
      <c r="C340" s="1">
        <v>267</v>
      </c>
      <c r="D340" s="1" t="s">
        <v>43</v>
      </c>
      <c r="E340" s="1" t="s">
        <v>25</v>
      </c>
      <c r="F340" s="1">
        <f t="shared" si="10"/>
        <v>409.99999999999994</v>
      </c>
      <c r="G340" s="5">
        <f t="shared" si="11"/>
        <v>0.65121951219512209</v>
      </c>
    </row>
    <row r="341" spans="1:7" ht="13">
      <c r="A341" s="4" t="s">
        <v>114</v>
      </c>
      <c r="B341" s="1">
        <v>10</v>
      </c>
      <c r="C341" s="1">
        <v>500</v>
      </c>
      <c r="D341" s="1" t="s">
        <v>33</v>
      </c>
      <c r="E341" s="1" t="s">
        <v>21</v>
      </c>
      <c r="F341" s="1">
        <f t="shared" si="10"/>
        <v>1000</v>
      </c>
      <c r="G341" s="5">
        <f t="shared" si="11"/>
        <v>0.5</v>
      </c>
    </row>
    <row r="342" spans="1:7" ht="13">
      <c r="A342" s="4" t="s">
        <v>114</v>
      </c>
      <c r="B342" s="1">
        <v>5.22</v>
      </c>
      <c r="C342" s="1">
        <v>322</v>
      </c>
      <c r="D342" s="1" t="s">
        <v>34</v>
      </c>
      <c r="E342" s="1" t="s">
        <v>21</v>
      </c>
      <c r="F342" s="1">
        <f t="shared" si="10"/>
        <v>522</v>
      </c>
      <c r="G342" s="5">
        <f t="shared" si="11"/>
        <v>0.61685823754789271</v>
      </c>
    </row>
    <row r="343" spans="1:7" ht="13">
      <c r="A343" s="4" t="s">
        <v>114</v>
      </c>
      <c r="B343" s="1">
        <v>8.5</v>
      </c>
      <c r="C343" s="1">
        <v>440</v>
      </c>
      <c r="D343" s="1" t="s">
        <v>33</v>
      </c>
      <c r="E343" s="1" t="s">
        <v>46</v>
      </c>
      <c r="F343" s="1">
        <f t="shared" si="10"/>
        <v>850</v>
      </c>
      <c r="G343" s="5">
        <f t="shared" si="11"/>
        <v>0.51764705882352946</v>
      </c>
    </row>
    <row r="344" spans="1:7" ht="13">
      <c r="A344" s="4" t="s">
        <v>114</v>
      </c>
      <c r="B344" s="1">
        <v>6.2</v>
      </c>
      <c r="C344" s="1">
        <v>362.8</v>
      </c>
      <c r="D344" s="1" t="s">
        <v>47</v>
      </c>
      <c r="E344" s="1" t="s">
        <v>24</v>
      </c>
      <c r="F344" s="1">
        <f t="shared" si="10"/>
        <v>620</v>
      </c>
      <c r="G344" s="5">
        <f t="shared" si="11"/>
        <v>0.58516129032258068</v>
      </c>
    </row>
    <row r="345" spans="1:7" ht="13">
      <c r="A345" s="4" t="s">
        <v>114</v>
      </c>
      <c r="B345" s="1">
        <v>396</v>
      </c>
      <c r="C345" s="1">
        <v>7.74</v>
      </c>
      <c r="D345" s="1" t="s">
        <v>40</v>
      </c>
      <c r="E345" s="1" t="s">
        <v>8</v>
      </c>
      <c r="F345" s="1">
        <f t="shared" si="10"/>
        <v>39600</v>
      </c>
      <c r="G345" s="5">
        <f t="shared" si="11"/>
        <v>1.9545454545454545E-4</v>
      </c>
    </row>
    <row r="346" spans="1:7" ht="13">
      <c r="A346" s="4" t="s">
        <v>114</v>
      </c>
      <c r="B346" s="1">
        <v>6</v>
      </c>
      <c r="C346" s="1">
        <v>371</v>
      </c>
      <c r="D346" s="1" t="s">
        <v>11</v>
      </c>
      <c r="E346" s="1" t="s">
        <v>19</v>
      </c>
      <c r="F346" s="1">
        <f t="shared" si="10"/>
        <v>600</v>
      </c>
      <c r="G346" s="5">
        <f t="shared" si="11"/>
        <v>0.61833333333333329</v>
      </c>
    </row>
    <row r="347" spans="1:7" ht="13">
      <c r="A347" s="4" t="s">
        <v>114</v>
      </c>
      <c r="B347" s="1">
        <v>6.8</v>
      </c>
      <c r="C347" s="1">
        <v>454</v>
      </c>
      <c r="D347" s="1" t="s">
        <v>11</v>
      </c>
      <c r="E347" s="1" t="s">
        <v>31</v>
      </c>
      <c r="F347" s="1">
        <f t="shared" si="10"/>
        <v>680</v>
      </c>
      <c r="G347" s="5">
        <f t="shared" si="11"/>
        <v>0.66764705882352937</v>
      </c>
    </row>
    <row r="348" spans="1:7" ht="13">
      <c r="A348" s="4" t="s">
        <v>114</v>
      </c>
      <c r="B348" s="1">
        <v>7.2</v>
      </c>
      <c r="C348" s="1">
        <v>485</v>
      </c>
      <c r="D348" s="1" t="s">
        <v>33</v>
      </c>
      <c r="E348" s="1" t="s">
        <v>8</v>
      </c>
      <c r="F348" s="1">
        <f t="shared" si="10"/>
        <v>720</v>
      </c>
      <c r="G348" s="5">
        <f t="shared" si="11"/>
        <v>0.67361111111111116</v>
      </c>
    </row>
    <row r="349" spans="1:7" ht="13">
      <c r="A349" s="4" t="s">
        <v>114</v>
      </c>
      <c r="B349" s="1">
        <v>5.0999999999999996</v>
      </c>
      <c r="C349" s="1">
        <v>375</v>
      </c>
      <c r="D349" s="1" t="s">
        <v>11</v>
      </c>
      <c r="E349" s="1" t="s">
        <v>9</v>
      </c>
      <c r="F349" s="1">
        <f t="shared" si="10"/>
        <v>509.99999999999994</v>
      </c>
      <c r="G349" s="5">
        <f t="shared" si="11"/>
        <v>0.73529411764705888</v>
      </c>
    </row>
    <row r="350" spans="1:7" ht="13">
      <c r="A350" s="4" t="s">
        <v>114</v>
      </c>
      <c r="B350" s="1">
        <v>3.4</v>
      </c>
      <c r="C350" s="1">
        <v>220</v>
      </c>
      <c r="D350" s="1" t="s">
        <v>11</v>
      </c>
      <c r="E350" s="1" t="s">
        <v>15</v>
      </c>
      <c r="F350" s="1">
        <f t="shared" si="10"/>
        <v>340</v>
      </c>
      <c r="G350" s="5">
        <f t="shared" si="11"/>
        <v>0.6470588235294118</v>
      </c>
    </row>
    <row r="351" spans="1:7" ht="13">
      <c r="A351" s="4" t="s">
        <v>114</v>
      </c>
      <c r="B351" s="1">
        <v>10.3</v>
      </c>
      <c r="C351" s="1">
        <v>600</v>
      </c>
      <c r="D351" s="1" t="s">
        <v>37</v>
      </c>
      <c r="E351" s="1" t="s">
        <v>26</v>
      </c>
      <c r="F351" s="1">
        <f t="shared" si="10"/>
        <v>1030</v>
      </c>
      <c r="G351" s="5">
        <f t="shared" si="11"/>
        <v>0.58252427184466016</v>
      </c>
    </row>
    <row r="352" spans="1:7" ht="13">
      <c r="A352" s="4" t="s">
        <v>114</v>
      </c>
      <c r="B352" s="1">
        <v>5.81</v>
      </c>
      <c r="C352" s="1">
        <v>407</v>
      </c>
      <c r="D352" s="1" t="s">
        <v>38</v>
      </c>
      <c r="E352" s="1" t="s">
        <v>8</v>
      </c>
      <c r="F352" s="1">
        <f t="shared" ref="F352:F415" si="12">B352*100</f>
        <v>581</v>
      </c>
      <c r="G352" s="5">
        <f t="shared" si="11"/>
        <v>0.70051635111876076</v>
      </c>
    </row>
    <row r="353" spans="1:7" ht="13">
      <c r="A353" s="4" t="s">
        <v>114</v>
      </c>
      <c r="B353" s="1">
        <v>5.4</v>
      </c>
      <c r="C353" s="1">
        <v>251.4</v>
      </c>
      <c r="D353" s="1" t="s">
        <v>53</v>
      </c>
      <c r="E353" s="1" t="s">
        <v>25</v>
      </c>
      <c r="F353" s="1">
        <f t="shared" si="12"/>
        <v>540</v>
      </c>
      <c r="G353" s="5">
        <f t="shared" si="11"/>
        <v>0.46555555555555556</v>
      </c>
    </row>
    <row r="354" spans="1:7" ht="13">
      <c r="A354" s="4" t="s">
        <v>114</v>
      </c>
      <c r="B354" s="1">
        <v>2.87</v>
      </c>
      <c r="C354" s="1">
        <v>234</v>
      </c>
      <c r="D354" s="1" t="s">
        <v>11</v>
      </c>
      <c r="E354" s="1" t="s">
        <v>8</v>
      </c>
      <c r="F354" s="1">
        <f t="shared" si="12"/>
        <v>287</v>
      </c>
      <c r="G354" s="5">
        <f t="shared" si="11"/>
        <v>0.81533101045296164</v>
      </c>
    </row>
    <row r="355" spans="1:7" ht="13">
      <c r="A355" s="4" t="s">
        <v>114</v>
      </c>
      <c r="B355" s="1">
        <v>6.4</v>
      </c>
      <c r="C355" s="1">
        <v>333</v>
      </c>
      <c r="D355" s="1" t="s">
        <v>70</v>
      </c>
      <c r="E355" s="1" t="s">
        <v>8</v>
      </c>
      <c r="F355" s="1">
        <f t="shared" si="12"/>
        <v>640</v>
      </c>
      <c r="G355" s="5">
        <f t="shared" si="11"/>
        <v>0.52031249999999996</v>
      </c>
    </row>
    <row r="356" spans="1:7" ht="13">
      <c r="A356" s="4" t="s">
        <v>114</v>
      </c>
      <c r="B356" s="1">
        <v>6.3</v>
      </c>
      <c r="C356" s="1">
        <v>166</v>
      </c>
      <c r="D356" s="1" t="s">
        <v>38</v>
      </c>
      <c r="E356" s="1" t="s">
        <v>15</v>
      </c>
      <c r="F356" s="1">
        <f t="shared" si="12"/>
        <v>630</v>
      </c>
      <c r="G356" s="5">
        <f t="shared" si="11"/>
        <v>0.2634920634920635</v>
      </c>
    </row>
    <row r="357" spans="1:7" ht="13">
      <c r="A357" s="4" t="s">
        <v>114</v>
      </c>
      <c r="B357" s="1">
        <v>4.9000000000000004</v>
      </c>
      <c r="C357" s="1">
        <v>313</v>
      </c>
      <c r="D357" s="1" t="s">
        <v>44</v>
      </c>
      <c r="E357" s="1" t="s">
        <v>15</v>
      </c>
      <c r="F357" s="1">
        <f t="shared" si="12"/>
        <v>490.00000000000006</v>
      </c>
      <c r="G357" s="5">
        <f t="shared" si="11"/>
        <v>0.63877551020408152</v>
      </c>
    </row>
    <row r="358" spans="1:7" ht="13">
      <c r="A358" s="4" t="s">
        <v>114</v>
      </c>
      <c r="B358" s="1">
        <v>6.33</v>
      </c>
      <c r="C358" s="1">
        <v>420</v>
      </c>
      <c r="D358" s="1" t="s">
        <v>67</v>
      </c>
      <c r="E358" s="1" t="s">
        <v>62</v>
      </c>
      <c r="F358" s="1">
        <f t="shared" si="12"/>
        <v>633</v>
      </c>
      <c r="G358" s="5">
        <f t="shared" si="11"/>
        <v>0.6635071090047393</v>
      </c>
    </row>
    <row r="359" spans="1:7" ht="13">
      <c r="A359" s="4" t="s">
        <v>114</v>
      </c>
      <c r="B359" s="1">
        <v>6.4</v>
      </c>
      <c r="C359" s="1">
        <v>463</v>
      </c>
      <c r="D359" s="1" t="s">
        <v>11</v>
      </c>
      <c r="E359" s="1" t="s">
        <v>8</v>
      </c>
      <c r="F359" s="1">
        <f t="shared" si="12"/>
        <v>640</v>
      </c>
      <c r="G359" s="5">
        <f t="shared" si="11"/>
        <v>0.72343749999999996</v>
      </c>
    </row>
    <row r="360" spans="1:7" ht="13">
      <c r="A360" s="4" t="s">
        <v>114</v>
      </c>
      <c r="B360" s="1">
        <v>4.3</v>
      </c>
      <c r="C360" s="1">
        <v>250</v>
      </c>
      <c r="D360" s="1" t="s">
        <v>35</v>
      </c>
      <c r="E360" s="1" t="s">
        <v>10</v>
      </c>
      <c r="F360" s="1">
        <f t="shared" si="12"/>
        <v>430</v>
      </c>
      <c r="G360" s="5">
        <f t="shared" si="11"/>
        <v>0.58139534883720934</v>
      </c>
    </row>
    <row r="361" spans="1:7" ht="13">
      <c r="A361" s="4" t="s">
        <v>114</v>
      </c>
      <c r="B361" s="1">
        <v>4.2</v>
      </c>
      <c r="C361" s="1">
        <v>310</v>
      </c>
      <c r="D361" s="1" t="s">
        <v>11</v>
      </c>
      <c r="E361" s="1" t="s">
        <v>15</v>
      </c>
      <c r="F361" s="1">
        <f t="shared" si="12"/>
        <v>420</v>
      </c>
      <c r="G361" s="5">
        <f t="shared" si="11"/>
        <v>0.73809523809523814</v>
      </c>
    </row>
    <row r="362" spans="1:7" ht="13">
      <c r="A362" s="4" t="s">
        <v>114</v>
      </c>
      <c r="B362" s="1">
        <v>8</v>
      </c>
      <c r="C362" s="1">
        <v>421</v>
      </c>
      <c r="D362" s="1" t="s">
        <v>11</v>
      </c>
      <c r="E362" s="1" t="s">
        <v>22</v>
      </c>
      <c r="F362" s="1">
        <f t="shared" si="12"/>
        <v>800</v>
      </c>
      <c r="G362" s="5">
        <f t="shared" si="11"/>
        <v>0.52625</v>
      </c>
    </row>
    <row r="363" spans="1:7" ht="13">
      <c r="A363" s="4" t="s">
        <v>114</v>
      </c>
      <c r="B363" s="1">
        <v>4300</v>
      </c>
      <c r="C363" s="1">
        <v>337</v>
      </c>
      <c r="D363" s="1" t="s">
        <v>43</v>
      </c>
      <c r="E363" s="1" t="s">
        <v>8</v>
      </c>
      <c r="F363" s="1">
        <f t="shared" si="12"/>
        <v>430000</v>
      </c>
      <c r="G363" s="5">
        <f t="shared" si="11"/>
        <v>7.8372093023255809E-4</v>
      </c>
    </row>
    <row r="364" spans="1:7" ht="13">
      <c r="A364" s="4" t="s">
        <v>114</v>
      </c>
      <c r="B364" s="1">
        <v>7</v>
      </c>
      <c r="C364" s="1">
        <v>502</v>
      </c>
      <c r="D364" s="1" t="s">
        <v>42</v>
      </c>
      <c r="E364" s="1" t="s">
        <v>10</v>
      </c>
      <c r="F364" s="1">
        <f t="shared" si="12"/>
        <v>700</v>
      </c>
      <c r="G364" s="5">
        <f t="shared" si="11"/>
        <v>0.71714285714285719</v>
      </c>
    </row>
    <row r="365" spans="1:7" ht="13">
      <c r="A365" s="4" t="s">
        <v>114</v>
      </c>
      <c r="B365" s="1">
        <v>8.4</v>
      </c>
      <c r="C365" s="1">
        <v>598</v>
      </c>
      <c r="D365" s="1" t="s">
        <v>11</v>
      </c>
      <c r="E365" s="1" t="s">
        <v>24</v>
      </c>
      <c r="F365" s="1">
        <f t="shared" si="12"/>
        <v>840</v>
      </c>
      <c r="G365" s="5">
        <f t="shared" si="11"/>
        <v>0.71190476190476193</v>
      </c>
    </row>
    <row r="366" spans="1:7" ht="13">
      <c r="A366" s="4" t="s">
        <v>114</v>
      </c>
      <c r="B366" s="1">
        <v>4.3</v>
      </c>
      <c r="C366" s="1">
        <v>280</v>
      </c>
      <c r="D366" s="1" t="s">
        <v>43</v>
      </c>
      <c r="E366" s="1" t="s">
        <v>31</v>
      </c>
      <c r="F366" s="1">
        <f t="shared" si="12"/>
        <v>430</v>
      </c>
      <c r="G366" s="5">
        <f t="shared" si="11"/>
        <v>0.65116279069767447</v>
      </c>
    </row>
    <row r="367" spans="1:7" ht="13">
      <c r="A367" s="4" t="s">
        <v>114</v>
      </c>
      <c r="B367" s="1">
        <v>645</v>
      </c>
      <c r="C367" s="1">
        <v>561</v>
      </c>
      <c r="D367" s="1" t="s">
        <v>11</v>
      </c>
      <c r="E367" s="1" t="s">
        <v>8</v>
      </c>
      <c r="F367" s="1">
        <f t="shared" si="12"/>
        <v>64500</v>
      </c>
      <c r="G367" s="5">
        <f t="shared" si="11"/>
        <v>8.6976744186046517E-3</v>
      </c>
    </row>
    <row r="368" spans="1:7" ht="13">
      <c r="A368" s="4" t="s">
        <v>114</v>
      </c>
      <c r="B368" s="1">
        <v>7.7</v>
      </c>
      <c r="C368" s="1">
        <v>479</v>
      </c>
      <c r="D368" s="1" t="s">
        <v>33</v>
      </c>
      <c r="E368" s="1" t="s">
        <v>15</v>
      </c>
      <c r="F368" s="1">
        <f t="shared" si="12"/>
        <v>770</v>
      </c>
      <c r="G368" s="5">
        <f t="shared" si="11"/>
        <v>0.62207792207792212</v>
      </c>
    </row>
    <row r="369" spans="1:7" ht="13">
      <c r="A369" s="4" t="s">
        <v>114</v>
      </c>
      <c r="B369" s="1">
        <v>3.48</v>
      </c>
      <c r="C369" s="1">
        <v>241</v>
      </c>
      <c r="D369" s="1" t="s">
        <v>39</v>
      </c>
      <c r="E369" s="1" t="s">
        <v>15</v>
      </c>
      <c r="F369" s="1">
        <f t="shared" si="12"/>
        <v>348</v>
      </c>
      <c r="G369" s="5">
        <f t="shared" si="11"/>
        <v>0.69252873563218387</v>
      </c>
    </row>
    <row r="370" spans="1:7" ht="13">
      <c r="A370" s="4" t="s">
        <v>114</v>
      </c>
      <c r="B370" s="1">
        <v>7.3</v>
      </c>
      <c r="C370" s="1">
        <v>461</v>
      </c>
      <c r="D370" s="1" t="s">
        <v>38</v>
      </c>
      <c r="E370" s="1" t="s">
        <v>28</v>
      </c>
      <c r="F370" s="1">
        <f t="shared" si="12"/>
        <v>730</v>
      </c>
      <c r="G370" s="5">
        <f t="shared" si="11"/>
        <v>0.63150684931506851</v>
      </c>
    </row>
    <row r="371" spans="1:7" ht="13">
      <c r="A371" s="4" t="s">
        <v>114</v>
      </c>
      <c r="B371" s="1">
        <v>5.88</v>
      </c>
      <c r="C371" s="1">
        <v>356</v>
      </c>
      <c r="D371" s="1" t="s">
        <v>11</v>
      </c>
      <c r="E371" s="1" t="s">
        <v>15</v>
      </c>
      <c r="F371" s="1">
        <f t="shared" si="12"/>
        <v>588</v>
      </c>
      <c r="G371" s="5">
        <f t="shared" si="11"/>
        <v>0.60544217687074831</v>
      </c>
    </row>
    <row r="372" spans="1:7" ht="13">
      <c r="A372" s="4" t="s">
        <v>114</v>
      </c>
      <c r="B372" s="1">
        <v>5.6</v>
      </c>
      <c r="C372" s="1">
        <v>265</v>
      </c>
      <c r="D372" s="1" t="s">
        <v>53</v>
      </c>
      <c r="E372" s="1" t="s">
        <v>8</v>
      </c>
      <c r="F372" s="1">
        <f t="shared" si="12"/>
        <v>560</v>
      </c>
      <c r="G372" s="5">
        <f t="shared" si="11"/>
        <v>0.4732142857142857</v>
      </c>
    </row>
    <row r="373" spans="1:7" ht="13">
      <c r="A373" s="4" t="s">
        <v>114</v>
      </c>
      <c r="B373" s="1">
        <v>4.8600000000000003</v>
      </c>
      <c r="C373" s="1">
        <v>328</v>
      </c>
      <c r="D373" s="1" t="s">
        <v>38</v>
      </c>
      <c r="E373" s="1" t="s">
        <v>15</v>
      </c>
      <c r="F373" s="1">
        <f t="shared" si="12"/>
        <v>486.00000000000006</v>
      </c>
      <c r="G373" s="5">
        <f t="shared" si="11"/>
        <v>0.67489711934156371</v>
      </c>
    </row>
    <row r="374" spans="1:7" ht="13">
      <c r="A374" s="4" t="s">
        <v>114</v>
      </c>
      <c r="B374" s="1">
        <v>4.9000000000000004</v>
      </c>
      <c r="C374" s="1">
        <v>326</v>
      </c>
      <c r="D374" s="1" t="s">
        <v>11</v>
      </c>
      <c r="E374" s="1" t="s">
        <v>8</v>
      </c>
      <c r="F374" s="1">
        <f t="shared" si="12"/>
        <v>490.00000000000006</v>
      </c>
      <c r="G374" s="5">
        <f t="shared" si="11"/>
        <v>0.66530612244897946</v>
      </c>
    </row>
    <row r="375" spans="1:7" ht="13">
      <c r="A375" s="4" t="s">
        <v>114</v>
      </c>
      <c r="B375" s="1">
        <v>6.32</v>
      </c>
      <c r="C375" s="1">
        <v>468</v>
      </c>
      <c r="D375" s="1" t="s">
        <v>11</v>
      </c>
      <c r="E375" s="1" t="s">
        <v>8</v>
      </c>
      <c r="F375" s="1">
        <f t="shared" si="12"/>
        <v>632</v>
      </c>
      <c r="G375" s="5">
        <f t="shared" si="11"/>
        <v>0.740506329113924</v>
      </c>
    </row>
    <row r="376" spans="1:7" ht="13">
      <c r="A376" s="4" t="s">
        <v>114</v>
      </c>
      <c r="B376" s="1">
        <v>6</v>
      </c>
      <c r="C376" s="1">
        <v>412</v>
      </c>
      <c r="D376" s="1" t="s">
        <v>43</v>
      </c>
      <c r="E376" s="1" t="s">
        <v>21</v>
      </c>
      <c r="F376" s="1">
        <f t="shared" si="12"/>
        <v>600</v>
      </c>
      <c r="G376" s="5">
        <f t="shared" si="11"/>
        <v>0.68666666666666665</v>
      </c>
    </row>
    <row r="377" spans="1:7" ht="13">
      <c r="A377" s="4" t="s">
        <v>114</v>
      </c>
      <c r="B377" s="1">
        <v>7.74</v>
      </c>
      <c r="C377" s="1">
        <v>478</v>
      </c>
      <c r="D377" s="1" t="s">
        <v>11</v>
      </c>
      <c r="E377" s="1" t="s">
        <v>25</v>
      </c>
      <c r="F377" s="1">
        <f t="shared" si="12"/>
        <v>774</v>
      </c>
      <c r="G377" s="5">
        <f t="shared" si="11"/>
        <v>0.61757105943152457</v>
      </c>
    </row>
    <row r="378" spans="1:7" ht="13">
      <c r="A378" s="4" t="s">
        <v>114</v>
      </c>
      <c r="B378" s="1">
        <v>7.5</v>
      </c>
      <c r="C378" s="1">
        <v>506</v>
      </c>
      <c r="D378" s="1" t="s">
        <v>11</v>
      </c>
      <c r="E378" s="1" t="s">
        <v>27</v>
      </c>
      <c r="F378" s="1">
        <f t="shared" si="12"/>
        <v>750</v>
      </c>
      <c r="G378" s="5">
        <f t="shared" si="11"/>
        <v>0.67466666666666664</v>
      </c>
    </row>
    <row r="379" spans="1:7" ht="13">
      <c r="A379" s="4" t="s">
        <v>114</v>
      </c>
      <c r="B379" s="1">
        <v>7.3</v>
      </c>
      <c r="C379" s="1">
        <v>453</v>
      </c>
      <c r="D379" s="1" t="s">
        <v>33</v>
      </c>
      <c r="E379" s="1" t="s">
        <v>23</v>
      </c>
      <c r="F379" s="1">
        <f t="shared" si="12"/>
        <v>730</v>
      </c>
      <c r="G379" s="5">
        <f t="shared" si="11"/>
        <v>0.6205479452054794</v>
      </c>
    </row>
    <row r="380" spans="1:7" ht="13">
      <c r="A380" s="4" t="s">
        <v>114</v>
      </c>
      <c r="B380" s="1">
        <v>4897</v>
      </c>
      <c r="C380" s="1">
        <v>407</v>
      </c>
      <c r="D380" s="1" t="s">
        <v>11</v>
      </c>
      <c r="E380" s="1" t="s">
        <v>16</v>
      </c>
      <c r="F380" s="1">
        <f t="shared" si="12"/>
        <v>489700</v>
      </c>
      <c r="G380" s="5">
        <f t="shared" si="11"/>
        <v>8.3112109454768228E-4</v>
      </c>
    </row>
    <row r="381" spans="1:7" ht="13">
      <c r="A381" s="4" t="s">
        <v>114</v>
      </c>
      <c r="B381" s="1">
        <v>6.96</v>
      </c>
      <c r="C381" s="1">
        <v>394</v>
      </c>
      <c r="D381" s="1" t="s">
        <v>33</v>
      </c>
      <c r="E381" s="1" t="s">
        <v>8</v>
      </c>
      <c r="F381" s="1">
        <f t="shared" si="12"/>
        <v>696</v>
      </c>
      <c r="G381" s="5">
        <f t="shared" si="11"/>
        <v>0.56609195402298851</v>
      </c>
    </row>
    <row r="382" spans="1:7" ht="13">
      <c r="A382" s="4" t="s">
        <v>114</v>
      </c>
      <c r="B382" s="1">
        <v>5.12</v>
      </c>
      <c r="C382" s="1">
        <v>268</v>
      </c>
      <c r="D382" s="1" t="s">
        <v>53</v>
      </c>
      <c r="E382" s="1" t="s">
        <v>24</v>
      </c>
      <c r="F382" s="1">
        <f t="shared" si="12"/>
        <v>512</v>
      </c>
      <c r="G382" s="5">
        <f t="shared" si="11"/>
        <v>0.5234375</v>
      </c>
    </row>
    <row r="383" spans="1:7" ht="13">
      <c r="A383" s="4" t="s">
        <v>114</v>
      </c>
      <c r="B383" s="1">
        <v>6.3</v>
      </c>
      <c r="C383" s="1">
        <v>378</v>
      </c>
      <c r="D383" s="1" t="s">
        <v>43</v>
      </c>
      <c r="E383" s="1" t="s">
        <v>29</v>
      </c>
      <c r="F383" s="1">
        <f t="shared" si="12"/>
        <v>630</v>
      </c>
      <c r="G383" s="5">
        <f t="shared" si="11"/>
        <v>0.6</v>
      </c>
    </row>
    <row r="384" spans="1:7" ht="13">
      <c r="A384" s="4" t="s">
        <v>114</v>
      </c>
      <c r="B384" s="1">
        <v>4.3</v>
      </c>
      <c r="C384" s="1">
        <v>214</v>
      </c>
      <c r="D384" s="1" t="s">
        <v>33</v>
      </c>
      <c r="E384" s="1" t="s">
        <v>15</v>
      </c>
      <c r="F384" s="1">
        <f t="shared" si="12"/>
        <v>430</v>
      </c>
      <c r="G384" s="5">
        <f t="shared" si="11"/>
        <v>0.49767441860465117</v>
      </c>
    </row>
    <row r="385" spans="1:7" ht="13">
      <c r="A385" s="4" t="s">
        <v>114</v>
      </c>
      <c r="B385" s="1">
        <v>6.2</v>
      </c>
      <c r="C385" s="1">
        <v>535</v>
      </c>
      <c r="D385" s="1" t="s">
        <v>11</v>
      </c>
      <c r="E385" s="1" t="s">
        <v>10</v>
      </c>
      <c r="F385" s="1">
        <f t="shared" si="12"/>
        <v>620</v>
      </c>
      <c r="G385" s="5">
        <f t="shared" si="11"/>
        <v>0.86290322580645162</v>
      </c>
    </row>
    <row r="386" spans="1:7" ht="13">
      <c r="A386" s="4" t="s">
        <v>114</v>
      </c>
      <c r="B386" s="1">
        <v>6.9</v>
      </c>
      <c r="C386" s="1">
        <v>316</v>
      </c>
      <c r="D386" s="1" t="s">
        <v>11</v>
      </c>
      <c r="E386" s="1" t="s">
        <v>46</v>
      </c>
      <c r="F386" s="1">
        <f t="shared" si="12"/>
        <v>690</v>
      </c>
      <c r="G386" s="5">
        <f t="shared" ref="G386:G449" si="13">C386/F386</f>
        <v>0.45797101449275363</v>
      </c>
    </row>
    <row r="387" spans="1:7" ht="13">
      <c r="A387" s="4" t="s">
        <v>114</v>
      </c>
      <c r="B387" s="1">
        <v>6.72</v>
      </c>
      <c r="C387" s="1">
        <v>444</v>
      </c>
      <c r="D387" s="1" t="s">
        <v>11</v>
      </c>
      <c r="E387" s="1" t="s">
        <v>24</v>
      </c>
      <c r="F387" s="1">
        <f t="shared" si="12"/>
        <v>672</v>
      </c>
      <c r="G387" s="5">
        <f t="shared" si="13"/>
        <v>0.6607142857142857</v>
      </c>
    </row>
    <row r="388" spans="1:7" ht="13">
      <c r="A388" s="4" t="s">
        <v>114</v>
      </c>
      <c r="B388" s="1">
        <v>6.72</v>
      </c>
      <c r="C388" s="1">
        <v>366</v>
      </c>
      <c r="D388" s="1" t="s">
        <v>33</v>
      </c>
      <c r="E388" s="1" t="s">
        <v>12</v>
      </c>
      <c r="F388" s="1">
        <f t="shared" si="12"/>
        <v>672</v>
      </c>
      <c r="G388" s="5">
        <f t="shared" si="13"/>
        <v>0.5446428571428571</v>
      </c>
    </row>
    <row r="389" spans="1:7" ht="13">
      <c r="A389" s="4" t="s">
        <v>114</v>
      </c>
      <c r="B389" s="1">
        <v>5.4</v>
      </c>
      <c r="C389" s="1">
        <v>322</v>
      </c>
      <c r="D389" s="1" t="s">
        <v>55</v>
      </c>
      <c r="E389" s="1" t="s">
        <v>21</v>
      </c>
      <c r="F389" s="1">
        <f t="shared" si="12"/>
        <v>540</v>
      </c>
      <c r="G389" s="5">
        <f t="shared" si="13"/>
        <v>0.59629629629629632</v>
      </c>
    </row>
    <row r="390" spans="1:7" ht="13">
      <c r="A390" s="4" t="s">
        <v>114</v>
      </c>
      <c r="B390" s="1">
        <v>7.2</v>
      </c>
      <c r="C390" s="1">
        <v>351</v>
      </c>
      <c r="D390" s="1" t="s">
        <v>43</v>
      </c>
      <c r="E390" s="1" t="s">
        <v>13</v>
      </c>
      <c r="F390" s="1">
        <f t="shared" si="12"/>
        <v>720</v>
      </c>
      <c r="G390" s="5">
        <f t="shared" si="13"/>
        <v>0.48749999999999999</v>
      </c>
    </row>
    <row r="391" spans="1:7" ht="13">
      <c r="A391" s="4" t="s">
        <v>114</v>
      </c>
      <c r="B391" s="1">
        <v>4.4000000000000004</v>
      </c>
      <c r="C391" s="1">
        <v>283</v>
      </c>
      <c r="D391" s="1" t="s">
        <v>11</v>
      </c>
      <c r="E391" s="1" t="s">
        <v>15</v>
      </c>
      <c r="F391" s="1">
        <f t="shared" si="12"/>
        <v>440.00000000000006</v>
      </c>
      <c r="G391" s="5">
        <f t="shared" si="13"/>
        <v>0.64318181818181808</v>
      </c>
    </row>
    <row r="392" spans="1:7" ht="13">
      <c r="A392" s="4" t="s">
        <v>114</v>
      </c>
      <c r="B392" s="1">
        <v>6.97</v>
      </c>
      <c r="C392" s="1">
        <v>490</v>
      </c>
      <c r="D392" s="1" t="s">
        <v>11</v>
      </c>
      <c r="E392" s="1" t="s">
        <v>8</v>
      </c>
      <c r="F392" s="1">
        <f t="shared" si="12"/>
        <v>697</v>
      </c>
      <c r="G392" s="5">
        <f t="shared" si="13"/>
        <v>0.70301291248206599</v>
      </c>
    </row>
    <row r="393" spans="1:7" ht="13">
      <c r="A393" s="4" t="s">
        <v>114</v>
      </c>
      <c r="B393" s="1">
        <v>11.2</v>
      </c>
      <c r="C393" s="1">
        <v>665</v>
      </c>
      <c r="D393" s="1" t="s">
        <v>42</v>
      </c>
      <c r="E393" s="1" t="s">
        <v>12</v>
      </c>
      <c r="F393" s="1">
        <f t="shared" si="12"/>
        <v>1120</v>
      </c>
      <c r="G393" s="5">
        <f t="shared" si="13"/>
        <v>0.59375</v>
      </c>
    </row>
    <row r="394" spans="1:7" ht="13">
      <c r="A394" s="4" t="s">
        <v>114</v>
      </c>
      <c r="B394" s="1">
        <v>6.7</v>
      </c>
      <c r="C394" s="1">
        <v>391</v>
      </c>
      <c r="D394" s="1" t="s">
        <v>33</v>
      </c>
      <c r="E394" s="1" t="s">
        <v>21</v>
      </c>
      <c r="F394" s="1">
        <f t="shared" si="12"/>
        <v>670</v>
      </c>
      <c r="G394" s="5">
        <f t="shared" si="13"/>
        <v>0.58358208955223878</v>
      </c>
    </row>
    <row r="395" spans="1:7" ht="13">
      <c r="A395" s="4" t="s">
        <v>114</v>
      </c>
      <c r="B395" s="1">
        <v>5</v>
      </c>
      <c r="C395" s="1">
        <v>351</v>
      </c>
      <c r="D395" s="1" t="s">
        <v>42</v>
      </c>
      <c r="E395" s="1" t="s">
        <v>30</v>
      </c>
      <c r="F395" s="1">
        <f t="shared" si="12"/>
        <v>500</v>
      </c>
      <c r="G395" s="5">
        <f t="shared" si="13"/>
        <v>0.70199999999999996</v>
      </c>
    </row>
    <row r="396" spans="1:7" ht="13">
      <c r="A396" s="4" t="s">
        <v>114</v>
      </c>
      <c r="B396" s="1">
        <v>6</v>
      </c>
      <c r="C396" s="1">
        <v>324</v>
      </c>
      <c r="D396" s="1" t="s">
        <v>33</v>
      </c>
      <c r="E396" s="1" t="s">
        <v>21</v>
      </c>
      <c r="F396" s="1">
        <f t="shared" si="12"/>
        <v>600</v>
      </c>
      <c r="G396" s="5">
        <f t="shared" si="13"/>
        <v>0.54</v>
      </c>
    </row>
    <row r="397" spans="1:7" ht="13">
      <c r="A397" s="4" t="s">
        <v>114</v>
      </c>
      <c r="B397" s="1">
        <v>6.02</v>
      </c>
      <c r="C397" s="1">
        <v>376</v>
      </c>
      <c r="D397" s="1" t="s">
        <v>42</v>
      </c>
      <c r="E397" s="1" t="s">
        <v>14</v>
      </c>
      <c r="F397" s="1">
        <f t="shared" si="12"/>
        <v>602</v>
      </c>
      <c r="G397" s="5">
        <f t="shared" si="13"/>
        <v>0.62458471760797341</v>
      </c>
    </row>
    <row r="398" spans="1:7" ht="13">
      <c r="A398" s="4" t="s">
        <v>114</v>
      </c>
      <c r="B398" s="1">
        <v>9.4600000000000009</v>
      </c>
      <c r="C398" s="1">
        <v>697</v>
      </c>
      <c r="D398" s="1" t="s">
        <v>11</v>
      </c>
      <c r="E398" s="1" t="s">
        <v>25</v>
      </c>
      <c r="F398" s="1">
        <f t="shared" si="12"/>
        <v>946.00000000000011</v>
      </c>
      <c r="G398" s="5">
        <f t="shared" si="13"/>
        <v>0.73678646934460879</v>
      </c>
    </row>
    <row r="399" spans="1:7" ht="13">
      <c r="A399" s="4" t="s">
        <v>114</v>
      </c>
      <c r="B399" s="1">
        <v>4.3</v>
      </c>
      <c r="C399" s="1">
        <v>269</v>
      </c>
      <c r="D399" s="1" t="s">
        <v>47</v>
      </c>
      <c r="E399" s="1" t="s">
        <v>15</v>
      </c>
      <c r="F399" s="1">
        <f t="shared" si="12"/>
        <v>430</v>
      </c>
      <c r="G399" s="5">
        <f t="shared" si="13"/>
        <v>0.62558139534883717</v>
      </c>
    </row>
    <row r="400" spans="1:7" ht="13">
      <c r="A400" s="4" t="s">
        <v>114</v>
      </c>
      <c r="B400" s="1">
        <v>7.2</v>
      </c>
      <c r="C400" s="1">
        <v>492</v>
      </c>
      <c r="D400" s="1" t="s">
        <v>11</v>
      </c>
      <c r="E400" s="1" t="s">
        <v>23</v>
      </c>
      <c r="F400" s="1">
        <f t="shared" si="12"/>
        <v>720</v>
      </c>
      <c r="G400" s="5">
        <f t="shared" si="13"/>
        <v>0.68333333333333335</v>
      </c>
    </row>
    <row r="401" spans="1:7" ht="13">
      <c r="A401" s="4" t="s">
        <v>114</v>
      </c>
      <c r="B401" s="1">
        <v>5.28</v>
      </c>
      <c r="C401" s="1">
        <v>264</v>
      </c>
      <c r="D401" s="1" t="s">
        <v>38</v>
      </c>
      <c r="E401" s="1" t="s">
        <v>62</v>
      </c>
      <c r="F401" s="1">
        <f t="shared" si="12"/>
        <v>528</v>
      </c>
      <c r="G401" s="5">
        <f t="shared" si="13"/>
        <v>0.5</v>
      </c>
    </row>
    <row r="402" spans="1:7" ht="13">
      <c r="A402" s="4" t="s">
        <v>114</v>
      </c>
      <c r="B402" s="1">
        <v>7.3</v>
      </c>
      <c r="C402" s="1">
        <v>494</v>
      </c>
      <c r="D402" s="1" t="s">
        <v>11</v>
      </c>
      <c r="E402" s="1" t="s">
        <v>10</v>
      </c>
      <c r="F402" s="1">
        <f t="shared" si="12"/>
        <v>730</v>
      </c>
      <c r="G402" s="5">
        <f t="shared" si="13"/>
        <v>0.67671232876712328</v>
      </c>
    </row>
    <row r="403" spans="1:7" ht="13">
      <c r="A403" s="4" t="s">
        <v>114</v>
      </c>
      <c r="B403" s="1">
        <v>6</v>
      </c>
      <c r="C403" s="1">
        <v>332</v>
      </c>
      <c r="D403" s="1" t="s">
        <v>40</v>
      </c>
      <c r="E403" s="1" t="s">
        <v>8</v>
      </c>
      <c r="F403" s="1">
        <f t="shared" si="12"/>
        <v>600</v>
      </c>
      <c r="G403" s="5">
        <f t="shared" si="13"/>
        <v>0.55333333333333334</v>
      </c>
    </row>
    <row r="404" spans="1:7" ht="13">
      <c r="A404" s="4" t="s">
        <v>114</v>
      </c>
      <c r="B404" s="1">
        <v>4.92</v>
      </c>
      <c r="C404" s="1">
        <v>312</v>
      </c>
      <c r="D404" s="1" t="s">
        <v>47</v>
      </c>
      <c r="E404" s="1" t="s">
        <v>22</v>
      </c>
      <c r="F404" s="1">
        <f t="shared" si="12"/>
        <v>492</v>
      </c>
      <c r="G404" s="5">
        <f t="shared" si="13"/>
        <v>0.63414634146341464</v>
      </c>
    </row>
    <row r="405" spans="1:7" ht="13">
      <c r="A405" s="4" t="s">
        <v>114</v>
      </c>
      <c r="B405" s="1">
        <v>4.0999999999999996</v>
      </c>
      <c r="C405" s="1">
        <v>277</v>
      </c>
      <c r="D405" s="1" t="s">
        <v>38</v>
      </c>
      <c r="E405" s="1" t="s">
        <v>16</v>
      </c>
      <c r="F405" s="1">
        <f t="shared" si="12"/>
        <v>409.99999999999994</v>
      </c>
      <c r="G405" s="5">
        <f t="shared" si="13"/>
        <v>0.67560975609756102</v>
      </c>
    </row>
    <row r="406" spans="1:7" ht="13">
      <c r="A406" s="4" t="s">
        <v>114</v>
      </c>
      <c r="B406" s="1">
        <v>4.0999999999999996</v>
      </c>
      <c r="C406" s="1">
        <v>342</v>
      </c>
      <c r="D406" s="1" t="s">
        <v>11</v>
      </c>
      <c r="E406" s="1" t="s">
        <v>18</v>
      </c>
      <c r="F406" s="1">
        <f t="shared" si="12"/>
        <v>409.99999999999994</v>
      </c>
      <c r="G406" s="5">
        <f t="shared" si="13"/>
        <v>0.83414634146341471</v>
      </c>
    </row>
    <row r="407" spans="1:7" ht="13">
      <c r="A407" s="4" t="s">
        <v>114</v>
      </c>
      <c r="B407" s="1">
        <v>6.4</v>
      </c>
      <c r="C407" s="1">
        <v>378.4</v>
      </c>
      <c r="D407" s="1" t="s">
        <v>35</v>
      </c>
      <c r="E407" s="1" t="s">
        <v>18</v>
      </c>
      <c r="F407" s="1">
        <f t="shared" si="12"/>
        <v>640</v>
      </c>
      <c r="G407" s="5">
        <f t="shared" si="13"/>
        <v>0.59124999999999994</v>
      </c>
    </row>
    <row r="408" spans="1:7" ht="13">
      <c r="A408" s="4" t="s">
        <v>114</v>
      </c>
      <c r="B408" s="1">
        <v>8</v>
      </c>
      <c r="C408" s="1">
        <v>380</v>
      </c>
      <c r="D408" s="1" t="s">
        <v>56</v>
      </c>
      <c r="E408" s="1" t="s">
        <v>22</v>
      </c>
      <c r="F408" s="1">
        <f t="shared" si="12"/>
        <v>800</v>
      </c>
      <c r="G408" s="5">
        <f t="shared" si="13"/>
        <v>0.47499999999999998</v>
      </c>
    </row>
    <row r="409" spans="1:7" ht="13">
      <c r="A409" s="4" t="s">
        <v>114</v>
      </c>
      <c r="B409" s="1">
        <v>6.2</v>
      </c>
      <c r="C409" s="1">
        <v>425</v>
      </c>
      <c r="D409" s="1" t="s">
        <v>11</v>
      </c>
      <c r="E409" s="1" t="s">
        <v>7</v>
      </c>
      <c r="F409" s="1">
        <f t="shared" si="12"/>
        <v>620</v>
      </c>
      <c r="G409" s="5">
        <f t="shared" si="13"/>
        <v>0.68548387096774188</v>
      </c>
    </row>
    <row r="410" spans="1:7" ht="13">
      <c r="A410" s="4" t="s">
        <v>114</v>
      </c>
      <c r="B410" s="1">
        <v>5.625</v>
      </c>
      <c r="C410" s="1">
        <v>323</v>
      </c>
      <c r="D410" s="1" t="s">
        <v>11</v>
      </c>
      <c r="E410" s="1" t="s">
        <v>15</v>
      </c>
      <c r="F410" s="1">
        <f t="shared" si="12"/>
        <v>562.5</v>
      </c>
      <c r="G410" s="5">
        <f t="shared" si="13"/>
        <v>0.57422222222222219</v>
      </c>
    </row>
    <row r="411" spans="1:7" ht="13">
      <c r="A411" s="4" t="s">
        <v>114</v>
      </c>
      <c r="B411" s="1">
        <v>19.600000000000001</v>
      </c>
      <c r="C411" s="1">
        <v>1131</v>
      </c>
      <c r="D411" s="1" t="s">
        <v>47</v>
      </c>
      <c r="E411" s="1" t="s">
        <v>23</v>
      </c>
      <c r="F411" s="1">
        <f t="shared" si="12"/>
        <v>1960.0000000000002</v>
      </c>
      <c r="G411" s="5">
        <f t="shared" si="13"/>
        <v>0.57704081632653059</v>
      </c>
    </row>
    <row r="412" spans="1:7" ht="13">
      <c r="A412" s="4" t="s">
        <v>114</v>
      </c>
      <c r="B412" s="1">
        <v>3.48</v>
      </c>
      <c r="C412" s="1">
        <v>235</v>
      </c>
      <c r="D412" s="1" t="s">
        <v>11</v>
      </c>
      <c r="E412" s="1" t="s">
        <v>15</v>
      </c>
      <c r="F412" s="1">
        <f t="shared" si="12"/>
        <v>348</v>
      </c>
      <c r="G412" s="5">
        <f t="shared" si="13"/>
        <v>0.67528735632183912</v>
      </c>
    </row>
    <row r="413" spans="1:7" ht="13">
      <c r="A413" s="4" t="s">
        <v>114</v>
      </c>
      <c r="B413" s="1">
        <v>7.56</v>
      </c>
      <c r="C413" s="1">
        <v>491</v>
      </c>
      <c r="D413" s="1" t="s">
        <v>11</v>
      </c>
      <c r="E413" s="1" t="s">
        <v>12</v>
      </c>
      <c r="F413" s="1">
        <f t="shared" si="12"/>
        <v>756</v>
      </c>
      <c r="G413" s="5">
        <f t="shared" si="13"/>
        <v>0.64947089947089942</v>
      </c>
    </row>
    <row r="414" spans="1:7" ht="13">
      <c r="A414" s="4" t="s">
        <v>114</v>
      </c>
      <c r="B414" s="1">
        <v>5.46</v>
      </c>
      <c r="C414" s="1">
        <v>360</v>
      </c>
      <c r="D414" s="1" t="s">
        <v>43</v>
      </c>
      <c r="E414" s="1" t="s">
        <v>15</v>
      </c>
      <c r="F414" s="1">
        <f t="shared" si="12"/>
        <v>546</v>
      </c>
      <c r="G414" s="5">
        <f t="shared" si="13"/>
        <v>0.65934065934065933</v>
      </c>
    </row>
    <row r="415" spans="1:7" ht="13">
      <c r="A415" s="4" t="s">
        <v>114</v>
      </c>
      <c r="B415" s="1">
        <v>4.3</v>
      </c>
      <c r="C415" s="1">
        <v>263</v>
      </c>
      <c r="D415" s="1" t="s">
        <v>33</v>
      </c>
      <c r="E415" s="1" t="s">
        <v>16</v>
      </c>
      <c r="F415" s="1">
        <f t="shared" si="12"/>
        <v>430</v>
      </c>
      <c r="G415" s="5">
        <f t="shared" si="13"/>
        <v>0.61162790697674418</v>
      </c>
    </row>
    <row r="416" spans="1:7" ht="13">
      <c r="A416" s="4" t="s">
        <v>114</v>
      </c>
      <c r="B416" s="1">
        <v>5.6</v>
      </c>
      <c r="C416" s="1">
        <v>271</v>
      </c>
      <c r="D416" s="1" t="s">
        <v>11</v>
      </c>
      <c r="E416" s="1" t="s">
        <v>21</v>
      </c>
      <c r="F416" s="1">
        <f t="shared" ref="F416:F479" si="14">B416*100</f>
        <v>560</v>
      </c>
      <c r="G416" s="5">
        <f t="shared" si="13"/>
        <v>0.48392857142857143</v>
      </c>
    </row>
    <row r="417" spans="1:7" ht="13">
      <c r="A417" s="4" t="s">
        <v>114</v>
      </c>
      <c r="B417" s="1">
        <v>7.4</v>
      </c>
      <c r="C417" s="1">
        <v>430</v>
      </c>
      <c r="D417" s="1" t="s">
        <v>11</v>
      </c>
      <c r="E417" s="1" t="s">
        <v>17</v>
      </c>
      <c r="F417" s="1">
        <f t="shared" si="14"/>
        <v>740</v>
      </c>
      <c r="G417" s="5">
        <f t="shared" si="13"/>
        <v>0.58108108108108103</v>
      </c>
    </row>
    <row r="418" spans="1:7" ht="13">
      <c r="A418" s="4" t="s">
        <v>114</v>
      </c>
      <c r="B418" s="1">
        <v>8.8000000000000007</v>
      </c>
      <c r="C418" s="1">
        <v>555</v>
      </c>
      <c r="D418" s="1" t="s">
        <v>11</v>
      </c>
      <c r="E418" s="1" t="s">
        <v>17</v>
      </c>
      <c r="F418" s="1">
        <f t="shared" si="14"/>
        <v>880.00000000000011</v>
      </c>
      <c r="G418" s="5">
        <f t="shared" si="13"/>
        <v>0.63068181818181812</v>
      </c>
    </row>
    <row r="419" spans="1:7" ht="13">
      <c r="A419" s="4" t="s">
        <v>114</v>
      </c>
      <c r="B419" s="1">
        <v>3</v>
      </c>
      <c r="C419" s="1">
        <v>190.5</v>
      </c>
      <c r="D419" s="1" t="s">
        <v>11</v>
      </c>
      <c r="E419" s="1" t="s">
        <v>15</v>
      </c>
      <c r="F419" s="1">
        <f t="shared" si="14"/>
        <v>300</v>
      </c>
      <c r="G419" s="5">
        <f t="shared" si="13"/>
        <v>0.63500000000000001</v>
      </c>
    </row>
    <row r="420" spans="1:7" ht="13">
      <c r="A420" s="4" t="s">
        <v>114</v>
      </c>
      <c r="B420" s="1">
        <v>7.74</v>
      </c>
      <c r="C420" s="1">
        <v>520.70000000000005</v>
      </c>
      <c r="D420" s="1" t="s">
        <v>11</v>
      </c>
      <c r="E420" s="1" t="s">
        <v>29</v>
      </c>
      <c r="F420" s="1">
        <f t="shared" si="14"/>
        <v>774</v>
      </c>
      <c r="G420" s="5">
        <f t="shared" si="13"/>
        <v>0.6727390180878553</v>
      </c>
    </row>
    <row r="421" spans="1:7" ht="13">
      <c r="A421" s="4" t="s">
        <v>114</v>
      </c>
      <c r="B421" s="1">
        <v>4.8</v>
      </c>
      <c r="C421" s="1">
        <v>244</v>
      </c>
      <c r="D421" s="1" t="s">
        <v>33</v>
      </c>
      <c r="E421" s="1" t="s">
        <v>15</v>
      </c>
      <c r="F421" s="1">
        <f t="shared" si="14"/>
        <v>480</v>
      </c>
      <c r="G421" s="5">
        <f t="shared" si="13"/>
        <v>0.5083333333333333</v>
      </c>
    </row>
    <row r="422" spans="1:7" ht="13">
      <c r="A422" s="4" t="s">
        <v>114</v>
      </c>
      <c r="B422" s="1">
        <v>7.78</v>
      </c>
      <c r="C422" s="1">
        <v>477</v>
      </c>
      <c r="D422" s="1" t="s">
        <v>47</v>
      </c>
      <c r="E422" s="1" t="s">
        <v>23</v>
      </c>
      <c r="F422" s="1">
        <f t="shared" si="14"/>
        <v>778</v>
      </c>
      <c r="G422" s="5">
        <f t="shared" si="13"/>
        <v>0.61311053984575836</v>
      </c>
    </row>
    <row r="423" spans="1:7" ht="13">
      <c r="A423" s="4" t="s">
        <v>114</v>
      </c>
      <c r="B423" s="1">
        <v>8.5</v>
      </c>
      <c r="C423" s="1">
        <v>507</v>
      </c>
      <c r="D423" s="1" t="s">
        <v>43</v>
      </c>
      <c r="E423" s="1" t="s">
        <v>20</v>
      </c>
      <c r="F423" s="1">
        <f t="shared" si="14"/>
        <v>850</v>
      </c>
      <c r="G423" s="5">
        <f t="shared" si="13"/>
        <v>0.59647058823529409</v>
      </c>
    </row>
    <row r="424" spans="1:7" ht="13">
      <c r="A424" s="4" t="s">
        <v>114</v>
      </c>
      <c r="B424" s="1">
        <v>6.25</v>
      </c>
      <c r="C424" s="1">
        <v>3.92</v>
      </c>
      <c r="D424" s="1" t="s">
        <v>11</v>
      </c>
      <c r="E424" s="1" t="s">
        <v>30</v>
      </c>
      <c r="F424" s="1">
        <f t="shared" si="14"/>
        <v>625</v>
      </c>
      <c r="G424" s="5">
        <f t="shared" si="13"/>
        <v>6.2719999999999998E-3</v>
      </c>
    </row>
    <row r="425" spans="1:7" ht="13">
      <c r="A425" s="4" t="s">
        <v>114</v>
      </c>
      <c r="B425" s="1">
        <v>5.46</v>
      </c>
      <c r="C425" s="1">
        <v>292</v>
      </c>
      <c r="D425" s="1" t="s">
        <v>45</v>
      </c>
      <c r="E425" s="1" t="s">
        <v>14</v>
      </c>
      <c r="F425" s="1">
        <f t="shared" si="14"/>
        <v>546</v>
      </c>
      <c r="G425" s="5">
        <f t="shared" si="13"/>
        <v>0.53479853479853479</v>
      </c>
    </row>
    <row r="426" spans="1:7" ht="13">
      <c r="A426" s="4" t="s">
        <v>114</v>
      </c>
      <c r="B426" s="1">
        <v>3.2</v>
      </c>
      <c r="C426" s="1">
        <v>186</v>
      </c>
      <c r="D426" s="1" t="s">
        <v>35</v>
      </c>
      <c r="E426" s="1" t="s">
        <v>16</v>
      </c>
      <c r="F426" s="1">
        <f t="shared" si="14"/>
        <v>320</v>
      </c>
      <c r="G426" s="5">
        <f t="shared" si="13"/>
        <v>0.58125000000000004</v>
      </c>
    </row>
    <row r="427" spans="1:7" ht="13">
      <c r="A427" s="4" t="s">
        <v>114</v>
      </c>
      <c r="B427" s="1">
        <v>7.2</v>
      </c>
      <c r="C427" s="1">
        <v>540</v>
      </c>
      <c r="D427" s="1" t="s">
        <v>39</v>
      </c>
      <c r="E427" s="1" t="s">
        <v>26</v>
      </c>
      <c r="F427" s="1">
        <f t="shared" si="14"/>
        <v>720</v>
      </c>
      <c r="G427" s="5">
        <f t="shared" si="13"/>
        <v>0.75</v>
      </c>
    </row>
    <row r="428" spans="1:7" ht="13">
      <c r="A428" s="4" t="s">
        <v>114</v>
      </c>
      <c r="B428" s="1">
        <v>6.1</v>
      </c>
      <c r="C428" s="1">
        <v>440</v>
      </c>
      <c r="D428" s="1" t="s">
        <v>11</v>
      </c>
      <c r="E428" s="1" t="s">
        <v>24</v>
      </c>
      <c r="F428" s="1">
        <f t="shared" si="14"/>
        <v>610</v>
      </c>
      <c r="G428" s="5">
        <f t="shared" si="13"/>
        <v>0.72131147540983609</v>
      </c>
    </row>
    <row r="429" spans="1:7" ht="13">
      <c r="A429" s="4" t="s">
        <v>114</v>
      </c>
      <c r="B429" s="1">
        <v>4.3499999999999996</v>
      </c>
      <c r="C429" s="1">
        <v>313</v>
      </c>
      <c r="D429" s="1" t="s">
        <v>11</v>
      </c>
      <c r="E429" s="1" t="s">
        <v>16</v>
      </c>
      <c r="F429" s="1">
        <f t="shared" si="14"/>
        <v>434.99999999999994</v>
      </c>
      <c r="G429" s="5">
        <f t="shared" si="13"/>
        <v>0.71954022988505761</v>
      </c>
    </row>
    <row r="430" spans="1:7" ht="13">
      <c r="A430" s="4" t="s">
        <v>114</v>
      </c>
      <c r="B430" s="1">
        <v>7.3</v>
      </c>
      <c r="C430" s="1">
        <v>478</v>
      </c>
      <c r="D430" s="1" t="s">
        <v>58</v>
      </c>
      <c r="E430" s="1" t="s">
        <v>25</v>
      </c>
      <c r="F430" s="1">
        <f t="shared" si="14"/>
        <v>730</v>
      </c>
      <c r="G430" s="5">
        <f t="shared" si="13"/>
        <v>0.65479452054794518</v>
      </c>
    </row>
    <row r="431" spans="1:7" ht="13">
      <c r="A431" s="4" t="s">
        <v>114</v>
      </c>
      <c r="B431" s="1">
        <v>8.6999999999999993</v>
      </c>
      <c r="C431" s="1">
        <v>573</v>
      </c>
      <c r="D431" s="1" t="s">
        <v>39</v>
      </c>
      <c r="E431" s="1" t="s">
        <v>15</v>
      </c>
      <c r="F431" s="1">
        <f t="shared" si="14"/>
        <v>869.99999999999989</v>
      </c>
      <c r="G431" s="5">
        <f t="shared" si="13"/>
        <v>0.65862068965517251</v>
      </c>
    </row>
    <row r="432" spans="1:7" ht="13">
      <c r="A432" s="4" t="s">
        <v>114</v>
      </c>
      <c r="B432" s="1">
        <v>1.65</v>
      </c>
      <c r="C432" s="1">
        <v>71.52</v>
      </c>
      <c r="D432" s="1" t="s">
        <v>11</v>
      </c>
      <c r="E432" s="1" t="s">
        <v>25</v>
      </c>
      <c r="F432" s="1">
        <f t="shared" si="14"/>
        <v>165</v>
      </c>
      <c r="G432" s="5">
        <f t="shared" si="13"/>
        <v>0.43345454545454543</v>
      </c>
    </row>
    <row r="433" spans="1:7" ht="13">
      <c r="A433" s="4" t="s">
        <v>114</v>
      </c>
      <c r="B433" s="1">
        <v>7.56</v>
      </c>
      <c r="C433" s="1">
        <v>558</v>
      </c>
      <c r="D433" s="1" t="s">
        <v>11</v>
      </c>
      <c r="E433" s="1" t="s">
        <v>7</v>
      </c>
      <c r="F433" s="1">
        <f t="shared" si="14"/>
        <v>756</v>
      </c>
      <c r="G433" s="5">
        <f t="shared" si="13"/>
        <v>0.73809523809523814</v>
      </c>
    </row>
    <row r="434" spans="1:7" ht="13">
      <c r="A434" s="4" t="s">
        <v>114</v>
      </c>
      <c r="B434" s="1">
        <v>4.75</v>
      </c>
      <c r="C434" s="1">
        <v>451.2</v>
      </c>
      <c r="D434" s="1" t="s">
        <v>11</v>
      </c>
      <c r="E434" s="1" t="s">
        <v>8</v>
      </c>
      <c r="F434" s="1">
        <f t="shared" si="14"/>
        <v>475</v>
      </c>
      <c r="G434" s="5">
        <f t="shared" si="13"/>
        <v>0.94989473684210524</v>
      </c>
    </row>
    <row r="435" spans="1:7" ht="13">
      <c r="A435" s="4" t="s">
        <v>114</v>
      </c>
      <c r="B435" s="1">
        <v>7.4</v>
      </c>
      <c r="C435" s="1">
        <v>507</v>
      </c>
      <c r="D435" s="1" t="s">
        <v>53</v>
      </c>
      <c r="E435" s="1" t="s">
        <v>17</v>
      </c>
      <c r="F435" s="1">
        <f t="shared" si="14"/>
        <v>740</v>
      </c>
      <c r="G435" s="5">
        <f t="shared" si="13"/>
        <v>0.68513513513513513</v>
      </c>
    </row>
    <row r="436" spans="1:7" ht="13">
      <c r="A436" s="4" t="s">
        <v>114</v>
      </c>
      <c r="B436" s="1">
        <v>6.4</v>
      </c>
      <c r="C436" s="1">
        <v>330</v>
      </c>
      <c r="D436" s="1" t="s">
        <v>33</v>
      </c>
      <c r="E436" s="1" t="s">
        <v>15</v>
      </c>
      <c r="F436" s="1">
        <f t="shared" si="14"/>
        <v>640</v>
      </c>
      <c r="G436" s="5">
        <f t="shared" si="13"/>
        <v>0.515625</v>
      </c>
    </row>
    <row r="437" spans="1:7" ht="13">
      <c r="A437" s="4" t="s">
        <v>114</v>
      </c>
      <c r="B437" s="1">
        <v>5.22</v>
      </c>
      <c r="C437" s="1">
        <v>300</v>
      </c>
      <c r="D437" s="1" t="s">
        <v>48</v>
      </c>
      <c r="E437" s="1" t="s">
        <v>22</v>
      </c>
      <c r="F437" s="1">
        <f t="shared" si="14"/>
        <v>522</v>
      </c>
      <c r="G437" s="5">
        <f t="shared" si="13"/>
        <v>0.57471264367816088</v>
      </c>
    </row>
    <row r="438" spans="1:7" ht="13">
      <c r="A438" s="4" t="s">
        <v>114</v>
      </c>
      <c r="B438" s="1">
        <v>7.56</v>
      </c>
      <c r="C438" s="1">
        <v>619</v>
      </c>
      <c r="D438" s="1" t="s">
        <v>11</v>
      </c>
      <c r="E438" s="1" t="s">
        <v>9</v>
      </c>
      <c r="F438" s="1">
        <f t="shared" si="14"/>
        <v>756</v>
      </c>
      <c r="G438" s="5">
        <f t="shared" si="13"/>
        <v>0.81878306878306883</v>
      </c>
    </row>
    <row r="439" spans="1:7" ht="13">
      <c r="A439" s="4" t="s">
        <v>114</v>
      </c>
      <c r="B439" s="1">
        <v>5.88</v>
      </c>
      <c r="C439" s="1">
        <v>337</v>
      </c>
      <c r="D439" s="1" t="s">
        <v>38</v>
      </c>
      <c r="E439" s="1" t="s">
        <v>22</v>
      </c>
      <c r="F439" s="1">
        <f t="shared" si="14"/>
        <v>588</v>
      </c>
      <c r="G439" s="5">
        <f t="shared" si="13"/>
        <v>0.5731292517006803</v>
      </c>
    </row>
    <row r="440" spans="1:7" ht="13">
      <c r="A440" s="4" t="s">
        <v>114</v>
      </c>
      <c r="B440" s="1">
        <v>8.6</v>
      </c>
      <c r="C440" s="1">
        <v>528</v>
      </c>
      <c r="D440" s="1" t="s">
        <v>11</v>
      </c>
      <c r="E440" s="1" t="s">
        <v>16</v>
      </c>
      <c r="F440" s="1">
        <f t="shared" si="14"/>
        <v>860</v>
      </c>
      <c r="G440" s="5">
        <f t="shared" si="13"/>
        <v>0.61395348837209307</v>
      </c>
    </row>
    <row r="441" spans="1:7" ht="13">
      <c r="A441" s="4" t="s">
        <v>114</v>
      </c>
      <c r="B441" s="1">
        <v>5.39</v>
      </c>
      <c r="C441" s="1">
        <v>463</v>
      </c>
      <c r="D441" s="1" t="s">
        <v>11</v>
      </c>
      <c r="E441" s="1" t="s">
        <v>26</v>
      </c>
      <c r="F441" s="1">
        <f t="shared" si="14"/>
        <v>539</v>
      </c>
      <c r="G441" s="5">
        <f t="shared" si="13"/>
        <v>0.85899814471243041</v>
      </c>
    </row>
    <row r="442" spans="1:7" ht="13">
      <c r="A442" s="4" t="s">
        <v>114</v>
      </c>
      <c r="B442" s="1">
        <v>6.56</v>
      </c>
      <c r="C442" s="1">
        <v>487</v>
      </c>
      <c r="D442" s="1" t="s">
        <v>34</v>
      </c>
      <c r="E442" s="1" t="s">
        <v>18</v>
      </c>
      <c r="F442" s="1">
        <f t="shared" si="14"/>
        <v>656</v>
      </c>
      <c r="G442" s="5">
        <f t="shared" si="13"/>
        <v>0.74237804878048785</v>
      </c>
    </row>
    <row r="443" spans="1:7" ht="13">
      <c r="A443" s="4" t="s">
        <v>114</v>
      </c>
      <c r="B443" s="1">
        <v>4.5</v>
      </c>
      <c r="C443" s="1">
        <v>278</v>
      </c>
      <c r="D443" s="1" t="s">
        <v>38</v>
      </c>
      <c r="E443" s="1" t="s">
        <v>15</v>
      </c>
      <c r="F443" s="1">
        <f t="shared" si="14"/>
        <v>450</v>
      </c>
      <c r="G443" s="5">
        <f t="shared" si="13"/>
        <v>0.61777777777777776</v>
      </c>
    </row>
    <row r="444" spans="1:7" ht="13">
      <c r="A444" s="4" t="s">
        <v>114</v>
      </c>
      <c r="B444" s="1">
        <v>7.74</v>
      </c>
      <c r="C444" s="1">
        <v>569</v>
      </c>
      <c r="D444" s="1" t="s">
        <v>11</v>
      </c>
      <c r="E444" s="1" t="s">
        <v>12</v>
      </c>
      <c r="F444" s="1">
        <f t="shared" si="14"/>
        <v>774</v>
      </c>
      <c r="G444" s="5">
        <f t="shared" si="13"/>
        <v>0.73514211886304914</v>
      </c>
    </row>
    <row r="445" spans="1:7" ht="13">
      <c r="A445" s="4" t="s">
        <v>114</v>
      </c>
      <c r="B445" s="1">
        <v>6.8</v>
      </c>
      <c r="C445" s="1">
        <v>383</v>
      </c>
      <c r="D445" s="1" t="s">
        <v>71</v>
      </c>
      <c r="E445" s="1" t="s">
        <v>22</v>
      </c>
      <c r="F445" s="1">
        <f t="shared" si="14"/>
        <v>680</v>
      </c>
      <c r="G445" s="5">
        <f t="shared" si="13"/>
        <v>0.56323529411764706</v>
      </c>
    </row>
    <row r="446" spans="1:7" ht="13">
      <c r="A446" s="4" t="s">
        <v>114</v>
      </c>
      <c r="B446" s="1">
        <v>4.3499999999999996</v>
      </c>
      <c r="C446" s="1">
        <v>226</v>
      </c>
      <c r="D446" s="1" t="s">
        <v>11</v>
      </c>
      <c r="E446" s="1" t="s">
        <v>15</v>
      </c>
      <c r="F446" s="1">
        <f t="shared" si="14"/>
        <v>434.99999999999994</v>
      </c>
      <c r="G446" s="5">
        <f t="shared" si="13"/>
        <v>0.51954022988505755</v>
      </c>
    </row>
    <row r="447" spans="1:7" ht="13">
      <c r="A447" s="4" t="s">
        <v>114</v>
      </c>
      <c r="B447" s="1">
        <v>6.56</v>
      </c>
      <c r="C447" s="1">
        <v>448</v>
      </c>
      <c r="D447" s="1" t="s">
        <v>11</v>
      </c>
      <c r="E447" s="1" t="s">
        <v>18</v>
      </c>
      <c r="F447" s="1">
        <f t="shared" si="14"/>
        <v>656</v>
      </c>
      <c r="G447" s="5">
        <f t="shared" si="13"/>
        <v>0.68292682926829273</v>
      </c>
    </row>
    <row r="448" spans="1:7" ht="13">
      <c r="A448" s="4" t="s">
        <v>114</v>
      </c>
      <c r="B448" s="1">
        <v>4.3</v>
      </c>
      <c r="C448" s="1">
        <v>239</v>
      </c>
      <c r="D448" s="1" t="s">
        <v>33</v>
      </c>
      <c r="E448" s="1" t="s">
        <v>19</v>
      </c>
      <c r="F448" s="1">
        <f t="shared" si="14"/>
        <v>430</v>
      </c>
      <c r="G448" s="5">
        <f t="shared" si="13"/>
        <v>0.55581395348837215</v>
      </c>
    </row>
    <row r="449" spans="1:7" ht="13">
      <c r="A449" s="4" t="s">
        <v>114</v>
      </c>
      <c r="B449" s="1">
        <v>8.6</v>
      </c>
      <c r="C449" s="1">
        <v>638</v>
      </c>
      <c r="D449" s="1" t="s">
        <v>11</v>
      </c>
      <c r="E449" s="1" t="s">
        <v>20</v>
      </c>
      <c r="F449" s="1">
        <f t="shared" si="14"/>
        <v>860</v>
      </c>
      <c r="G449" s="5">
        <f t="shared" si="13"/>
        <v>0.74186046511627912</v>
      </c>
    </row>
    <row r="450" spans="1:7" ht="13">
      <c r="A450" s="4" t="s">
        <v>114</v>
      </c>
      <c r="B450" s="1">
        <v>7.4</v>
      </c>
      <c r="C450" s="1">
        <v>361</v>
      </c>
      <c r="D450" s="1" t="s">
        <v>45</v>
      </c>
      <c r="E450" s="1" t="s">
        <v>7</v>
      </c>
      <c r="F450" s="1">
        <f t="shared" si="14"/>
        <v>740</v>
      </c>
      <c r="G450" s="5">
        <f t="shared" ref="G450:G513" si="15">C450/F450</f>
        <v>0.48783783783783785</v>
      </c>
    </row>
    <row r="451" spans="1:7" ht="13">
      <c r="A451" s="4" t="s">
        <v>114</v>
      </c>
      <c r="B451" s="1">
        <v>6.1</v>
      </c>
      <c r="C451" s="1">
        <v>451</v>
      </c>
      <c r="D451" s="1" t="s">
        <v>11</v>
      </c>
      <c r="E451" s="1" t="s">
        <v>10</v>
      </c>
      <c r="F451" s="1">
        <f t="shared" si="14"/>
        <v>610</v>
      </c>
      <c r="G451" s="5">
        <f t="shared" si="15"/>
        <v>0.73934426229508199</v>
      </c>
    </row>
    <row r="452" spans="1:7" ht="13">
      <c r="A452" s="4" t="s">
        <v>114</v>
      </c>
      <c r="B452" s="1">
        <v>6.75</v>
      </c>
      <c r="C452" s="1">
        <v>410</v>
      </c>
      <c r="D452" s="1" t="s">
        <v>11</v>
      </c>
      <c r="E452" s="1" t="s">
        <v>26</v>
      </c>
      <c r="F452" s="1">
        <f t="shared" si="14"/>
        <v>675</v>
      </c>
      <c r="G452" s="5">
        <f t="shared" si="15"/>
        <v>0.6074074074074074</v>
      </c>
    </row>
    <row r="453" spans="1:7" ht="13">
      <c r="A453" s="4" t="s">
        <v>114</v>
      </c>
      <c r="B453" s="1">
        <v>6.2</v>
      </c>
      <c r="C453" s="1">
        <v>436</v>
      </c>
      <c r="D453" s="1" t="s">
        <v>11</v>
      </c>
      <c r="E453" s="1" t="s">
        <v>12</v>
      </c>
      <c r="F453" s="1">
        <f t="shared" si="14"/>
        <v>620</v>
      </c>
      <c r="G453" s="5">
        <f t="shared" si="15"/>
        <v>0.70322580645161292</v>
      </c>
    </row>
    <row r="454" spans="1:7" ht="13">
      <c r="A454" s="4" t="s">
        <v>114</v>
      </c>
      <c r="B454" s="1">
        <v>5.52</v>
      </c>
      <c r="C454" s="1">
        <v>428</v>
      </c>
      <c r="D454" s="1" t="s">
        <v>11</v>
      </c>
      <c r="E454" s="1" t="s">
        <v>26</v>
      </c>
      <c r="F454" s="1">
        <f t="shared" si="14"/>
        <v>552</v>
      </c>
      <c r="G454" s="5">
        <f t="shared" si="15"/>
        <v>0.77536231884057971</v>
      </c>
    </row>
    <row r="455" spans="1:7" ht="13">
      <c r="A455" s="4" t="s">
        <v>114</v>
      </c>
      <c r="B455" s="1">
        <v>6.88</v>
      </c>
      <c r="C455" s="1">
        <v>479</v>
      </c>
      <c r="D455" s="1" t="s">
        <v>39</v>
      </c>
      <c r="E455" s="1" t="s">
        <v>17</v>
      </c>
      <c r="F455" s="1">
        <f t="shared" si="14"/>
        <v>688</v>
      </c>
      <c r="G455" s="5">
        <f t="shared" si="15"/>
        <v>0.69622093023255816</v>
      </c>
    </row>
    <row r="456" spans="1:7" ht="13">
      <c r="A456" s="4" t="s">
        <v>114</v>
      </c>
      <c r="B456" s="1">
        <v>7.2</v>
      </c>
      <c r="C456" s="1">
        <v>489</v>
      </c>
      <c r="D456" s="1" t="s">
        <v>11</v>
      </c>
      <c r="E456" s="1" t="s">
        <v>28</v>
      </c>
      <c r="F456" s="1">
        <f t="shared" si="14"/>
        <v>720</v>
      </c>
      <c r="G456" s="5">
        <f t="shared" si="15"/>
        <v>0.6791666666666667</v>
      </c>
    </row>
    <row r="457" spans="1:7" ht="13">
      <c r="A457" s="4" t="s">
        <v>114</v>
      </c>
      <c r="B457" s="1">
        <v>7.6</v>
      </c>
      <c r="C457" s="1">
        <v>475</v>
      </c>
      <c r="D457" s="1" t="s">
        <v>33</v>
      </c>
      <c r="E457" s="1" t="s">
        <v>17</v>
      </c>
      <c r="F457" s="1">
        <f t="shared" si="14"/>
        <v>760</v>
      </c>
      <c r="G457" s="5">
        <f t="shared" si="15"/>
        <v>0.625</v>
      </c>
    </row>
    <row r="458" spans="1:7" ht="13">
      <c r="A458" s="4" t="s">
        <v>114</v>
      </c>
      <c r="B458" s="1">
        <v>4.3499999999999996</v>
      </c>
      <c r="C458" s="1">
        <v>350</v>
      </c>
      <c r="D458" s="1" t="s">
        <v>39</v>
      </c>
      <c r="E458" s="1" t="s">
        <v>17</v>
      </c>
      <c r="F458" s="1">
        <f t="shared" si="14"/>
        <v>434.99999999999994</v>
      </c>
      <c r="G458" s="5">
        <f t="shared" si="15"/>
        <v>0.80459770114942541</v>
      </c>
    </row>
    <row r="459" spans="1:7" ht="13">
      <c r="A459" s="4" t="s">
        <v>114</v>
      </c>
      <c r="B459" s="1">
        <v>6</v>
      </c>
      <c r="C459" s="1">
        <v>382</v>
      </c>
      <c r="D459" s="1" t="s">
        <v>11</v>
      </c>
      <c r="E459" s="1" t="s">
        <v>30</v>
      </c>
      <c r="F459" s="1">
        <f t="shared" si="14"/>
        <v>600</v>
      </c>
      <c r="G459" s="5">
        <f t="shared" si="15"/>
        <v>0.63666666666666671</v>
      </c>
    </row>
    <row r="460" spans="1:7" ht="13">
      <c r="A460" s="4" t="s">
        <v>114</v>
      </c>
      <c r="B460" s="1">
        <v>6.88</v>
      </c>
      <c r="C460" s="1">
        <v>528</v>
      </c>
      <c r="D460" s="1" t="s">
        <v>11</v>
      </c>
      <c r="E460" s="1" t="s">
        <v>8</v>
      </c>
      <c r="F460" s="1">
        <f t="shared" si="14"/>
        <v>688</v>
      </c>
      <c r="G460" s="5">
        <f t="shared" si="15"/>
        <v>0.76744186046511631</v>
      </c>
    </row>
    <row r="461" spans="1:7" ht="13">
      <c r="A461" s="4" t="s">
        <v>114</v>
      </c>
      <c r="B461" s="1">
        <v>6.96</v>
      </c>
      <c r="C461" s="1">
        <v>376</v>
      </c>
      <c r="D461" s="1" t="s">
        <v>33</v>
      </c>
      <c r="E461" s="1" t="s">
        <v>12</v>
      </c>
      <c r="F461" s="1">
        <f t="shared" si="14"/>
        <v>696</v>
      </c>
      <c r="G461" s="5">
        <f t="shared" si="15"/>
        <v>0.54022988505747127</v>
      </c>
    </row>
    <row r="462" spans="1:7" ht="13">
      <c r="A462" s="4" t="s">
        <v>114</v>
      </c>
      <c r="B462" s="1">
        <v>7.4</v>
      </c>
      <c r="C462" s="1">
        <v>419</v>
      </c>
      <c r="D462" s="1" t="s">
        <v>38</v>
      </c>
      <c r="E462" s="1" t="s">
        <v>10</v>
      </c>
      <c r="F462" s="1">
        <f t="shared" si="14"/>
        <v>740</v>
      </c>
      <c r="G462" s="5">
        <f t="shared" si="15"/>
        <v>0.56621621621621621</v>
      </c>
    </row>
    <row r="463" spans="1:7" ht="13">
      <c r="A463" s="4" t="s">
        <v>114</v>
      </c>
      <c r="B463" s="1">
        <v>4.9000000000000004</v>
      </c>
      <c r="C463" s="1">
        <v>287</v>
      </c>
      <c r="D463" s="1" t="s">
        <v>38</v>
      </c>
      <c r="E463" s="1" t="s">
        <v>14</v>
      </c>
      <c r="F463" s="1">
        <f t="shared" si="14"/>
        <v>490.00000000000006</v>
      </c>
      <c r="G463" s="5">
        <f t="shared" si="15"/>
        <v>0.58571428571428563</v>
      </c>
    </row>
    <row r="464" spans="1:7" ht="13">
      <c r="A464" s="4" t="s">
        <v>114</v>
      </c>
      <c r="B464" s="1">
        <v>6.8</v>
      </c>
      <c r="C464" s="1">
        <v>438</v>
      </c>
      <c r="D464" s="1" t="s">
        <v>11</v>
      </c>
      <c r="E464" s="1" t="s">
        <v>26</v>
      </c>
      <c r="F464" s="1">
        <f t="shared" si="14"/>
        <v>680</v>
      </c>
      <c r="G464" s="5">
        <f t="shared" si="15"/>
        <v>0.64411764705882357</v>
      </c>
    </row>
    <row r="465" spans="1:7" ht="13">
      <c r="A465" s="4" t="s">
        <v>114</v>
      </c>
      <c r="B465" s="1">
        <v>3.2</v>
      </c>
      <c r="C465" s="1">
        <v>201</v>
      </c>
      <c r="D465" s="1" t="s">
        <v>39</v>
      </c>
      <c r="E465" s="1" t="s">
        <v>17</v>
      </c>
      <c r="F465" s="1">
        <f t="shared" si="14"/>
        <v>320</v>
      </c>
      <c r="G465" s="5">
        <f t="shared" si="15"/>
        <v>0.62812500000000004</v>
      </c>
    </row>
    <row r="466" spans="1:7" ht="13">
      <c r="A466" s="4" t="s">
        <v>114</v>
      </c>
      <c r="B466" s="1">
        <v>7</v>
      </c>
      <c r="C466" s="1">
        <v>391</v>
      </c>
      <c r="D466" s="1" t="s">
        <v>33</v>
      </c>
      <c r="E466" s="1" t="s">
        <v>15</v>
      </c>
      <c r="F466" s="1">
        <f t="shared" si="14"/>
        <v>700</v>
      </c>
      <c r="G466" s="5">
        <f t="shared" si="15"/>
        <v>0.55857142857142861</v>
      </c>
    </row>
    <row r="467" spans="1:7" ht="13">
      <c r="A467" s="4" t="s">
        <v>114</v>
      </c>
      <c r="B467" s="1">
        <v>6.88</v>
      </c>
      <c r="C467" s="1">
        <v>373</v>
      </c>
      <c r="D467" s="1" t="s">
        <v>53</v>
      </c>
      <c r="E467" s="1" t="s">
        <v>16</v>
      </c>
      <c r="F467" s="1">
        <f t="shared" si="14"/>
        <v>688</v>
      </c>
      <c r="G467" s="5">
        <f t="shared" si="15"/>
        <v>0.54215116279069764</v>
      </c>
    </row>
    <row r="468" spans="1:7" ht="13">
      <c r="A468" s="4" t="s">
        <v>114</v>
      </c>
      <c r="B468" s="1">
        <v>6.88</v>
      </c>
      <c r="C468" s="1">
        <v>398</v>
      </c>
      <c r="D468" s="1" t="s">
        <v>33</v>
      </c>
      <c r="E468" s="1" t="s">
        <v>10</v>
      </c>
      <c r="F468" s="1">
        <f t="shared" si="14"/>
        <v>688</v>
      </c>
      <c r="G468" s="5">
        <f t="shared" si="15"/>
        <v>0.57848837209302328</v>
      </c>
    </row>
    <row r="469" spans="1:7" ht="13">
      <c r="A469" s="4" t="s">
        <v>114</v>
      </c>
      <c r="B469" s="1">
        <v>6.8849999999999998</v>
      </c>
      <c r="C469" s="1">
        <v>383</v>
      </c>
      <c r="D469" s="1" t="s">
        <v>44</v>
      </c>
      <c r="E469" s="1" t="s">
        <v>22</v>
      </c>
      <c r="F469" s="1">
        <f t="shared" si="14"/>
        <v>688.5</v>
      </c>
      <c r="G469" s="5">
        <f t="shared" si="15"/>
        <v>0.55628177196804651</v>
      </c>
    </row>
    <row r="470" spans="1:7" ht="13">
      <c r="A470" s="4" t="s">
        <v>114</v>
      </c>
      <c r="B470" s="1">
        <v>6</v>
      </c>
      <c r="C470" s="1">
        <v>313</v>
      </c>
      <c r="D470" s="1" t="s">
        <v>55</v>
      </c>
      <c r="E470" s="1" t="s">
        <v>15</v>
      </c>
      <c r="F470" s="1">
        <f t="shared" si="14"/>
        <v>600</v>
      </c>
      <c r="G470" s="5">
        <f t="shared" si="15"/>
        <v>0.52166666666666661</v>
      </c>
    </row>
    <row r="471" spans="1:7" ht="13">
      <c r="A471" s="4" t="s">
        <v>114</v>
      </c>
      <c r="B471" s="1">
        <v>6</v>
      </c>
      <c r="C471" s="1">
        <v>460</v>
      </c>
      <c r="D471" s="1" t="s">
        <v>11</v>
      </c>
      <c r="E471" s="1" t="s">
        <v>22</v>
      </c>
      <c r="F471" s="1">
        <f t="shared" si="14"/>
        <v>600</v>
      </c>
      <c r="G471" s="5">
        <f t="shared" si="15"/>
        <v>0.76666666666666672</v>
      </c>
    </row>
    <row r="472" spans="1:7" ht="13">
      <c r="A472" s="4" t="s">
        <v>114</v>
      </c>
      <c r="B472" s="1">
        <v>4</v>
      </c>
      <c r="C472" s="1">
        <v>170</v>
      </c>
      <c r="D472" s="1" t="s">
        <v>33</v>
      </c>
      <c r="E472" s="1" t="s">
        <v>15</v>
      </c>
      <c r="F472" s="1">
        <f t="shared" si="14"/>
        <v>400</v>
      </c>
      <c r="G472" s="5">
        <f t="shared" si="15"/>
        <v>0.42499999999999999</v>
      </c>
    </row>
    <row r="473" spans="1:7" ht="13">
      <c r="A473" s="4" t="s">
        <v>114</v>
      </c>
      <c r="B473" s="1">
        <v>5.92</v>
      </c>
      <c r="C473" s="1">
        <v>432</v>
      </c>
      <c r="D473" s="1" t="s">
        <v>38</v>
      </c>
      <c r="E473" s="1" t="s">
        <v>31</v>
      </c>
      <c r="F473" s="1">
        <f t="shared" si="14"/>
        <v>592</v>
      </c>
      <c r="G473" s="5">
        <f t="shared" si="15"/>
        <v>0.72972972972972971</v>
      </c>
    </row>
    <row r="474" spans="1:7" ht="13">
      <c r="A474" s="4" t="s">
        <v>114</v>
      </c>
      <c r="B474" s="1">
        <v>5.4</v>
      </c>
      <c r="C474" s="1">
        <v>359</v>
      </c>
      <c r="D474" s="1" t="s">
        <v>35</v>
      </c>
      <c r="E474" s="1" t="s">
        <v>8</v>
      </c>
      <c r="F474" s="1">
        <f t="shared" si="14"/>
        <v>540</v>
      </c>
      <c r="G474" s="5">
        <f t="shared" si="15"/>
        <v>0.66481481481481486</v>
      </c>
    </row>
    <row r="475" spans="1:7" ht="13">
      <c r="A475" s="4" t="s">
        <v>114</v>
      </c>
      <c r="B475" s="1">
        <v>4</v>
      </c>
      <c r="C475" s="1">
        <v>274</v>
      </c>
      <c r="D475" s="1" t="s">
        <v>11</v>
      </c>
      <c r="E475" s="1" t="s">
        <v>24</v>
      </c>
      <c r="F475" s="1">
        <f t="shared" si="14"/>
        <v>400</v>
      </c>
      <c r="G475" s="5">
        <f t="shared" si="15"/>
        <v>0.68500000000000005</v>
      </c>
    </row>
    <row r="476" spans="1:7" ht="13">
      <c r="A476" s="4" t="s">
        <v>114</v>
      </c>
      <c r="B476" s="1">
        <v>4.92</v>
      </c>
      <c r="C476" s="1">
        <v>367</v>
      </c>
      <c r="D476" s="1" t="s">
        <v>11</v>
      </c>
      <c r="E476" s="1" t="s">
        <v>17</v>
      </c>
      <c r="F476" s="1">
        <f t="shared" si="14"/>
        <v>492</v>
      </c>
      <c r="G476" s="5">
        <f t="shared" si="15"/>
        <v>0.74593495934959353</v>
      </c>
    </row>
    <row r="477" spans="1:7" ht="13">
      <c r="A477" s="4" t="s">
        <v>114</v>
      </c>
      <c r="B477" s="1">
        <v>4</v>
      </c>
      <c r="C477" s="1">
        <v>222</v>
      </c>
      <c r="D477" s="1" t="s">
        <v>33</v>
      </c>
      <c r="E477" s="1" t="s">
        <v>22</v>
      </c>
      <c r="F477" s="1">
        <f t="shared" si="14"/>
        <v>400</v>
      </c>
      <c r="G477" s="5">
        <f t="shared" si="15"/>
        <v>0.55500000000000005</v>
      </c>
    </row>
    <row r="478" spans="1:7" ht="13">
      <c r="A478" s="4" t="s">
        <v>114</v>
      </c>
      <c r="B478" s="1">
        <v>8.6999999999999993</v>
      </c>
      <c r="C478" s="1">
        <v>558</v>
      </c>
      <c r="D478" s="1" t="s">
        <v>11</v>
      </c>
      <c r="E478" s="1" t="s">
        <v>8</v>
      </c>
      <c r="F478" s="1">
        <f t="shared" si="14"/>
        <v>869.99999999999989</v>
      </c>
      <c r="G478" s="5">
        <f t="shared" si="15"/>
        <v>0.64137931034482765</v>
      </c>
    </row>
    <row r="479" spans="1:7" ht="13">
      <c r="A479" s="4" t="s">
        <v>114</v>
      </c>
      <c r="B479" s="1">
        <v>8.1</v>
      </c>
      <c r="C479" s="1">
        <v>569</v>
      </c>
      <c r="D479" s="1" t="s">
        <v>33</v>
      </c>
      <c r="E479" s="1" t="s">
        <v>12</v>
      </c>
      <c r="F479" s="1">
        <f t="shared" si="14"/>
        <v>810</v>
      </c>
      <c r="G479" s="5">
        <f t="shared" si="15"/>
        <v>0.70246913580246917</v>
      </c>
    </row>
    <row r="480" spans="1:7" ht="13">
      <c r="A480" s="4" t="s">
        <v>114</v>
      </c>
      <c r="B480" s="1">
        <v>4.3499999999999996</v>
      </c>
      <c r="C480" s="1">
        <v>400</v>
      </c>
      <c r="D480" s="1" t="s">
        <v>43</v>
      </c>
      <c r="E480" s="1" t="s">
        <v>9</v>
      </c>
      <c r="F480" s="1">
        <f t="shared" ref="F480:F543" si="16">B480*100</f>
        <v>434.99999999999994</v>
      </c>
      <c r="G480" s="5">
        <f t="shared" si="15"/>
        <v>0.91954022988505757</v>
      </c>
    </row>
    <row r="481" spans="1:7" ht="13">
      <c r="A481" s="4" t="s">
        <v>114</v>
      </c>
      <c r="B481" s="1">
        <v>6.1</v>
      </c>
      <c r="C481" s="1">
        <v>359</v>
      </c>
      <c r="D481" s="1" t="s">
        <v>48</v>
      </c>
      <c r="E481" s="1" t="s">
        <v>23</v>
      </c>
      <c r="F481" s="1">
        <f t="shared" si="16"/>
        <v>610</v>
      </c>
      <c r="G481" s="5">
        <f t="shared" si="15"/>
        <v>0.58852459016393444</v>
      </c>
    </row>
    <row r="482" spans="1:7" ht="13">
      <c r="A482" s="4" t="s">
        <v>114</v>
      </c>
      <c r="B482" s="1">
        <v>5.5</v>
      </c>
      <c r="C482" s="1">
        <v>363</v>
      </c>
      <c r="D482" s="1" t="s">
        <v>42</v>
      </c>
      <c r="E482" s="1" t="s">
        <v>17</v>
      </c>
      <c r="F482" s="1">
        <f t="shared" si="16"/>
        <v>550</v>
      </c>
      <c r="G482" s="5">
        <f t="shared" si="15"/>
        <v>0.66</v>
      </c>
    </row>
    <row r="483" spans="1:7" ht="13">
      <c r="A483" s="4" t="s">
        <v>114</v>
      </c>
      <c r="B483" s="1">
        <v>4</v>
      </c>
      <c r="C483" s="1">
        <v>192</v>
      </c>
      <c r="D483" s="1" t="s">
        <v>50</v>
      </c>
      <c r="E483" s="1" t="s">
        <v>15</v>
      </c>
      <c r="F483" s="1">
        <f t="shared" si="16"/>
        <v>400</v>
      </c>
      <c r="G483" s="5">
        <f t="shared" si="15"/>
        <v>0.48</v>
      </c>
    </row>
    <row r="484" spans="1:7" ht="13">
      <c r="A484" s="4" t="s">
        <v>114</v>
      </c>
      <c r="B484" s="1">
        <v>5.8</v>
      </c>
      <c r="C484" s="1">
        <v>428</v>
      </c>
      <c r="D484" s="1" t="s">
        <v>11</v>
      </c>
      <c r="E484" s="1" t="s">
        <v>16</v>
      </c>
      <c r="F484" s="1">
        <f t="shared" si="16"/>
        <v>580</v>
      </c>
      <c r="G484" s="5">
        <f t="shared" si="15"/>
        <v>0.73793103448275865</v>
      </c>
    </row>
    <row r="485" spans="1:7" ht="13">
      <c r="A485" s="4" t="s">
        <v>114</v>
      </c>
      <c r="B485" s="1">
        <v>6.5</v>
      </c>
      <c r="C485" s="1">
        <v>443</v>
      </c>
      <c r="D485" s="1" t="s">
        <v>72</v>
      </c>
      <c r="E485" s="1" t="s">
        <v>8</v>
      </c>
      <c r="F485" s="1">
        <f t="shared" si="16"/>
        <v>650</v>
      </c>
      <c r="G485" s="5">
        <f t="shared" si="15"/>
        <v>0.68153846153846154</v>
      </c>
    </row>
    <row r="486" spans="1:7" ht="13">
      <c r="A486" s="4" t="s">
        <v>114</v>
      </c>
      <c r="B486" s="1">
        <v>6</v>
      </c>
      <c r="C486" s="1">
        <v>405</v>
      </c>
      <c r="D486" s="1" t="s">
        <v>42</v>
      </c>
      <c r="E486" s="1" t="s">
        <v>26</v>
      </c>
      <c r="F486" s="1">
        <f t="shared" si="16"/>
        <v>600</v>
      </c>
      <c r="G486" s="5">
        <f t="shared" si="15"/>
        <v>0.67500000000000004</v>
      </c>
    </row>
    <row r="487" spans="1:7" ht="13">
      <c r="A487" s="4" t="s">
        <v>114</v>
      </c>
      <c r="B487" s="1">
        <v>6.88</v>
      </c>
      <c r="C487" s="1">
        <v>350</v>
      </c>
      <c r="D487" s="1" t="s">
        <v>73</v>
      </c>
      <c r="E487" s="1" t="s">
        <v>32</v>
      </c>
      <c r="F487" s="1">
        <f t="shared" si="16"/>
        <v>688</v>
      </c>
      <c r="G487" s="5">
        <f t="shared" si="15"/>
        <v>0.50872093023255816</v>
      </c>
    </row>
    <row r="488" spans="1:7" ht="13">
      <c r="A488" s="4" t="s">
        <v>114</v>
      </c>
      <c r="B488" s="1">
        <v>7.1</v>
      </c>
      <c r="C488" s="1">
        <v>493</v>
      </c>
      <c r="D488" s="1" t="s">
        <v>47</v>
      </c>
      <c r="E488" s="1" t="s">
        <v>25</v>
      </c>
      <c r="F488" s="1">
        <f t="shared" si="16"/>
        <v>710</v>
      </c>
      <c r="G488" s="5">
        <f t="shared" si="15"/>
        <v>0.69436619718309855</v>
      </c>
    </row>
    <row r="489" spans="1:7" ht="13">
      <c r="A489" s="4" t="s">
        <v>114</v>
      </c>
      <c r="B489" s="1">
        <v>7.74</v>
      </c>
      <c r="C489" s="1">
        <v>501</v>
      </c>
      <c r="D489" s="1" t="s">
        <v>44</v>
      </c>
      <c r="E489" s="1" t="s">
        <v>9</v>
      </c>
      <c r="F489" s="1">
        <f t="shared" si="16"/>
        <v>774</v>
      </c>
      <c r="G489" s="5">
        <f t="shared" si="15"/>
        <v>0.6472868217054264</v>
      </c>
    </row>
    <row r="490" spans="1:7" ht="13">
      <c r="A490" s="4" t="s">
        <v>114</v>
      </c>
      <c r="B490" s="1">
        <v>7.8</v>
      </c>
      <c r="C490" s="1">
        <v>494</v>
      </c>
      <c r="D490" s="1" t="s">
        <v>44</v>
      </c>
      <c r="E490" s="1" t="s">
        <v>12</v>
      </c>
      <c r="F490" s="1">
        <f t="shared" si="16"/>
        <v>780</v>
      </c>
      <c r="G490" s="5">
        <f t="shared" si="15"/>
        <v>0.6333333333333333</v>
      </c>
    </row>
    <row r="491" spans="1:7" ht="13">
      <c r="A491" s="4" t="s">
        <v>114</v>
      </c>
      <c r="B491" s="1">
        <v>6.8</v>
      </c>
      <c r="C491" s="1">
        <v>503</v>
      </c>
      <c r="D491" s="1" t="s">
        <v>11</v>
      </c>
      <c r="E491" s="1" t="s">
        <v>23</v>
      </c>
      <c r="F491" s="1">
        <f t="shared" si="16"/>
        <v>680</v>
      </c>
      <c r="G491" s="5">
        <f t="shared" si="15"/>
        <v>0.73970588235294121</v>
      </c>
    </row>
    <row r="492" spans="1:7" ht="13">
      <c r="A492" s="4" t="s">
        <v>114</v>
      </c>
      <c r="B492" s="1">
        <v>14</v>
      </c>
      <c r="C492" s="1">
        <v>353</v>
      </c>
      <c r="D492" s="1" t="s">
        <v>33</v>
      </c>
      <c r="E492" s="1" t="s">
        <v>30</v>
      </c>
      <c r="F492" s="1">
        <f t="shared" si="16"/>
        <v>1400</v>
      </c>
      <c r="G492" s="5">
        <f t="shared" si="15"/>
        <v>0.25214285714285717</v>
      </c>
    </row>
    <row r="493" spans="1:7" ht="13">
      <c r="A493" s="4" t="s">
        <v>114</v>
      </c>
      <c r="B493" s="1">
        <v>7</v>
      </c>
      <c r="C493" s="1">
        <v>423</v>
      </c>
      <c r="D493" s="1" t="s">
        <v>11</v>
      </c>
      <c r="E493" s="1" t="s">
        <v>8</v>
      </c>
      <c r="F493" s="1">
        <f t="shared" si="16"/>
        <v>700</v>
      </c>
      <c r="G493" s="5">
        <f t="shared" si="15"/>
        <v>0.60428571428571431</v>
      </c>
    </row>
    <row r="494" spans="1:7" ht="13">
      <c r="A494" s="4" t="s">
        <v>114</v>
      </c>
      <c r="B494" s="1">
        <v>6.72</v>
      </c>
      <c r="C494" s="1">
        <v>483</v>
      </c>
      <c r="D494" s="1" t="s">
        <v>11</v>
      </c>
      <c r="E494" s="1" t="s">
        <v>17</v>
      </c>
      <c r="F494" s="1">
        <f t="shared" si="16"/>
        <v>672</v>
      </c>
      <c r="G494" s="5">
        <f t="shared" si="15"/>
        <v>0.71875</v>
      </c>
    </row>
    <row r="495" spans="1:7" ht="13">
      <c r="A495" s="4" t="s">
        <v>114</v>
      </c>
      <c r="B495" s="1">
        <v>7.29</v>
      </c>
      <c r="C495" s="1">
        <v>435</v>
      </c>
      <c r="D495" s="1" t="s">
        <v>11</v>
      </c>
      <c r="E495" s="1" t="s">
        <v>27</v>
      </c>
      <c r="F495" s="1">
        <f t="shared" si="16"/>
        <v>729</v>
      </c>
      <c r="G495" s="5">
        <f t="shared" si="15"/>
        <v>0.5967078189300411</v>
      </c>
    </row>
    <row r="496" spans="1:7" ht="13">
      <c r="A496" s="4" t="s">
        <v>114</v>
      </c>
      <c r="B496" s="1">
        <v>8.1</v>
      </c>
      <c r="C496" s="1">
        <v>435</v>
      </c>
      <c r="D496" s="1" t="s">
        <v>33</v>
      </c>
      <c r="E496" s="1" t="s">
        <v>17</v>
      </c>
      <c r="F496" s="1">
        <f t="shared" si="16"/>
        <v>810</v>
      </c>
      <c r="G496" s="5">
        <f t="shared" si="15"/>
        <v>0.53703703703703709</v>
      </c>
    </row>
    <row r="497" spans="1:7" ht="13">
      <c r="A497" s="4" t="s">
        <v>114</v>
      </c>
      <c r="B497" s="1">
        <v>7.9</v>
      </c>
      <c r="C497" s="1">
        <v>550</v>
      </c>
      <c r="D497" s="1" t="s">
        <v>35</v>
      </c>
      <c r="E497" s="1" t="s">
        <v>8</v>
      </c>
      <c r="F497" s="1">
        <f t="shared" si="16"/>
        <v>790</v>
      </c>
      <c r="G497" s="5">
        <f t="shared" si="15"/>
        <v>0.69620253164556967</v>
      </c>
    </row>
    <row r="498" spans="1:7" ht="13">
      <c r="A498" s="4" t="s">
        <v>114</v>
      </c>
      <c r="B498" s="1">
        <v>4.5</v>
      </c>
      <c r="C498" s="1">
        <v>235</v>
      </c>
      <c r="D498" s="1" t="s">
        <v>33</v>
      </c>
      <c r="E498" s="1" t="s">
        <v>8</v>
      </c>
      <c r="F498" s="1">
        <f t="shared" si="16"/>
        <v>450</v>
      </c>
      <c r="G498" s="5">
        <f t="shared" si="15"/>
        <v>0.52222222222222225</v>
      </c>
    </row>
    <row r="499" spans="1:7" ht="13">
      <c r="A499" s="4" t="s">
        <v>114</v>
      </c>
      <c r="B499" s="1">
        <v>5</v>
      </c>
      <c r="C499" s="1">
        <v>294</v>
      </c>
      <c r="D499" s="1" t="s">
        <v>33</v>
      </c>
      <c r="E499" s="1" t="s">
        <v>15</v>
      </c>
      <c r="F499" s="1">
        <f t="shared" si="16"/>
        <v>500</v>
      </c>
      <c r="G499" s="5">
        <f t="shared" si="15"/>
        <v>0.58799999999999997</v>
      </c>
    </row>
    <row r="500" spans="1:7" ht="13">
      <c r="A500" s="4" t="s">
        <v>114</v>
      </c>
      <c r="B500" s="1">
        <v>7</v>
      </c>
      <c r="C500" s="1">
        <v>434</v>
      </c>
      <c r="D500" s="1" t="s">
        <v>11</v>
      </c>
      <c r="E500" s="1" t="s">
        <v>10</v>
      </c>
      <c r="F500" s="1">
        <f t="shared" si="16"/>
        <v>700</v>
      </c>
      <c r="G500" s="5">
        <f t="shared" si="15"/>
        <v>0.62</v>
      </c>
    </row>
    <row r="501" spans="1:7" ht="13">
      <c r="A501" s="4" t="s">
        <v>114</v>
      </c>
      <c r="B501" s="1">
        <v>4.8</v>
      </c>
      <c r="C501" s="1">
        <v>256</v>
      </c>
      <c r="D501" s="1" t="s">
        <v>42</v>
      </c>
      <c r="E501" s="1" t="s">
        <v>12</v>
      </c>
      <c r="F501" s="1">
        <f t="shared" si="16"/>
        <v>480</v>
      </c>
      <c r="G501" s="5">
        <f t="shared" si="15"/>
        <v>0.53333333333333333</v>
      </c>
    </row>
    <row r="502" spans="1:7" ht="13">
      <c r="A502" s="4" t="s">
        <v>114</v>
      </c>
      <c r="B502" s="1">
        <v>3.9</v>
      </c>
      <c r="C502" s="1">
        <v>279</v>
      </c>
      <c r="D502" s="1" t="s">
        <v>11</v>
      </c>
      <c r="E502" s="1" t="s">
        <v>19</v>
      </c>
      <c r="F502" s="1">
        <f t="shared" si="16"/>
        <v>390</v>
      </c>
      <c r="G502" s="5">
        <f t="shared" si="15"/>
        <v>0.7153846153846154</v>
      </c>
    </row>
    <row r="503" spans="1:7" ht="13">
      <c r="A503" s="4" t="s">
        <v>114</v>
      </c>
      <c r="B503" s="1">
        <v>5.8</v>
      </c>
      <c r="C503" s="1">
        <v>331</v>
      </c>
      <c r="D503" s="1" t="s">
        <v>74</v>
      </c>
      <c r="E503" s="1" t="s">
        <v>10</v>
      </c>
      <c r="F503" s="1">
        <f t="shared" si="16"/>
        <v>580</v>
      </c>
      <c r="G503" s="5">
        <f t="shared" si="15"/>
        <v>0.57068965517241377</v>
      </c>
    </row>
    <row r="504" spans="1:7" ht="13">
      <c r="A504" s="4" t="s">
        <v>114</v>
      </c>
      <c r="B504" s="1">
        <v>4</v>
      </c>
      <c r="C504" s="1">
        <v>262</v>
      </c>
      <c r="D504" s="1" t="s">
        <v>47</v>
      </c>
      <c r="E504" s="1" t="s">
        <v>31</v>
      </c>
      <c r="F504" s="1">
        <f t="shared" si="16"/>
        <v>400</v>
      </c>
      <c r="G504" s="5">
        <f t="shared" si="15"/>
        <v>0.65500000000000003</v>
      </c>
    </row>
    <row r="505" spans="1:7" ht="13">
      <c r="A505" s="4" t="s">
        <v>114</v>
      </c>
      <c r="B505" s="1">
        <v>6.3</v>
      </c>
      <c r="C505" s="1">
        <v>401</v>
      </c>
      <c r="D505" s="1" t="s">
        <v>39</v>
      </c>
      <c r="E505" s="1" t="s">
        <v>23</v>
      </c>
      <c r="F505" s="1">
        <f t="shared" si="16"/>
        <v>630</v>
      </c>
      <c r="G505" s="5">
        <f t="shared" si="15"/>
        <v>0.63650793650793647</v>
      </c>
    </row>
    <row r="506" spans="1:7" ht="13">
      <c r="A506" s="4" t="s">
        <v>114</v>
      </c>
      <c r="B506" s="1">
        <v>6</v>
      </c>
      <c r="C506" s="1">
        <v>303</v>
      </c>
      <c r="D506" s="1" t="s">
        <v>67</v>
      </c>
      <c r="E506" s="1" t="s">
        <v>19</v>
      </c>
      <c r="F506" s="1">
        <f t="shared" si="16"/>
        <v>600</v>
      </c>
      <c r="G506" s="5">
        <f t="shared" si="15"/>
        <v>0.505</v>
      </c>
    </row>
    <row r="507" spans="1:7" ht="13">
      <c r="A507" s="4" t="s">
        <v>114</v>
      </c>
      <c r="B507" s="1">
        <v>6.23</v>
      </c>
      <c r="C507" s="1">
        <v>492</v>
      </c>
      <c r="D507" s="1" t="s">
        <v>11</v>
      </c>
      <c r="E507" s="1" t="s">
        <v>17</v>
      </c>
      <c r="F507" s="1">
        <f t="shared" si="16"/>
        <v>623</v>
      </c>
      <c r="G507" s="5">
        <f t="shared" si="15"/>
        <v>0.7897271268057785</v>
      </c>
    </row>
    <row r="508" spans="1:7" ht="13">
      <c r="A508" s="4" t="s">
        <v>114</v>
      </c>
      <c r="B508" s="1">
        <v>9.8000000000000007</v>
      </c>
      <c r="C508" s="1">
        <v>512</v>
      </c>
      <c r="D508" s="1" t="s">
        <v>33</v>
      </c>
      <c r="E508" s="1" t="s">
        <v>22</v>
      </c>
      <c r="F508" s="1">
        <f t="shared" si="16"/>
        <v>980.00000000000011</v>
      </c>
      <c r="G508" s="5">
        <f t="shared" si="15"/>
        <v>0.52244897959183667</v>
      </c>
    </row>
    <row r="509" spans="1:7" ht="13">
      <c r="A509" s="4" t="s">
        <v>114</v>
      </c>
      <c r="B509" s="1">
        <v>6.2</v>
      </c>
      <c r="C509" s="1">
        <v>429</v>
      </c>
      <c r="D509" s="1" t="s">
        <v>11</v>
      </c>
      <c r="E509" s="1" t="s">
        <v>22</v>
      </c>
      <c r="F509" s="1">
        <f t="shared" si="16"/>
        <v>620</v>
      </c>
      <c r="G509" s="5">
        <f t="shared" si="15"/>
        <v>0.6919354838709677</v>
      </c>
    </row>
    <row r="510" spans="1:7" ht="13">
      <c r="A510" s="4" t="s">
        <v>114</v>
      </c>
      <c r="B510" s="1">
        <v>5.2</v>
      </c>
      <c r="C510" s="1">
        <v>328</v>
      </c>
      <c r="D510" s="1" t="s">
        <v>39</v>
      </c>
      <c r="E510" s="1" t="s">
        <v>18</v>
      </c>
      <c r="F510" s="1">
        <f t="shared" si="16"/>
        <v>520</v>
      </c>
      <c r="G510" s="5">
        <f t="shared" si="15"/>
        <v>0.63076923076923075</v>
      </c>
    </row>
    <row r="511" spans="1:7" ht="13">
      <c r="A511" s="4" t="s">
        <v>114</v>
      </c>
      <c r="B511" s="1">
        <v>3.44</v>
      </c>
      <c r="C511" s="1">
        <v>277</v>
      </c>
      <c r="D511" s="1" t="s">
        <v>43</v>
      </c>
      <c r="E511" s="1" t="s">
        <v>8</v>
      </c>
      <c r="F511" s="1">
        <f t="shared" si="16"/>
        <v>344</v>
      </c>
      <c r="G511" s="5">
        <f t="shared" si="15"/>
        <v>0.80523255813953487</v>
      </c>
    </row>
    <row r="512" spans="1:7" ht="13">
      <c r="A512" s="4" t="s">
        <v>114</v>
      </c>
      <c r="B512" s="1">
        <v>7.74</v>
      </c>
      <c r="C512" s="1">
        <v>606.79999999999995</v>
      </c>
      <c r="D512" s="1" t="s">
        <v>11</v>
      </c>
      <c r="E512" s="1" t="s">
        <v>20</v>
      </c>
      <c r="F512" s="1">
        <f t="shared" si="16"/>
        <v>774</v>
      </c>
      <c r="G512" s="5">
        <f t="shared" si="15"/>
        <v>0.78397932816537463</v>
      </c>
    </row>
    <row r="513" spans="1:7" ht="13">
      <c r="A513" s="4" t="s">
        <v>114</v>
      </c>
      <c r="B513" s="1">
        <v>9.5</v>
      </c>
      <c r="C513" s="1">
        <v>490</v>
      </c>
      <c r="D513" s="1" t="s">
        <v>33</v>
      </c>
      <c r="E513" s="1" t="s">
        <v>18</v>
      </c>
      <c r="F513" s="1">
        <f t="shared" si="16"/>
        <v>950</v>
      </c>
      <c r="G513" s="5">
        <f t="shared" si="15"/>
        <v>0.51578947368421058</v>
      </c>
    </row>
    <row r="514" spans="1:7" ht="13">
      <c r="A514" s="4" t="s">
        <v>114</v>
      </c>
      <c r="B514" s="1">
        <v>6.09</v>
      </c>
      <c r="C514" s="1">
        <v>418.32</v>
      </c>
      <c r="D514" s="1" t="s">
        <v>43</v>
      </c>
      <c r="E514" s="1" t="s">
        <v>8</v>
      </c>
      <c r="F514" s="1">
        <f t="shared" si="16"/>
        <v>609</v>
      </c>
      <c r="G514" s="5">
        <f t="shared" ref="G514:G577" si="17">C514/F514</f>
        <v>0.68689655172413788</v>
      </c>
    </row>
    <row r="515" spans="1:7" ht="13">
      <c r="A515" s="4" t="s">
        <v>114</v>
      </c>
      <c r="B515" s="1">
        <v>7.2</v>
      </c>
      <c r="C515" s="1">
        <v>498</v>
      </c>
      <c r="D515" s="1" t="s">
        <v>47</v>
      </c>
      <c r="E515" s="1" t="s">
        <v>17</v>
      </c>
      <c r="F515" s="1">
        <f t="shared" si="16"/>
        <v>720</v>
      </c>
      <c r="G515" s="5">
        <f t="shared" si="17"/>
        <v>0.69166666666666665</v>
      </c>
    </row>
    <row r="516" spans="1:7" ht="13">
      <c r="A516" s="4" t="s">
        <v>114</v>
      </c>
      <c r="B516" s="1">
        <v>7.8</v>
      </c>
      <c r="C516" s="1">
        <v>420</v>
      </c>
      <c r="D516" s="1" t="s">
        <v>33</v>
      </c>
      <c r="E516" s="1" t="s">
        <v>30</v>
      </c>
      <c r="F516" s="1">
        <f t="shared" si="16"/>
        <v>780</v>
      </c>
      <c r="G516" s="5">
        <f t="shared" si="17"/>
        <v>0.53846153846153844</v>
      </c>
    </row>
    <row r="517" spans="1:7" ht="13">
      <c r="A517" s="4" t="s">
        <v>114</v>
      </c>
      <c r="B517" s="1">
        <v>8.4</v>
      </c>
      <c r="C517" s="1">
        <v>484</v>
      </c>
      <c r="D517" s="1" t="s">
        <v>33</v>
      </c>
      <c r="E517" s="1" t="s">
        <v>25</v>
      </c>
      <c r="F517" s="1">
        <f t="shared" si="16"/>
        <v>840</v>
      </c>
      <c r="G517" s="5">
        <f t="shared" si="17"/>
        <v>0.57619047619047614</v>
      </c>
    </row>
    <row r="518" spans="1:7" ht="13">
      <c r="A518" s="4" t="s">
        <v>114</v>
      </c>
      <c r="B518" s="1">
        <v>3</v>
      </c>
      <c r="C518" s="1">
        <v>239.05</v>
      </c>
      <c r="D518" s="1" t="s">
        <v>11</v>
      </c>
      <c r="E518" s="1" t="s">
        <v>25</v>
      </c>
      <c r="F518" s="1">
        <f t="shared" si="16"/>
        <v>300</v>
      </c>
      <c r="G518" s="5">
        <f t="shared" si="17"/>
        <v>0.79683333333333339</v>
      </c>
    </row>
    <row r="519" spans="1:7" ht="13">
      <c r="A519" s="4" t="s">
        <v>114</v>
      </c>
      <c r="B519" s="1">
        <v>3.8</v>
      </c>
      <c r="C519" s="1">
        <v>238</v>
      </c>
      <c r="D519" s="1" t="s">
        <v>11</v>
      </c>
      <c r="E519" s="1" t="s">
        <v>31</v>
      </c>
      <c r="F519" s="1">
        <f t="shared" si="16"/>
        <v>380</v>
      </c>
      <c r="G519" s="5">
        <f t="shared" si="17"/>
        <v>0.62631578947368416</v>
      </c>
    </row>
    <row r="520" spans="1:7" ht="13">
      <c r="A520" s="4" t="s">
        <v>114</v>
      </c>
      <c r="B520" s="1">
        <v>6.5</v>
      </c>
      <c r="C520" s="1">
        <v>540</v>
      </c>
      <c r="D520" s="1" t="s">
        <v>11</v>
      </c>
      <c r="E520" s="1" t="s">
        <v>17</v>
      </c>
      <c r="F520" s="1">
        <f t="shared" si="16"/>
        <v>650</v>
      </c>
      <c r="G520" s="5">
        <f t="shared" si="17"/>
        <v>0.83076923076923082</v>
      </c>
    </row>
    <row r="521" spans="1:7" ht="13">
      <c r="A521" s="4" t="s">
        <v>114</v>
      </c>
      <c r="B521" s="1">
        <v>6.44</v>
      </c>
      <c r="C521" s="1">
        <v>447</v>
      </c>
      <c r="D521" s="1" t="s">
        <v>42</v>
      </c>
      <c r="E521" s="1" t="s">
        <v>22</v>
      </c>
      <c r="F521" s="1">
        <f t="shared" si="16"/>
        <v>644</v>
      </c>
      <c r="G521" s="5">
        <f t="shared" si="17"/>
        <v>0.69409937888198758</v>
      </c>
    </row>
    <row r="522" spans="1:7" ht="13">
      <c r="A522" s="4" t="s">
        <v>114</v>
      </c>
      <c r="B522" s="1">
        <v>5.12</v>
      </c>
      <c r="C522" s="1">
        <v>321.2</v>
      </c>
      <c r="D522" s="1" t="s">
        <v>39</v>
      </c>
      <c r="E522" s="1" t="s">
        <v>15</v>
      </c>
      <c r="F522" s="1">
        <f t="shared" si="16"/>
        <v>512</v>
      </c>
      <c r="G522" s="5">
        <f t="shared" si="17"/>
        <v>0.62734374999999998</v>
      </c>
    </row>
    <row r="523" spans="1:7" ht="13">
      <c r="A523" s="4" t="s">
        <v>114</v>
      </c>
      <c r="B523" s="1">
        <v>6</v>
      </c>
      <c r="C523" s="1">
        <v>459.23</v>
      </c>
      <c r="D523" s="1" t="s">
        <v>11</v>
      </c>
      <c r="E523" s="1" t="s">
        <v>23</v>
      </c>
      <c r="F523" s="1">
        <f t="shared" si="16"/>
        <v>600</v>
      </c>
      <c r="G523" s="5">
        <f t="shared" si="17"/>
        <v>0.76538333333333342</v>
      </c>
    </row>
    <row r="524" spans="1:7" ht="13">
      <c r="A524" s="4" t="s">
        <v>114</v>
      </c>
      <c r="B524" s="1">
        <v>7.4</v>
      </c>
      <c r="C524" s="1">
        <v>431</v>
      </c>
      <c r="D524" s="1" t="s">
        <v>33</v>
      </c>
      <c r="E524" s="1" t="s">
        <v>7</v>
      </c>
      <c r="F524" s="1">
        <f t="shared" si="16"/>
        <v>740</v>
      </c>
      <c r="G524" s="5">
        <f t="shared" si="17"/>
        <v>0.58243243243243248</v>
      </c>
    </row>
    <row r="525" spans="1:7" ht="13">
      <c r="A525" s="4" t="s">
        <v>114</v>
      </c>
      <c r="B525" s="1">
        <v>8.8000000000000007</v>
      </c>
      <c r="C525" s="1">
        <v>550</v>
      </c>
      <c r="D525" s="1" t="s">
        <v>47</v>
      </c>
      <c r="E525" s="1" t="s">
        <v>30</v>
      </c>
      <c r="F525" s="1">
        <f t="shared" si="16"/>
        <v>880.00000000000011</v>
      </c>
      <c r="G525" s="5">
        <f t="shared" si="17"/>
        <v>0.62499999999999989</v>
      </c>
    </row>
    <row r="526" spans="1:7" ht="13">
      <c r="A526" s="4" t="s">
        <v>114</v>
      </c>
      <c r="B526" s="1">
        <v>3.9</v>
      </c>
      <c r="C526" s="1">
        <v>240</v>
      </c>
      <c r="D526" s="1" t="s">
        <v>11</v>
      </c>
      <c r="E526" s="1" t="s">
        <v>15</v>
      </c>
      <c r="F526" s="1">
        <f t="shared" si="16"/>
        <v>390</v>
      </c>
      <c r="G526" s="5">
        <f t="shared" si="17"/>
        <v>0.61538461538461542</v>
      </c>
    </row>
    <row r="527" spans="1:7" ht="13">
      <c r="A527" s="4" t="s">
        <v>114</v>
      </c>
      <c r="B527" s="1">
        <v>7.9</v>
      </c>
      <c r="C527" s="1">
        <v>466</v>
      </c>
      <c r="D527" s="1" t="s">
        <v>11</v>
      </c>
      <c r="E527" s="1" t="s">
        <v>27</v>
      </c>
      <c r="F527" s="1">
        <f t="shared" si="16"/>
        <v>790</v>
      </c>
      <c r="G527" s="5">
        <f t="shared" si="17"/>
        <v>0.58987341772151902</v>
      </c>
    </row>
    <row r="528" spans="1:7" ht="13">
      <c r="A528" s="4" t="s">
        <v>114</v>
      </c>
      <c r="B528" s="1">
        <v>5</v>
      </c>
      <c r="C528" s="1">
        <v>359</v>
      </c>
      <c r="D528" s="1" t="s">
        <v>43</v>
      </c>
      <c r="E528" s="1" t="s">
        <v>17</v>
      </c>
      <c r="F528" s="1">
        <f t="shared" si="16"/>
        <v>500</v>
      </c>
      <c r="G528" s="5">
        <f t="shared" si="17"/>
        <v>0.71799999999999997</v>
      </c>
    </row>
    <row r="529" spans="1:7" ht="13">
      <c r="A529" s="4" t="s">
        <v>114</v>
      </c>
      <c r="B529" s="1">
        <v>7.4</v>
      </c>
      <c r="C529" s="1">
        <v>469</v>
      </c>
      <c r="D529" s="1" t="s">
        <v>11</v>
      </c>
      <c r="E529" s="1" t="s">
        <v>17</v>
      </c>
      <c r="F529" s="1">
        <f t="shared" si="16"/>
        <v>740</v>
      </c>
      <c r="G529" s="5">
        <f t="shared" si="17"/>
        <v>0.63378378378378375</v>
      </c>
    </row>
    <row r="530" spans="1:7" ht="13">
      <c r="A530" s="4" t="s">
        <v>114</v>
      </c>
      <c r="B530" s="1">
        <v>6</v>
      </c>
      <c r="C530" s="1">
        <v>387</v>
      </c>
      <c r="D530" s="1" t="s">
        <v>47</v>
      </c>
      <c r="E530" s="1" t="s">
        <v>29</v>
      </c>
      <c r="F530" s="1">
        <f t="shared" si="16"/>
        <v>600</v>
      </c>
      <c r="G530" s="5">
        <f t="shared" si="17"/>
        <v>0.64500000000000002</v>
      </c>
    </row>
    <row r="531" spans="1:7" ht="13">
      <c r="A531" s="4" t="s">
        <v>114</v>
      </c>
      <c r="B531" s="1">
        <v>8.6</v>
      </c>
      <c r="C531" s="1">
        <v>562</v>
      </c>
      <c r="D531" s="1" t="s">
        <v>11</v>
      </c>
      <c r="E531" s="1" t="s">
        <v>68</v>
      </c>
      <c r="F531" s="1">
        <f t="shared" si="16"/>
        <v>860</v>
      </c>
      <c r="G531" s="5">
        <f t="shared" si="17"/>
        <v>0.65348837209302324</v>
      </c>
    </row>
    <row r="532" spans="1:7" ht="13">
      <c r="A532" s="4" t="s">
        <v>114</v>
      </c>
      <c r="B532" s="1">
        <v>6.2</v>
      </c>
      <c r="C532" s="1">
        <v>282</v>
      </c>
      <c r="D532" s="1" t="s">
        <v>33</v>
      </c>
      <c r="E532" s="1" t="s">
        <v>15</v>
      </c>
      <c r="F532" s="1">
        <f t="shared" si="16"/>
        <v>620</v>
      </c>
      <c r="G532" s="5">
        <f t="shared" si="17"/>
        <v>0.45483870967741935</v>
      </c>
    </row>
    <row r="533" spans="1:7" ht="13">
      <c r="A533" s="4" t="s">
        <v>114</v>
      </c>
      <c r="B533" s="1">
        <v>7.3</v>
      </c>
      <c r="C533" s="1">
        <v>555</v>
      </c>
      <c r="D533" s="1" t="s">
        <v>38</v>
      </c>
      <c r="E533" s="1" t="s">
        <v>9</v>
      </c>
      <c r="F533" s="1">
        <f t="shared" si="16"/>
        <v>730</v>
      </c>
      <c r="G533" s="5">
        <f t="shared" si="17"/>
        <v>0.76027397260273977</v>
      </c>
    </row>
    <row r="534" spans="1:7" ht="13">
      <c r="A534" s="4" t="s">
        <v>114</v>
      </c>
      <c r="B534" s="1">
        <v>7.74</v>
      </c>
      <c r="C534" s="1">
        <v>410</v>
      </c>
      <c r="D534" s="1" t="s">
        <v>52</v>
      </c>
      <c r="E534" s="1" t="s">
        <v>7</v>
      </c>
      <c r="F534" s="1">
        <f t="shared" si="16"/>
        <v>774</v>
      </c>
      <c r="G534" s="5">
        <f t="shared" si="17"/>
        <v>0.52971576227390182</v>
      </c>
    </row>
    <row r="535" spans="1:7" ht="13">
      <c r="A535" s="4" t="s">
        <v>114</v>
      </c>
      <c r="B535" s="1">
        <v>7.2</v>
      </c>
      <c r="C535" s="1">
        <v>551</v>
      </c>
      <c r="D535" s="1" t="s">
        <v>42</v>
      </c>
      <c r="E535" s="1" t="s">
        <v>26</v>
      </c>
      <c r="F535" s="1">
        <f t="shared" si="16"/>
        <v>720</v>
      </c>
      <c r="G535" s="5">
        <f t="shared" si="17"/>
        <v>0.76527777777777772</v>
      </c>
    </row>
    <row r="536" spans="1:7" ht="13">
      <c r="A536" s="4" t="s">
        <v>114</v>
      </c>
      <c r="B536" s="1">
        <v>9.5</v>
      </c>
      <c r="C536" s="1">
        <v>517</v>
      </c>
      <c r="D536" s="1" t="s">
        <v>11</v>
      </c>
      <c r="E536" s="1" t="s">
        <v>31</v>
      </c>
      <c r="F536" s="1">
        <f t="shared" si="16"/>
        <v>950</v>
      </c>
      <c r="G536" s="5">
        <f t="shared" si="17"/>
        <v>0.54421052631578948</v>
      </c>
    </row>
    <row r="537" spans="1:7" ht="13">
      <c r="A537" s="4" t="s">
        <v>114</v>
      </c>
      <c r="B537" s="1">
        <v>7.4</v>
      </c>
      <c r="C537" s="1">
        <v>430</v>
      </c>
      <c r="D537" s="1" t="s">
        <v>44</v>
      </c>
      <c r="E537" s="1" t="s">
        <v>30</v>
      </c>
      <c r="F537" s="1">
        <f t="shared" si="16"/>
        <v>740</v>
      </c>
      <c r="G537" s="5">
        <f t="shared" si="17"/>
        <v>0.58108108108108103</v>
      </c>
    </row>
    <row r="538" spans="1:7" ht="13">
      <c r="A538" s="4" t="s">
        <v>114</v>
      </c>
      <c r="B538" s="1">
        <v>5.46</v>
      </c>
      <c r="C538" s="1">
        <v>402</v>
      </c>
      <c r="D538" s="1" t="s">
        <v>47</v>
      </c>
      <c r="E538" s="1" t="s">
        <v>10</v>
      </c>
      <c r="F538" s="1">
        <f t="shared" si="16"/>
        <v>546</v>
      </c>
      <c r="G538" s="5">
        <f t="shared" si="17"/>
        <v>0.73626373626373631</v>
      </c>
    </row>
    <row r="539" spans="1:7" ht="13">
      <c r="A539" s="4" t="s">
        <v>114</v>
      </c>
      <c r="B539" s="1">
        <v>5.2</v>
      </c>
      <c r="C539" s="1">
        <v>249</v>
      </c>
      <c r="D539" s="1" t="s">
        <v>33</v>
      </c>
      <c r="E539" s="1" t="s">
        <v>7</v>
      </c>
      <c r="F539" s="1">
        <f t="shared" si="16"/>
        <v>520</v>
      </c>
      <c r="G539" s="5">
        <f t="shared" si="17"/>
        <v>0.47884615384615387</v>
      </c>
    </row>
    <row r="540" spans="1:7" ht="13">
      <c r="A540" s="4" t="s">
        <v>114</v>
      </c>
      <c r="B540" s="1">
        <v>7.3</v>
      </c>
      <c r="C540" s="1">
        <v>454</v>
      </c>
      <c r="D540" s="1" t="s">
        <v>11</v>
      </c>
      <c r="E540" s="1" t="s">
        <v>12</v>
      </c>
      <c r="F540" s="1">
        <f t="shared" si="16"/>
        <v>730</v>
      </c>
      <c r="G540" s="5">
        <f t="shared" si="17"/>
        <v>0.62191780821917808</v>
      </c>
    </row>
    <row r="541" spans="1:7" ht="13">
      <c r="A541" s="4" t="s">
        <v>114</v>
      </c>
      <c r="B541" s="1">
        <v>5.6</v>
      </c>
      <c r="C541" s="1">
        <v>335</v>
      </c>
      <c r="D541" s="1" t="s">
        <v>33</v>
      </c>
      <c r="E541" s="1" t="s">
        <v>22</v>
      </c>
      <c r="F541" s="1">
        <f t="shared" si="16"/>
        <v>560</v>
      </c>
      <c r="G541" s="5">
        <f t="shared" si="17"/>
        <v>0.5982142857142857</v>
      </c>
    </row>
    <row r="542" spans="1:7" ht="13">
      <c r="A542" s="4" t="s">
        <v>114</v>
      </c>
      <c r="B542" s="1">
        <v>8.64</v>
      </c>
      <c r="C542" s="1">
        <v>592</v>
      </c>
      <c r="D542" s="1" t="s">
        <v>11</v>
      </c>
      <c r="E542" s="1" t="s">
        <v>9</v>
      </c>
      <c r="F542" s="1">
        <f t="shared" si="16"/>
        <v>864</v>
      </c>
      <c r="G542" s="5">
        <f t="shared" si="17"/>
        <v>0.68518518518518523</v>
      </c>
    </row>
    <row r="543" spans="1:7" ht="13">
      <c r="A543" s="4" t="s">
        <v>114</v>
      </c>
      <c r="B543" s="1">
        <v>10.4</v>
      </c>
      <c r="C543" s="1">
        <v>562</v>
      </c>
      <c r="D543" s="1" t="s">
        <v>33</v>
      </c>
      <c r="E543" s="1" t="s">
        <v>19</v>
      </c>
      <c r="F543" s="1">
        <f t="shared" si="16"/>
        <v>1040</v>
      </c>
      <c r="G543" s="5">
        <f t="shared" si="17"/>
        <v>0.54038461538461535</v>
      </c>
    </row>
    <row r="544" spans="1:7" ht="13">
      <c r="A544" s="4" t="s">
        <v>114</v>
      </c>
      <c r="B544" s="1">
        <v>6.88</v>
      </c>
      <c r="C544" s="1">
        <v>427.42</v>
      </c>
      <c r="D544" s="1" t="s">
        <v>58</v>
      </c>
      <c r="E544" s="1" t="s">
        <v>7</v>
      </c>
      <c r="F544" s="1">
        <f t="shared" ref="F544:F607" si="18">B544*100</f>
        <v>688</v>
      </c>
      <c r="G544" s="5">
        <f t="shared" si="17"/>
        <v>0.62124999999999997</v>
      </c>
    </row>
    <row r="545" spans="1:7" ht="13">
      <c r="A545" s="4" t="s">
        <v>114</v>
      </c>
      <c r="B545" s="1">
        <v>6.1</v>
      </c>
      <c r="C545" s="1">
        <v>379</v>
      </c>
      <c r="D545" s="1" t="s">
        <v>33</v>
      </c>
      <c r="E545" s="1" t="s">
        <v>15</v>
      </c>
      <c r="F545" s="1">
        <f t="shared" si="18"/>
        <v>610</v>
      </c>
      <c r="G545" s="5">
        <f t="shared" si="17"/>
        <v>0.62131147540983611</v>
      </c>
    </row>
    <row r="546" spans="1:7" ht="13">
      <c r="A546" s="4" t="s">
        <v>114</v>
      </c>
      <c r="B546" s="1">
        <v>4.3</v>
      </c>
      <c r="C546" s="1">
        <v>188</v>
      </c>
      <c r="D546" s="1" t="s">
        <v>75</v>
      </c>
      <c r="E546" s="1" t="s">
        <v>26</v>
      </c>
      <c r="F546" s="1">
        <f t="shared" si="18"/>
        <v>430</v>
      </c>
      <c r="G546" s="5">
        <f t="shared" si="17"/>
        <v>0.43720930232558142</v>
      </c>
    </row>
    <row r="547" spans="1:7" ht="13">
      <c r="A547" s="4" t="s">
        <v>114</v>
      </c>
      <c r="B547" s="1">
        <v>6.7</v>
      </c>
      <c r="C547" s="1">
        <v>573</v>
      </c>
      <c r="D547" s="1" t="s">
        <v>11</v>
      </c>
      <c r="E547" s="1" t="s">
        <v>8</v>
      </c>
      <c r="F547" s="1">
        <f t="shared" si="18"/>
        <v>670</v>
      </c>
      <c r="G547" s="5">
        <f t="shared" si="17"/>
        <v>0.85522388059701493</v>
      </c>
    </row>
    <row r="548" spans="1:7" ht="13">
      <c r="A548" s="4" t="s">
        <v>114</v>
      </c>
      <c r="B548" s="1">
        <v>2.5</v>
      </c>
      <c r="C548" s="1">
        <v>175</v>
      </c>
      <c r="D548" s="1" t="s">
        <v>11</v>
      </c>
      <c r="E548" s="1" t="s">
        <v>24</v>
      </c>
      <c r="F548" s="1">
        <f t="shared" si="18"/>
        <v>250</v>
      </c>
      <c r="G548" s="5">
        <f t="shared" si="17"/>
        <v>0.7</v>
      </c>
    </row>
    <row r="549" spans="1:7" ht="13">
      <c r="A549" s="4" t="s">
        <v>114</v>
      </c>
      <c r="B549" s="1">
        <v>4.4000000000000004</v>
      </c>
      <c r="C549" s="1">
        <v>313</v>
      </c>
      <c r="D549" s="1" t="s">
        <v>11</v>
      </c>
      <c r="E549" s="1" t="s">
        <v>15</v>
      </c>
      <c r="F549" s="1">
        <f t="shared" si="18"/>
        <v>440.00000000000006</v>
      </c>
      <c r="G549" s="5">
        <f t="shared" si="17"/>
        <v>0.71136363636363631</v>
      </c>
    </row>
    <row r="550" spans="1:7" ht="13">
      <c r="A550" s="4" t="s">
        <v>114</v>
      </c>
      <c r="B550" s="1">
        <v>4.3</v>
      </c>
      <c r="C550" s="1">
        <v>309</v>
      </c>
      <c r="D550" s="1" t="s">
        <v>11</v>
      </c>
      <c r="E550" s="1" t="s">
        <v>22</v>
      </c>
      <c r="F550" s="1">
        <f t="shared" si="18"/>
        <v>430</v>
      </c>
      <c r="G550" s="5">
        <f t="shared" si="17"/>
        <v>0.71860465116279071</v>
      </c>
    </row>
    <row r="551" spans="1:7" ht="13">
      <c r="A551" s="4" t="s">
        <v>114</v>
      </c>
      <c r="B551" s="1">
        <v>6.24</v>
      </c>
      <c r="C551" s="1">
        <v>234</v>
      </c>
      <c r="D551" s="1" t="s">
        <v>11</v>
      </c>
      <c r="E551" s="1" t="s">
        <v>17</v>
      </c>
      <c r="F551" s="1">
        <f t="shared" si="18"/>
        <v>624</v>
      </c>
      <c r="G551" s="5">
        <f t="shared" si="17"/>
        <v>0.375</v>
      </c>
    </row>
    <row r="552" spans="1:7" ht="13">
      <c r="A552" s="4" t="s">
        <v>114</v>
      </c>
      <c r="B552" s="1">
        <v>8.1999999999999993</v>
      </c>
      <c r="C552" s="1">
        <v>525</v>
      </c>
      <c r="D552" s="1" t="s">
        <v>11</v>
      </c>
      <c r="E552" s="1" t="s">
        <v>17</v>
      </c>
      <c r="F552" s="1">
        <f t="shared" si="18"/>
        <v>819.99999999999989</v>
      </c>
      <c r="G552" s="5">
        <f t="shared" si="17"/>
        <v>0.64024390243902451</v>
      </c>
    </row>
    <row r="553" spans="1:7" ht="13">
      <c r="A553" s="4" t="s">
        <v>114</v>
      </c>
      <c r="B553" s="1">
        <v>6</v>
      </c>
      <c r="C553" s="1">
        <v>523</v>
      </c>
      <c r="D553" s="1" t="s">
        <v>35</v>
      </c>
      <c r="E553" s="1" t="s">
        <v>32</v>
      </c>
      <c r="F553" s="1">
        <f t="shared" si="18"/>
        <v>600</v>
      </c>
      <c r="G553" s="5">
        <f t="shared" si="17"/>
        <v>0.8716666666666667</v>
      </c>
    </row>
    <row r="554" spans="1:7" ht="13">
      <c r="A554" s="4" t="s">
        <v>114</v>
      </c>
      <c r="B554" s="1">
        <v>5.16</v>
      </c>
      <c r="C554" s="1">
        <v>302</v>
      </c>
      <c r="D554" s="1" t="s">
        <v>42</v>
      </c>
      <c r="E554" s="1" t="s">
        <v>22</v>
      </c>
      <c r="F554" s="1">
        <f t="shared" si="18"/>
        <v>516</v>
      </c>
      <c r="G554" s="5">
        <f t="shared" si="17"/>
        <v>0.5852713178294574</v>
      </c>
    </row>
    <row r="555" spans="1:7" ht="13">
      <c r="A555" s="4" t="s">
        <v>114</v>
      </c>
      <c r="B555" s="1">
        <v>5</v>
      </c>
      <c r="C555" s="1">
        <v>297</v>
      </c>
      <c r="D555" s="1" t="s">
        <v>35</v>
      </c>
      <c r="E555" s="1" t="s">
        <v>15</v>
      </c>
      <c r="F555" s="1">
        <f t="shared" si="18"/>
        <v>500</v>
      </c>
      <c r="G555" s="5">
        <f t="shared" si="17"/>
        <v>0.59399999999999997</v>
      </c>
    </row>
    <row r="556" spans="1:7" ht="13">
      <c r="A556" s="4" t="s">
        <v>114</v>
      </c>
      <c r="B556" s="1">
        <v>8.3000000000000007</v>
      </c>
      <c r="C556" s="1">
        <v>615</v>
      </c>
      <c r="D556" s="1" t="s">
        <v>11</v>
      </c>
      <c r="E556" s="1" t="s">
        <v>17</v>
      </c>
      <c r="F556" s="1">
        <f t="shared" si="18"/>
        <v>830.00000000000011</v>
      </c>
      <c r="G556" s="5">
        <f t="shared" si="17"/>
        <v>0.74096385542168663</v>
      </c>
    </row>
    <row r="557" spans="1:7" ht="13">
      <c r="A557" s="4" t="s">
        <v>114</v>
      </c>
      <c r="B557" s="1">
        <v>5.5</v>
      </c>
      <c r="C557" s="1">
        <v>376</v>
      </c>
      <c r="D557" s="1" t="s">
        <v>11</v>
      </c>
      <c r="E557" s="1" t="s">
        <v>15</v>
      </c>
      <c r="F557" s="1">
        <f t="shared" si="18"/>
        <v>550</v>
      </c>
      <c r="G557" s="5">
        <f t="shared" si="17"/>
        <v>0.6836363636363636</v>
      </c>
    </row>
    <row r="558" spans="1:7" ht="13">
      <c r="A558" s="4" t="s">
        <v>114</v>
      </c>
      <c r="B558" s="1">
        <v>5.81</v>
      </c>
      <c r="C558" s="1">
        <v>431</v>
      </c>
      <c r="D558" s="1" t="s">
        <v>38</v>
      </c>
      <c r="E558" s="1" t="s">
        <v>8</v>
      </c>
      <c r="F558" s="1">
        <f t="shared" si="18"/>
        <v>581</v>
      </c>
      <c r="G558" s="5">
        <f t="shared" si="17"/>
        <v>0.74182444061962138</v>
      </c>
    </row>
    <row r="559" spans="1:7" ht="13">
      <c r="A559" s="4" t="s">
        <v>114</v>
      </c>
      <c r="B559" s="1">
        <v>7.9</v>
      </c>
      <c r="C559" s="1">
        <v>463</v>
      </c>
      <c r="D559" s="1" t="s">
        <v>33</v>
      </c>
      <c r="E559" s="1" t="s">
        <v>26</v>
      </c>
      <c r="F559" s="1">
        <f t="shared" si="18"/>
        <v>790</v>
      </c>
      <c r="G559" s="5">
        <f t="shared" si="17"/>
        <v>0.58607594936708862</v>
      </c>
    </row>
    <row r="560" spans="1:7" ht="13">
      <c r="A560" s="4" t="s">
        <v>114</v>
      </c>
      <c r="B560" s="1">
        <v>4.8</v>
      </c>
      <c r="C560" s="1">
        <v>326</v>
      </c>
      <c r="D560" s="1" t="s">
        <v>38</v>
      </c>
      <c r="E560" s="1" t="s">
        <v>21</v>
      </c>
      <c r="F560" s="1">
        <f t="shared" si="18"/>
        <v>480</v>
      </c>
      <c r="G560" s="5">
        <f t="shared" si="17"/>
        <v>0.6791666666666667</v>
      </c>
    </row>
    <row r="561" spans="1:7" ht="13">
      <c r="A561" s="4" t="s">
        <v>114</v>
      </c>
      <c r="B561" s="1">
        <v>6.7</v>
      </c>
      <c r="C561" s="1">
        <v>453</v>
      </c>
      <c r="D561" s="1" t="s">
        <v>11</v>
      </c>
      <c r="E561" s="1" t="s">
        <v>16</v>
      </c>
      <c r="F561" s="1">
        <f t="shared" si="18"/>
        <v>670</v>
      </c>
      <c r="G561" s="5">
        <f t="shared" si="17"/>
        <v>0.67611940298507467</v>
      </c>
    </row>
    <row r="562" spans="1:7" ht="13">
      <c r="A562" s="4" t="s">
        <v>114</v>
      </c>
      <c r="B562" s="1">
        <v>6.0750000000000002</v>
      </c>
      <c r="C562" s="1">
        <v>345</v>
      </c>
      <c r="D562" s="1" t="s">
        <v>33</v>
      </c>
      <c r="E562" s="1" t="s">
        <v>9</v>
      </c>
      <c r="F562" s="1">
        <f t="shared" si="18"/>
        <v>607.5</v>
      </c>
      <c r="G562" s="5">
        <f t="shared" si="17"/>
        <v>0.5679012345679012</v>
      </c>
    </row>
    <row r="563" spans="1:7" ht="13">
      <c r="A563" s="4" t="s">
        <v>114</v>
      </c>
      <c r="B563" s="1">
        <v>8.1999999999999993</v>
      </c>
      <c r="C563" s="1">
        <v>524</v>
      </c>
      <c r="D563" s="1" t="s">
        <v>11</v>
      </c>
      <c r="E563" s="1" t="s">
        <v>16</v>
      </c>
      <c r="F563" s="1">
        <f t="shared" si="18"/>
        <v>819.99999999999989</v>
      </c>
      <c r="G563" s="5">
        <f t="shared" si="17"/>
        <v>0.63902439024390256</v>
      </c>
    </row>
    <row r="564" spans="1:7" ht="13">
      <c r="A564" s="4" t="s">
        <v>114</v>
      </c>
      <c r="B564" s="1">
        <v>7.74</v>
      </c>
      <c r="C564" s="1">
        <v>466</v>
      </c>
      <c r="D564" s="1" t="s">
        <v>36</v>
      </c>
      <c r="E564" s="1" t="s">
        <v>9</v>
      </c>
      <c r="F564" s="1">
        <f t="shared" si="18"/>
        <v>774</v>
      </c>
      <c r="G564" s="5">
        <f t="shared" si="17"/>
        <v>0.6020671834625323</v>
      </c>
    </row>
    <row r="565" spans="1:7" ht="13">
      <c r="A565" s="4" t="s">
        <v>114</v>
      </c>
      <c r="B565" s="1">
        <v>8.9250000000000007</v>
      </c>
      <c r="C565" s="1">
        <v>609</v>
      </c>
      <c r="D565" s="1" t="s">
        <v>11</v>
      </c>
      <c r="E565" s="1" t="s">
        <v>8</v>
      </c>
      <c r="F565" s="1">
        <f t="shared" si="18"/>
        <v>892.50000000000011</v>
      </c>
      <c r="G565" s="5">
        <f t="shared" si="17"/>
        <v>0.6823529411764705</v>
      </c>
    </row>
    <row r="566" spans="1:7" ht="13">
      <c r="A566" s="4" t="s">
        <v>114</v>
      </c>
      <c r="B566" s="1">
        <v>4.9000000000000004</v>
      </c>
      <c r="C566" s="1">
        <v>305</v>
      </c>
      <c r="D566" s="1" t="s">
        <v>33</v>
      </c>
      <c r="E566" s="1" t="s">
        <v>18</v>
      </c>
      <c r="F566" s="1">
        <f t="shared" si="18"/>
        <v>490.00000000000006</v>
      </c>
      <c r="G566" s="5">
        <f t="shared" si="17"/>
        <v>0.62244897959183665</v>
      </c>
    </row>
    <row r="567" spans="1:7" ht="13">
      <c r="A567" s="4" t="s">
        <v>114</v>
      </c>
      <c r="B567" s="1">
        <v>10</v>
      </c>
      <c r="C567" s="1">
        <v>560</v>
      </c>
      <c r="D567" s="1" t="s">
        <v>11</v>
      </c>
      <c r="E567" s="1" t="s">
        <v>22</v>
      </c>
      <c r="F567" s="1">
        <f t="shared" si="18"/>
        <v>1000</v>
      </c>
      <c r="G567" s="5">
        <f t="shared" si="17"/>
        <v>0.56000000000000005</v>
      </c>
    </row>
    <row r="568" spans="1:7" ht="13">
      <c r="A568" s="4" t="s">
        <v>114</v>
      </c>
      <c r="B568" s="1">
        <v>8.1</v>
      </c>
      <c r="C568" s="1">
        <v>553</v>
      </c>
      <c r="D568" s="1" t="s">
        <v>35</v>
      </c>
      <c r="E568" s="1" t="s">
        <v>7</v>
      </c>
      <c r="F568" s="1">
        <f t="shared" si="18"/>
        <v>810</v>
      </c>
      <c r="G568" s="5">
        <f t="shared" si="17"/>
        <v>0.68271604938271602</v>
      </c>
    </row>
    <row r="569" spans="1:7" ht="13">
      <c r="A569" s="4" t="s">
        <v>114</v>
      </c>
      <c r="B569" s="1">
        <v>7.74</v>
      </c>
      <c r="C569" s="1">
        <v>438</v>
      </c>
      <c r="D569" s="1" t="s">
        <v>33</v>
      </c>
      <c r="E569" s="1" t="s">
        <v>16</v>
      </c>
      <c r="F569" s="1">
        <f t="shared" si="18"/>
        <v>774</v>
      </c>
      <c r="G569" s="5">
        <f t="shared" si="17"/>
        <v>0.56589147286821706</v>
      </c>
    </row>
    <row r="570" spans="1:7" ht="13">
      <c r="A570" s="4" t="s">
        <v>114</v>
      </c>
      <c r="B570" s="1">
        <v>8.4</v>
      </c>
      <c r="C570" s="1">
        <v>598</v>
      </c>
      <c r="D570" s="1" t="s">
        <v>11</v>
      </c>
      <c r="E570" s="1" t="s">
        <v>8</v>
      </c>
      <c r="F570" s="1">
        <f t="shared" si="18"/>
        <v>840</v>
      </c>
      <c r="G570" s="5">
        <f t="shared" si="17"/>
        <v>0.71190476190476193</v>
      </c>
    </row>
    <row r="571" spans="1:7" ht="13">
      <c r="A571" s="4" t="s">
        <v>114</v>
      </c>
      <c r="B571" s="1">
        <v>6.96</v>
      </c>
      <c r="C571" s="1">
        <v>434</v>
      </c>
      <c r="D571" s="1" t="s">
        <v>11</v>
      </c>
      <c r="E571" s="1" t="s">
        <v>20</v>
      </c>
      <c r="F571" s="1">
        <f t="shared" si="18"/>
        <v>696</v>
      </c>
      <c r="G571" s="5">
        <f t="shared" si="17"/>
        <v>0.62356321839080464</v>
      </c>
    </row>
    <row r="572" spans="1:7" ht="13">
      <c r="A572" s="4" t="s">
        <v>114</v>
      </c>
      <c r="B572" s="1">
        <v>7</v>
      </c>
      <c r="C572" s="1">
        <v>416</v>
      </c>
      <c r="D572" s="1" t="s">
        <v>36</v>
      </c>
      <c r="E572" s="1" t="s">
        <v>15</v>
      </c>
      <c r="F572" s="1">
        <f t="shared" si="18"/>
        <v>700</v>
      </c>
      <c r="G572" s="5">
        <f t="shared" si="17"/>
        <v>0.59428571428571431</v>
      </c>
    </row>
    <row r="573" spans="1:7" ht="13">
      <c r="A573" s="4" t="s">
        <v>114</v>
      </c>
      <c r="B573" s="1">
        <v>6.72</v>
      </c>
      <c r="C573" s="1">
        <v>384</v>
      </c>
      <c r="D573" s="1" t="s">
        <v>33</v>
      </c>
      <c r="E573" s="1" t="s">
        <v>20</v>
      </c>
      <c r="F573" s="1">
        <f t="shared" si="18"/>
        <v>672</v>
      </c>
      <c r="G573" s="5">
        <f t="shared" si="17"/>
        <v>0.5714285714285714</v>
      </c>
    </row>
    <row r="574" spans="1:7" ht="13">
      <c r="A574" s="4" t="s">
        <v>114</v>
      </c>
      <c r="B574" s="1">
        <v>4.2</v>
      </c>
      <c r="C574" s="1">
        <v>310</v>
      </c>
      <c r="D574" s="1" t="s">
        <v>11</v>
      </c>
      <c r="E574" s="1" t="s">
        <v>7</v>
      </c>
      <c r="F574" s="1">
        <f t="shared" si="18"/>
        <v>420</v>
      </c>
      <c r="G574" s="5">
        <f t="shared" si="17"/>
        <v>0.73809523809523814</v>
      </c>
    </row>
    <row r="575" spans="1:7" ht="13">
      <c r="A575" s="4" t="s">
        <v>114</v>
      </c>
      <c r="B575" s="1">
        <v>4.8</v>
      </c>
      <c r="C575" s="1">
        <v>345</v>
      </c>
      <c r="D575" s="1" t="s">
        <v>11</v>
      </c>
      <c r="E575" s="1" t="s">
        <v>21</v>
      </c>
      <c r="F575" s="1">
        <f t="shared" si="18"/>
        <v>480</v>
      </c>
      <c r="G575" s="5">
        <f t="shared" si="17"/>
        <v>0.71875</v>
      </c>
    </row>
    <row r="576" spans="1:7" ht="13">
      <c r="A576" s="4" t="s">
        <v>114</v>
      </c>
      <c r="B576" s="1">
        <v>6.5</v>
      </c>
      <c r="C576" s="1">
        <v>447</v>
      </c>
      <c r="D576" s="1" t="s">
        <v>11</v>
      </c>
      <c r="E576" s="1" t="s">
        <v>17</v>
      </c>
      <c r="F576" s="1">
        <f t="shared" si="18"/>
        <v>650</v>
      </c>
      <c r="G576" s="5">
        <f t="shared" si="17"/>
        <v>0.68769230769230771</v>
      </c>
    </row>
    <row r="577" spans="1:7" ht="13">
      <c r="A577" s="4" t="s">
        <v>114</v>
      </c>
      <c r="B577" s="1">
        <v>7.94</v>
      </c>
      <c r="C577" s="1">
        <v>545</v>
      </c>
      <c r="D577" s="1" t="s">
        <v>42</v>
      </c>
      <c r="E577" s="1" t="s">
        <v>17</v>
      </c>
      <c r="F577" s="1">
        <f t="shared" si="18"/>
        <v>794</v>
      </c>
      <c r="G577" s="5">
        <f t="shared" si="17"/>
        <v>0.68639798488664983</v>
      </c>
    </row>
    <row r="578" spans="1:7" ht="13">
      <c r="A578" s="4" t="s">
        <v>114</v>
      </c>
      <c r="B578" s="1">
        <v>5.4</v>
      </c>
      <c r="C578" s="1">
        <v>292</v>
      </c>
      <c r="D578" s="1" t="s">
        <v>33</v>
      </c>
      <c r="E578" s="1" t="s">
        <v>23</v>
      </c>
      <c r="F578" s="1">
        <f t="shared" si="18"/>
        <v>540</v>
      </c>
      <c r="G578" s="5">
        <f t="shared" ref="G578:G641" si="19">C578/F578</f>
        <v>0.54074074074074074</v>
      </c>
    </row>
    <row r="579" spans="1:7" ht="13">
      <c r="A579" s="4" t="s">
        <v>114</v>
      </c>
      <c r="B579" s="1">
        <v>6</v>
      </c>
      <c r="C579" s="1">
        <v>461</v>
      </c>
      <c r="D579" s="1" t="s">
        <v>11</v>
      </c>
      <c r="E579" s="1" t="s">
        <v>17</v>
      </c>
      <c r="F579" s="1">
        <f t="shared" si="18"/>
        <v>600</v>
      </c>
      <c r="G579" s="5">
        <f t="shared" si="19"/>
        <v>0.76833333333333331</v>
      </c>
    </row>
    <row r="580" spans="1:7" ht="13">
      <c r="A580" s="4" t="s">
        <v>114</v>
      </c>
      <c r="B580" s="1">
        <v>4.3499999999999996</v>
      </c>
      <c r="C580" s="1">
        <v>279</v>
      </c>
      <c r="D580" s="1" t="s">
        <v>11</v>
      </c>
      <c r="E580" s="1" t="s">
        <v>15</v>
      </c>
      <c r="F580" s="1">
        <f t="shared" si="18"/>
        <v>434.99999999999994</v>
      </c>
      <c r="G580" s="5">
        <f t="shared" si="19"/>
        <v>0.64137931034482765</v>
      </c>
    </row>
    <row r="581" spans="1:7" ht="13">
      <c r="A581" s="4" t="s">
        <v>114</v>
      </c>
      <c r="B581" s="1">
        <v>8.1</v>
      </c>
      <c r="C581" s="1">
        <v>647</v>
      </c>
      <c r="D581" s="1" t="s">
        <v>42</v>
      </c>
      <c r="E581" s="1" t="s">
        <v>10</v>
      </c>
      <c r="F581" s="1">
        <f t="shared" si="18"/>
        <v>810</v>
      </c>
      <c r="G581" s="5">
        <f t="shared" si="19"/>
        <v>0.79876543209876538</v>
      </c>
    </row>
    <row r="582" spans="1:7" ht="13">
      <c r="A582" s="4" t="s">
        <v>114</v>
      </c>
      <c r="B582" s="1">
        <v>6</v>
      </c>
      <c r="C582" s="1">
        <v>446</v>
      </c>
      <c r="D582" s="1" t="s">
        <v>11</v>
      </c>
      <c r="E582" s="1" t="s">
        <v>27</v>
      </c>
      <c r="F582" s="1">
        <f t="shared" si="18"/>
        <v>600</v>
      </c>
      <c r="G582" s="5">
        <f t="shared" si="19"/>
        <v>0.74333333333333329</v>
      </c>
    </row>
    <row r="583" spans="1:7" ht="13">
      <c r="A583" s="4" t="s">
        <v>114</v>
      </c>
      <c r="B583" s="1">
        <v>7.74</v>
      </c>
      <c r="C583" s="1">
        <v>399</v>
      </c>
      <c r="D583" s="1" t="s">
        <v>33</v>
      </c>
      <c r="E583" s="1" t="s">
        <v>16</v>
      </c>
      <c r="F583" s="1">
        <f t="shared" si="18"/>
        <v>774</v>
      </c>
      <c r="G583" s="5">
        <f t="shared" si="19"/>
        <v>0.51550387596899228</v>
      </c>
    </row>
    <row r="584" spans="1:7" ht="13">
      <c r="A584" s="4" t="s">
        <v>114</v>
      </c>
      <c r="B584" s="1">
        <v>5</v>
      </c>
      <c r="C584" s="1">
        <v>371</v>
      </c>
      <c r="D584" s="1" t="s">
        <v>33</v>
      </c>
      <c r="E584" s="1" t="s">
        <v>32</v>
      </c>
      <c r="F584" s="1">
        <f t="shared" si="18"/>
        <v>500</v>
      </c>
      <c r="G584" s="5">
        <f t="shared" si="19"/>
        <v>0.74199999999999999</v>
      </c>
    </row>
    <row r="585" spans="1:7" ht="13">
      <c r="A585" s="4" t="s">
        <v>114</v>
      </c>
      <c r="B585" s="1">
        <v>4.0999999999999996</v>
      </c>
      <c r="C585" s="1">
        <v>278</v>
      </c>
      <c r="D585" s="1" t="s">
        <v>55</v>
      </c>
      <c r="E585" s="1" t="s">
        <v>30</v>
      </c>
      <c r="F585" s="1">
        <f t="shared" si="18"/>
        <v>409.99999999999994</v>
      </c>
      <c r="G585" s="5">
        <f t="shared" si="19"/>
        <v>0.67804878048780493</v>
      </c>
    </row>
    <row r="586" spans="1:7" ht="13">
      <c r="A586" s="4" t="s">
        <v>114</v>
      </c>
      <c r="B586" s="1">
        <v>6.9</v>
      </c>
      <c r="C586" s="1">
        <v>412</v>
      </c>
      <c r="D586" s="1" t="s">
        <v>39</v>
      </c>
      <c r="E586" s="1" t="s">
        <v>17</v>
      </c>
      <c r="F586" s="1">
        <f t="shared" si="18"/>
        <v>690</v>
      </c>
      <c r="G586" s="5">
        <f t="shared" si="19"/>
        <v>0.59710144927536235</v>
      </c>
    </row>
    <row r="587" spans="1:7" ht="13">
      <c r="A587" s="4" t="s">
        <v>114</v>
      </c>
      <c r="B587" s="1">
        <v>6.9</v>
      </c>
      <c r="C587" s="1">
        <v>429</v>
      </c>
      <c r="D587" s="1" t="s">
        <v>39</v>
      </c>
      <c r="E587" s="1" t="s">
        <v>15</v>
      </c>
      <c r="F587" s="1">
        <f t="shared" si="18"/>
        <v>690</v>
      </c>
      <c r="G587" s="5">
        <f t="shared" si="19"/>
        <v>0.62173913043478257</v>
      </c>
    </row>
    <row r="588" spans="1:7" ht="13">
      <c r="A588" s="4" t="s">
        <v>114</v>
      </c>
      <c r="B588" s="1">
        <v>6.4</v>
      </c>
      <c r="C588" s="1">
        <v>489</v>
      </c>
      <c r="D588" s="1" t="s">
        <v>42</v>
      </c>
      <c r="E588" s="1" t="s">
        <v>8</v>
      </c>
      <c r="F588" s="1">
        <f t="shared" si="18"/>
        <v>640</v>
      </c>
      <c r="G588" s="5">
        <f t="shared" si="19"/>
        <v>0.76406249999999998</v>
      </c>
    </row>
    <row r="589" spans="1:7" ht="13">
      <c r="A589" s="4" t="s">
        <v>114</v>
      </c>
      <c r="B589" s="1">
        <v>6</v>
      </c>
      <c r="C589" s="1">
        <v>329</v>
      </c>
      <c r="D589" s="1" t="s">
        <v>33</v>
      </c>
      <c r="E589" s="1" t="s">
        <v>16</v>
      </c>
      <c r="F589" s="1">
        <f t="shared" si="18"/>
        <v>600</v>
      </c>
      <c r="G589" s="5">
        <f t="shared" si="19"/>
        <v>0.54833333333333334</v>
      </c>
    </row>
    <row r="590" spans="1:7" ht="13">
      <c r="A590" s="4" t="s">
        <v>114</v>
      </c>
      <c r="B590" s="1">
        <v>7.56</v>
      </c>
      <c r="C590" s="1">
        <v>530</v>
      </c>
      <c r="D590" s="1" t="s">
        <v>11</v>
      </c>
      <c r="E590" s="1" t="s">
        <v>25</v>
      </c>
      <c r="F590" s="1">
        <f t="shared" si="18"/>
        <v>756</v>
      </c>
      <c r="G590" s="5">
        <f t="shared" si="19"/>
        <v>0.70105820105820105</v>
      </c>
    </row>
    <row r="591" spans="1:7" ht="13">
      <c r="A591" s="4" t="s">
        <v>114</v>
      </c>
      <c r="B591" s="1">
        <v>8</v>
      </c>
      <c r="C591" s="1">
        <v>427</v>
      </c>
      <c r="D591" s="1" t="s">
        <v>37</v>
      </c>
      <c r="E591" s="1" t="s">
        <v>26</v>
      </c>
      <c r="F591" s="1">
        <f t="shared" si="18"/>
        <v>800</v>
      </c>
      <c r="G591" s="5">
        <f t="shared" si="19"/>
        <v>0.53374999999999995</v>
      </c>
    </row>
    <row r="592" spans="1:7" ht="13">
      <c r="A592" s="4" t="s">
        <v>114</v>
      </c>
      <c r="B592" s="1">
        <v>9.42</v>
      </c>
      <c r="C592" s="1">
        <v>561</v>
      </c>
      <c r="D592" s="1" t="s">
        <v>43</v>
      </c>
      <c r="E592" s="1" t="s">
        <v>14</v>
      </c>
      <c r="F592" s="1">
        <f t="shared" si="18"/>
        <v>942</v>
      </c>
      <c r="G592" s="5">
        <f t="shared" si="19"/>
        <v>0.59554140127388533</v>
      </c>
    </row>
    <row r="593" spans="1:7" ht="13">
      <c r="A593" s="4" t="s">
        <v>114</v>
      </c>
      <c r="B593" s="1">
        <v>6.4</v>
      </c>
      <c r="C593" s="1">
        <v>516</v>
      </c>
      <c r="D593" s="1" t="s">
        <v>11</v>
      </c>
      <c r="E593" s="1" t="s">
        <v>26</v>
      </c>
      <c r="F593" s="1">
        <f t="shared" si="18"/>
        <v>640</v>
      </c>
      <c r="G593" s="5">
        <f t="shared" si="19"/>
        <v>0.80625000000000002</v>
      </c>
    </row>
    <row r="594" spans="1:7" ht="13">
      <c r="A594" s="4" t="s">
        <v>114</v>
      </c>
      <c r="B594" s="1">
        <v>6.8</v>
      </c>
      <c r="C594" s="1">
        <v>512</v>
      </c>
      <c r="D594" s="1" t="s">
        <v>11</v>
      </c>
      <c r="E594" s="1" t="s">
        <v>18</v>
      </c>
      <c r="F594" s="1">
        <f t="shared" si="18"/>
        <v>680</v>
      </c>
      <c r="G594" s="5">
        <f t="shared" si="19"/>
        <v>0.75294117647058822</v>
      </c>
    </row>
    <row r="595" spans="1:7" ht="13">
      <c r="A595" s="4" t="s">
        <v>114</v>
      </c>
      <c r="B595" s="1">
        <v>6.4</v>
      </c>
      <c r="C595" s="1">
        <v>326</v>
      </c>
      <c r="D595" s="1" t="s">
        <v>58</v>
      </c>
      <c r="E595" s="1" t="s">
        <v>15</v>
      </c>
      <c r="F595" s="1">
        <f t="shared" si="18"/>
        <v>640</v>
      </c>
      <c r="G595" s="5">
        <f t="shared" si="19"/>
        <v>0.50937500000000002</v>
      </c>
    </row>
    <row r="596" spans="1:7" ht="13">
      <c r="A596" s="4" t="s">
        <v>114</v>
      </c>
      <c r="B596" s="1">
        <v>6</v>
      </c>
      <c r="C596" s="1">
        <v>444</v>
      </c>
      <c r="D596" s="1" t="s">
        <v>39</v>
      </c>
      <c r="E596" s="1" t="s">
        <v>9</v>
      </c>
      <c r="F596" s="1">
        <f t="shared" si="18"/>
        <v>600</v>
      </c>
      <c r="G596" s="5">
        <f t="shared" si="19"/>
        <v>0.74</v>
      </c>
    </row>
    <row r="597" spans="1:7" ht="13">
      <c r="A597" s="4" t="s">
        <v>114</v>
      </c>
      <c r="B597" s="1">
        <v>6.1</v>
      </c>
      <c r="C597" s="1">
        <v>339</v>
      </c>
      <c r="D597" s="1" t="s">
        <v>33</v>
      </c>
      <c r="E597" s="1" t="s">
        <v>26</v>
      </c>
      <c r="F597" s="1">
        <f t="shared" si="18"/>
        <v>610</v>
      </c>
      <c r="G597" s="5">
        <f t="shared" si="19"/>
        <v>0.55573770491803276</v>
      </c>
    </row>
    <row r="598" spans="1:7" ht="13">
      <c r="A598" s="4" t="s">
        <v>114</v>
      </c>
      <c r="B598" s="1">
        <v>8.3000000000000007</v>
      </c>
      <c r="C598" s="1">
        <v>555</v>
      </c>
      <c r="D598" s="1" t="s">
        <v>11</v>
      </c>
      <c r="E598" s="1" t="s">
        <v>20</v>
      </c>
      <c r="F598" s="1">
        <f t="shared" si="18"/>
        <v>830.00000000000011</v>
      </c>
      <c r="G598" s="5">
        <f t="shared" si="19"/>
        <v>0.6686746987951806</v>
      </c>
    </row>
    <row r="599" spans="1:7" ht="13">
      <c r="A599" s="4" t="s">
        <v>114</v>
      </c>
      <c r="B599" s="1">
        <v>6</v>
      </c>
      <c r="C599" s="1">
        <v>425</v>
      </c>
      <c r="D599" s="1" t="s">
        <v>43</v>
      </c>
      <c r="E599" s="1" t="s">
        <v>7</v>
      </c>
      <c r="F599" s="1">
        <f t="shared" si="18"/>
        <v>600</v>
      </c>
      <c r="G599" s="5">
        <f t="shared" si="19"/>
        <v>0.70833333333333337</v>
      </c>
    </row>
    <row r="600" spans="1:7" ht="13">
      <c r="A600" s="4" t="s">
        <v>114</v>
      </c>
      <c r="B600" s="1">
        <v>4.8</v>
      </c>
      <c r="C600" s="1">
        <v>304</v>
      </c>
      <c r="D600" s="1" t="s">
        <v>39</v>
      </c>
      <c r="E600" s="1" t="s">
        <v>16</v>
      </c>
      <c r="F600" s="1">
        <f t="shared" si="18"/>
        <v>480</v>
      </c>
      <c r="G600" s="5">
        <f t="shared" si="19"/>
        <v>0.6333333333333333</v>
      </c>
    </row>
    <row r="601" spans="1:7" ht="13">
      <c r="A601" s="4" t="s">
        <v>114</v>
      </c>
      <c r="B601" s="1">
        <v>5.0999999999999996</v>
      </c>
      <c r="C601" s="1">
        <v>250</v>
      </c>
      <c r="D601" s="1" t="s">
        <v>33</v>
      </c>
      <c r="E601" s="1" t="s">
        <v>15</v>
      </c>
      <c r="F601" s="1">
        <f t="shared" si="18"/>
        <v>509.99999999999994</v>
      </c>
      <c r="G601" s="5">
        <f t="shared" si="19"/>
        <v>0.49019607843137258</v>
      </c>
    </row>
    <row r="602" spans="1:7" ht="13">
      <c r="A602" s="4" t="s">
        <v>114</v>
      </c>
      <c r="B602" s="1">
        <v>4</v>
      </c>
      <c r="C602" s="1">
        <v>284</v>
      </c>
      <c r="D602" s="1" t="s">
        <v>38</v>
      </c>
      <c r="E602" s="1" t="s">
        <v>24</v>
      </c>
      <c r="F602" s="1">
        <f t="shared" si="18"/>
        <v>400</v>
      </c>
      <c r="G602" s="5">
        <f t="shared" si="19"/>
        <v>0.71</v>
      </c>
    </row>
    <row r="603" spans="1:7" ht="13">
      <c r="A603" s="4" t="s">
        <v>114</v>
      </c>
      <c r="B603" s="1">
        <v>6</v>
      </c>
      <c r="C603" s="1">
        <v>473</v>
      </c>
      <c r="D603" s="1" t="s">
        <v>11</v>
      </c>
      <c r="E603" s="1" t="s">
        <v>17</v>
      </c>
      <c r="F603" s="1">
        <f t="shared" si="18"/>
        <v>600</v>
      </c>
      <c r="G603" s="5">
        <f t="shared" si="19"/>
        <v>0.78833333333333333</v>
      </c>
    </row>
    <row r="604" spans="1:7" ht="13">
      <c r="A604" s="4" t="s">
        <v>114</v>
      </c>
      <c r="B604" s="1">
        <v>8.1999999999999993</v>
      </c>
      <c r="C604" s="1">
        <v>485</v>
      </c>
      <c r="D604" s="1" t="s">
        <v>11</v>
      </c>
      <c r="E604" s="1" t="s">
        <v>12</v>
      </c>
      <c r="F604" s="1">
        <f t="shared" si="18"/>
        <v>819.99999999999989</v>
      </c>
      <c r="G604" s="5">
        <f t="shared" si="19"/>
        <v>0.59146341463414642</v>
      </c>
    </row>
    <row r="605" spans="1:7" ht="13">
      <c r="A605" s="4" t="s">
        <v>114</v>
      </c>
      <c r="B605" s="1">
        <v>6.53</v>
      </c>
      <c r="C605" s="1">
        <v>488</v>
      </c>
      <c r="D605" s="1" t="s">
        <v>11</v>
      </c>
      <c r="E605" s="1" t="s">
        <v>17</v>
      </c>
      <c r="F605" s="1">
        <f t="shared" si="18"/>
        <v>653</v>
      </c>
      <c r="G605" s="5">
        <f t="shared" si="19"/>
        <v>0.74732006125574268</v>
      </c>
    </row>
    <row r="606" spans="1:7" ht="13">
      <c r="A606" s="4" t="s">
        <v>114</v>
      </c>
      <c r="B606" s="1">
        <v>5.6</v>
      </c>
      <c r="C606" s="1">
        <v>221</v>
      </c>
      <c r="D606" s="1" t="s">
        <v>43</v>
      </c>
      <c r="E606" s="1" t="s">
        <v>29</v>
      </c>
      <c r="F606" s="1">
        <f t="shared" si="18"/>
        <v>560</v>
      </c>
      <c r="G606" s="5">
        <f t="shared" si="19"/>
        <v>0.39464285714285713</v>
      </c>
    </row>
    <row r="607" spans="1:7" ht="13">
      <c r="A607" s="4" t="s">
        <v>114</v>
      </c>
      <c r="B607" s="1">
        <v>6.4</v>
      </c>
      <c r="C607" s="1">
        <v>490</v>
      </c>
      <c r="D607" s="1" t="s">
        <v>38</v>
      </c>
      <c r="E607" s="1" t="s">
        <v>8</v>
      </c>
      <c r="F607" s="1">
        <f t="shared" si="18"/>
        <v>640</v>
      </c>
      <c r="G607" s="5">
        <f t="shared" si="19"/>
        <v>0.765625</v>
      </c>
    </row>
    <row r="608" spans="1:7" ht="13">
      <c r="A608" s="4" t="s">
        <v>114</v>
      </c>
      <c r="B608" s="1">
        <v>7.76</v>
      </c>
      <c r="C608" s="1">
        <v>497</v>
      </c>
      <c r="D608" s="1" t="s">
        <v>11</v>
      </c>
      <c r="E608" s="1" t="s">
        <v>16</v>
      </c>
      <c r="F608" s="1">
        <f t="shared" ref="F608:F671" si="20">B608*100</f>
        <v>776</v>
      </c>
      <c r="G608" s="5">
        <f t="shared" si="19"/>
        <v>0.64046391752577314</v>
      </c>
    </row>
    <row r="609" spans="1:7" ht="13">
      <c r="A609" s="4" t="s">
        <v>114</v>
      </c>
      <c r="B609" s="1">
        <v>7.4</v>
      </c>
      <c r="C609" s="1">
        <v>297</v>
      </c>
      <c r="D609" s="1" t="s">
        <v>33</v>
      </c>
      <c r="E609" s="1" t="s">
        <v>23</v>
      </c>
      <c r="F609" s="1">
        <f t="shared" si="20"/>
        <v>740</v>
      </c>
      <c r="G609" s="5">
        <f t="shared" si="19"/>
        <v>0.40135135135135136</v>
      </c>
    </row>
    <row r="610" spans="1:7" ht="13">
      <c r="A610" s="4" t="s">
        <v>114</v>
      </c>
      <c r="B610" s="1">
        <v>6</v>
      </c>
      <c r="C610" s="1">
        <v>377</v>
      </c>
      <c r="D610" s="1" t="s">
        <v>11</v>
      </c>
      <c r="E610" s="1" t="s">
        <v>12</v>
      </c>
      <c r="F610" s="1">
        <f t="shared" si="20"/>
        <v>600</v>
      </c>
      <c r="G610" s="5">
        <f t="shared" si="19"/>
        <v>0.6283333333333333</v>
      </c>
    </row>
    <row r="611" spans="1:7" ht="13">
      <c r="A611" s="4" t="s">
        <v>114</v>
      </c>
      <c r="B611" s="1">
        <v>5.12</v>
      </c>
      <c r="C611" s="1">
        <v>382</v>
      </c>
      <c r="D611" s="1" t="s">
        <v>11</v>
      </c>
      <c r="E611" s="1" t="s">
        <v>16</v>
      </c>
      <c r="F611" s="1">
        <f t="shared" si="20"/>
        <v>512</v>
      </c>
      <c r="G611" s="5">
        <f t="shared" si="19"/>
        <v>0.74609375</v>
      </c>
    </row>
    <row r="612" spans="1:7" ht="13">
      <c r="A612" s="4" t="s">
        <v>114</v>
      </c>
      <c r="B612" s="1">
        <v>6.72</v>
      </c>
      <c r="C612" s="1">
        <v>466</v>
      </c>
      <c r="D612" s="1" t="s">
        <v>11</v>
      </c>
      <c r="E612" s="1" t="s">
        <v>15</v>
      </c>
      <c r="F612" s="1">
        <f t="shared" si="20"/>
        <v>672</v>
      </c>
      <c r="G612" s="5">
        <f t="shared" si="19"/>
        <v>0.69345238095238093</v>
      </c>
    </row>
    <row r="613" spans="1:7" ht="13">
      <c r="A613" s="4" t="s">
        <v>114</v>
      </c>
      <c r="B613" s="1">
        <v>7.39</v>
      </c>
      <c r="C613" s="1">
        <v>476</v>
      </c>
      <c r="D613" s="1" t="s">
        <v>52</v>
      </c>
      <c r="E613" s="1" t="s">
        <v>25</v>
      </c>
      <c r="F613" s="1">
        <f t="shared" si="20"/>
        <v>739</v>
      </c>
      <c r="G613" s="5">
        <f t="shared" si="19"/>
        <v>0.64411366711772666</v>
      </c>
    </row>
    <row r="614" spans="1:7" ht="13">
      <c r="A614" s="4" t="s">
        <v>114</v>
      </c>
      <c r="B614" s="1">
        <v>6</v>
      </c>
      <c r="C614" s="1">
        <v>378</v>
      </c>
      <c r="D614" s="1" t="s">
        <v>35</v>
      </c>
      <c r="E614" s="1" t="s">
        <v>23</v>
      </c>
      <c r="F614" s="1">
        <f t="shared" si="20"/>
        <v>600</v>
      </c>
      <c r="G614" s="5">
        <f t="shared" si="19"/>
        <v>0.63</v>
      </c>
    </row>
    <row r="615" spans="1:7" ht="13">
      <c r="A615" s="4" t="s">
        <v>114</v>
      </c>
      <c r="B615" s="1">
        <v>4.8</v>
      </c>
      <c r="C615" s="1">
        <v>326</v>
      </c>
      <c r="D615" s="1" t="s">
        <v>39</v>
      </c>
      <c r="E615" s="1" t="s">
        <v>10</v>
      </c>
      <c r="F615" s="1">
        <f t="shared" si="20"/>
        <v>480</v>
      </c>
      <c r="G615" s="5">
        <f t="shared" si="19"/>
        <v>0.6791666666666667</v>
      </c>
    </row>
    <row r="616" spans="1:7" ht="13">
      <c r="A616" s="4" t="s">
        <v>114</v>
      </c>
      <c r="B616" s="1">
        <v>5.16</v>
      </c>
      <c r="C616" s="1">
        <v>334</v>
      </c>
      <c r="D616" s="1" t="s">
        <v>57</v>
      </c>
      <c r="E616" s="1" t="s">
        <v>30</v>
      </c>
      <c r="F616" s="1">
        <f t="shared" si="20"/>
        <v>516</v>
      </c>
      <c r="G616" s="5">
        <f t="shared" si="19"/>
        <v>0.6472868217054264</v>
      </c>
    </row>
    <row r="617" spans="1:7" ht="13">
      <c r="A617" s="4" t="s">
        <v>114</v>
      </c>
      <c r="B617" s="1">
        <v>4.8</v>
      </c>
      <c r="C617" s="1">
        <v>326</v>
      </c>
      <c r="D617" s="1" t="s">
        <v>39</v>
      </c>
      <c r="E617" s="1" t="s">
        <v>10</v>
      </c>
      <c r="F617" s="1">
        <f t="shared" si="20"/>
        <v>480</v>
      </c>
      <c r="G617" s="5">
        <f t="shared" si="19"/>
        <v>0.6791666666666667</v>
      </c>
    </row>
    <row r="618" spans="1:7" ht="13">
      <c r="A618" s="4" t="s">
        <v>114</v>
      </c>
      <c r="B618" s="1">
        <v>7.56</v>
      </c>
      <c r="C618" s="1">
        <v>427</v>
      </c>
      <c r="D618" s="1" t="s">
        <v>53</v>
      </c>
      <c r="E618" s="1" t="s">
        <v>31</v>
      </c>
      <c r="F618" s="1">
        <f t="shared" si="20"/>
        <v>756</v>
      </c>
      <c r="G618" s="5">
        <f t="shared" si="19"/>
        <v>0.56481481481481477</v>
      </c>
    </row>
    <row r="619" spans="1:7" ht="13">
      <c r="A619" s="4" t="s">
        <v>114</v>
      </c>
      <c r="B619" s="1">
        <v>7.9</v>
      </c>
      <c r="C619" s="1">
        <v>486</v>
      </c>
      <c r="D619" s="1" t="s">
        <v>58</v>
      </c>
      <c r="E619" s="1" t="s">
        <v>10</v>
      </c>
      <c r="F619" s="1">
        <f t="shared" si="20"/>
        <v>790</v>
      </c>
      <c r="G619" s="5">
        <f t="shared" si="19"/>
        <v>0.61518987341772147</v>
      </c>
    </row>
    <row r="620" spans="1:7" ht="13">
      <c r="A620" s="4" t="s">
        <v>114</v>
      </c>
      <c r="B620" s="1">
        <v>7.83</v>
      </c>
      <c r="C620" s="1">
        <v>551</v>
      </c>
      <c r="D620" s="1" t="s">
        <v>38</v>
      </c>
      <c r="E620" s="1" t="s">
        <v>8</v>
      </c>
      <c r="F620" s="1">
        <f t="shared" si="20"/>
        <v>783</v>
      </c>
      <c r="G620" s="5">
        <f t="shared" si="19"/>
        <v>0.70370370370370372</v>
      </c>
    </row>
    <row r="621" spans="1:7" ht="13">
      <c r="A621" s="4" t="s">
        <v>114</v>
      </c>
      <c r="B621" s="1">
        <v>6.02</v>
      </c>
      <c r="C621" s="1">
        <v>342.28</v>
      </c>
      <c r="D621" s="1" t="s">
        <v>11</v>
      </c>
      <c r="E621" s="1" t="s">
        <v>27</v>
      </c>
      <c r="F621" s="1">
        <f t="shared" si="20"/>
        <v>602</v>
      </c>
      <c r="G621" s="5">
        <f t="shared" si="19"/>
        <v>0.56857142857142851</v>
      </c>
    </row>
    <row r="622" spans="1:7" ht="13">
      <c r="A622" s="4" t="s">
        <v>114</v>
      </c>
      <c r="B622" s="1">
        <v>4.05</v>
      </c>
      <c r="C622" s="1">
        <v>267</v>
      </c>
      <c r="D622" s="1" t="s">
        <v>43</v>
      </c>
      <c r="E622" s="1" t="s">
        <v>8</v>
      </c>
      <c r="F622" s="1">
        <f t="shared" si="20"/>
        <v>405</v>
      </c>
      <c r="G622" s="5">
        <f t="shared" si="19"/>
        <v>0.65925925925925921</v>
      </c>
    </row>
    <row r="623" spans="1:7" ht="13">
      <c r="A623" s="4" t="s">
        <v>114</v>
      </c>
      <c r="B623" s="1">
        <v>10.199999999999999</v>
      </c>
      <c r="C623" s="1">
        <v>552</v>
      </c>
      <c r="D623" s="1" t="s">
        <v>11</v>
      </c>
      <c r="E623" s="1" t="s">
        <v>7</v>
      </c>
      <c r="F623" s="1">
        <f t="shared" si="20"/>
        <v>1019.9999999999999</v>
      </c>
      <c r="G623" s="5">
        <f t="shared" si="19"/>
        <v>0.54117647058823537</v>
      </c>
    </row>
    <row r="624" spans="1:7" ht="13">
      <c r="A624" s="4" t="s">
        <v>114</v>
      </c>
      <c r="B624" s="1">
        <v>7</v>
      </c>
      <c r="C624" s="1">
        <v>364</v>
      </c>
      <c r="D624" s="1" t="s">
        <v>11</v>
      </c>
      <c r="E624" s="1" t="s">
        <v>28</v>
      </c>
      <c r="F624" s="1">
        <f t="shared" si="20"/>
        <v>700</v>
      </c>
      <c r="G624" s="5">
        <f t="shared" si="19"/>
        <v>0.52</v>
      </c>
    </row>
    <row r="625" spans="1:7" ht="13">
      <c r="A625" s="4" t="s">
        <v>114</v>
      </c>
      <c r="B625" s="1">
        <v>8.5</v>
      </c>
      <c r="C625" s="1">
        <v>502</v>
      </c>
      <c r="D625" s="1" t="s">
        <v>39</v>
      </c>
      <c r="E625" s="1" t="s">
        <v>17</v>
      </c>
      <c r="F625" s="1">
        <f t="shared" si="20"/>
        <v>850</v>
      </c>
      <c r="G625" s="5">
        <f t="shared" si="19"/>
        <v>0.59058823529411764</v>
      </c>
    </row>
    <row r="626" spans="1:7" ht="13">
      <c r="A626" s="4" t="s">
        <v>114</v>
      </c>
      <c r="B626" s="1">
        <v>4.5999999999999996</v>
      </c>
      <c r="C626" s="1">
        <v>324.8</v>
      </c>
      <c r="D626" s="1" t="s">
        <v>11</v>
      </c>
      <c r="E626" s="1" t="s">
        <v>9</v>
      </c>
      <c r="F626" s="1">
        <f t="shared" si="20"/>
        <v>459.99999999999994</v>
      </c>
      <c r="G626" s="5">
        <f t="shared" si="19"/>
        <v>0.70608695652173925</v>
      </c>
    </row>
    <row r="627" spans="1:7" ht="13">
      <c r="A627" s="4" t="s">
        <v>114</v>
      </c>
      <c r="B627" s="1">
        <v>6.5</v>
      </c>
      <c r="C627" s="1">
        <v>451.98</v>
      </c>
      <c r="D627" s="1" t="s">
        <v>11</v>
      </c>
      <c r="E627" s="1" t="s">
        <v>8</v>
      </c>
      <c r="F627" s="1">
        <f t="shared" si="20"/>
        <v>650</v>
      </c>
      <c r="G627" s="5">
        <f t="shared" si="19"/>
        <v>0.69535384615384621</v>
      </c>
    </row>
    <row r="628" spans="1:7" ht="13">
      <c r="A628" s="4" t="s">
        <v>114</v>
      </c>
      <c r="B628" s="1">
        <v>4.3</v>
      </c>
      <c r="C628" s="1">
        <v>252.54</v>
      </c>
      <c r="D628" s="1" t="s">
        <v>11</v>
      </c>
      <c r="E628" s="1" t="s">
        <v>15</v>
      </c>
      <c r="F628" s="1">
        <f t="shared" si="20"/>
        <v>430</v>
      </c>
      <c r="G628" s="5">
        <f t="shared" si="19"/>
        <v>0.58730232558139528</v>
      </c>
    </row>
    <row r="629" spans="1:7" ht="13">
      <c r="A629" s="4" t="s">
        <v>114</v>
      </c>
      <c r="B629" s="1">
        <v>5.22</v>
      </c>
      <c r="C629" s="1">
        <v>303</v>
      </c>
      <c r="D629" s="1" t="s">
        <v>45</v>
      </c>
      <c r="E629" s="1" t="s">
        <v>15</v>
      </c>
      <c r="F629" s="1">
        <f t="shared" si="20"/>
        <v>522</v>
      </c>
      <c r="G629" s="5">
        <f t="shared" si="19"/>
        <v>0.58045977011494254</v>
      </c>
    </row>
    <row r="630" spans="1:7" ht="13">
      <c r="A630" s="4" t="s">
        <v>114</v>
      </c>
      <c r="B630" s="1">
        <v>6</v>
      </c>
      <c r="C630" s="1">
        <v>437</v>
      </c>
      <c r="D630" s="1" t="s">
        <v>11</v>
      </c>
      <c r="E630" s="1" t="s">
        <v>26</v>
      </c>
      <c r="F630" s="1">
        <f t="shared" si="20"/>
        <v>600</v>
      </c>
      <c r="G630" s="5">
        <f t="shared" si="19"/>
        <v>0.72833333333333339</v>
      </c>
    </row>
    <row r="631" spans="1:7" ht="13">
      <c r="A631" s="4" t="s">
        <v>114</v>
      </c>
      <c r="B631" s="1">
        <v>4.38</v>
      </c>
      <c r="C631" s="1">
        <v>282</v>
      </c>
      <c r="D631" s="1" t="s">
        <v>43</v>
      </c>
      <c r="E631" s="1" t="s">
        <v>24</v>
      </c>
      <c r="F631" s="1">
        <f t="shared" si="20"/>
        <v>438</v>
      </c>
      <c r="G631" s="5">
        <f t="shared" si="19"/>
        <v>0.64383561643835618</v>
      </c>
    </row>
    <row r="632" spans="1:7" ht="13">
      <c r="A632" s="4" t="s">
        <v>114</v>
      </c>
      <c r="B632" s="1">
        <v>4.5</v>
      </c>
      <c r="C632" s="1">
        <v>274</v>
      </c>
      <c r="D632" s="1" t="s">
        <v>43</v>
      </c>
      <c r="E632" s="1" t="s">
        <v>15</v>
      </c>
      <c r="F632" s="1">
        <f t="shared" si="20"/>
        <v>450</v>
      </c>
      <c r="G632" s="5">
        <f t="shared" si="19"/>
        <v>0.60888888888888892</v>
      </c>
    </row>
    <row r="633" spans="1:7" ht="13">
      <c r="A633" s="4" t="s">
        <v>114</v>
      </c>
      <c r="B633" s="1">
        <v>8.75</v>
      </c>
      <c r="C633" s="1">
        <v>613</v>
      </c>
      <c r="D633" s="1" t="s">
        <v>38</v>
      </c>
      <c r="E633" s="1" t="s">
        <v>31</v>
      </c>
      <c r="F633" s="1">
        <f t="shared" si="20"/>
        <v>875</v>
      </c>
      <c r="G633" s="5">
        <f t="shared" si="19"/>
        <v>0.70057142857142862</v>
      </c>
    </row>
    <row r="634" spans="1:7" ht="13">
      <c r="A634" s="4" t="s">
        <v>114</v>
      </c>
      <c r="B634" s="1">
        <v>6.88</v>
      </c>
      <c r="C634" s="1">
        <v>490</v>
      </c>
      <c r="D634" s="1" t="s">
        <v>11</v>
      </c>
      <c r="E634" s="1" t="s">
        <v>8</v>
      </c>
      <c r="F634" s="1">
        <f t="shared" si="20"/>
        <v>688</v>
      </c>
      <c r="G634" s="5">
        <f t="shared" si="19"/>
        <v>0.71220930232558144</v>
      </c>
    </row>
    <row r="635" spans="1:7" ht="13">
      <c r="A635" s="4" t="s">
        <v>114</v>
      </c>
      <c r="B635" s="1">
        <v>7.2</v>
      </c>
      <c r="C635" s="1">
        <v>322</v>
      </c>
      <c r="D635" s="1" t="s">
        <v>70</v>
      </c>
      <c r="E635" s="1" t="s">
        <v>26</v>
      </c>
      <c r="F635" s="1">
        <f t="shared" si="20"/>
        <v>720</v>
      </c>
      <c r="G635" s="5">
        <f t="shared" si="19"/>
        <v>0.44722222222222224</v>
      </c>
    </row>
    <row r="636" spans="1:7" ht="13">
      <c r="A636" s="4" t="s">
        <v>114</v>
      </c>
      <c r="B636" s="1">
        <v>3.5</v>
      </c>
      <c r="C636" s="1">
        <v>214</v>
      </c>
      <c r="D636" s="1" t="s">
        <v>55</v>
      </c>
      <c r="E636" s="1" t="s">
        <v>15</v>
      </c>
      <c r="F636" s="1">
        <f t="shared" si="20"/>
        <v>350</v>
      </c>
      <c r="G636" s="5">
        <f t="shared" si="19"/>
        <v>0.61142857142857143</v>
      </c>
    </row>
    <row r="637" spans="1:7" ht="13">
      <c r="A637" s="4" t="s">
        <v>114</v>
      </c>
      <c r="B637" s="1">
        <v>7.7</v>
      </c>
      <c r="C637" s="1">
        <v>420</v>
      </c>
      <c r="D637" s="1" t="s">
        <v>33</v>
      </c>
      <c r="E637" s="1" t="s">
        <v>10</v>
      </c>
      <c r="F637" s="1">
        <f t="shared" si="20"/>
        <v>770</v>
      </c>
      <c r="G637" s="5">
        <f t="shared" si="19"/>
        <v>0.54545454545454541</v>
      </c>
    </row>
    <row r="638" spans="1:7" ht="13">
      <c r="A638" s="4" t="s">
        <v>114</v>
      </c>
      <c r="B638" s="1">
        <v>5.22</v>
      </c>
      <c r="C638" s="1">
        <v>253</v>
      </c>
      <c r="D638" s="1" t="s">
        <v>76</v>
      </c>
      <c r="E638" s="1" t="s">
        <v>22</v>
      </c>
      <c r="F638" s="1">
        <f t="shared" si="20"/>
        <v>522</v>
      </c>
      <c r="G638" s="5">
        <f t="shared" si="19"/>
        <v>0.48467432950191569</v>
      </c>
    </row>
    <row r="639" spans="1:7" ht="13">
      <c r="A639" s="4" t="s">
        <v>114</v>
      </c>
      <c r="B639" s="1">
        <v>1</v>
      </c>
      <c r="C639" s="1">
        <v>90</v>
      </c>
      <c r="D639" s="1" t="s">
        <v>11</v>
      </c>
      <c r="E639" s="1" t="s">
        <v>26</v>
      </c>
      <c r="F639" s="1">
        <f t="shared" si="20"/>
        <v>100</v>
      </c>
      <c r="G639" s="5">
        <f t="shared" si="19"/>
        <v>0.9</v>
      </c>
    </row>
    <row r="640" spans="1:7" ht="13">
      <c r="A640" s="4" t="s">
        <v>114</v>
      </c>
      <c r="B640" s="1">
        <v>5.67</v>
      </c>
      <c r="C640" s="1">
        <v>288</v>
      </c>
      <c r="D640" s="1" t="s">
        <v>77</v>
      </c>
      <c r="E640" s="1" t="s">
        <v>8</v>
      </c>
      <c r="F640" s="1">
        <f t="shared" si="20"/>
        <v>567</v>
      </c>
      <c r="G640" s="5">
        <f t="shared" si="19"/>
        <v>0.50793650793650791</v>
      </c>
    </row>
    <row r="641" spans="1:7" ht="13">
      <c r="A641" s="4" t="s">
        <v>114</v>
      </c>
      <c r="B641" s="1">
        <v>4.3</v>
      </c>
      <c r="C641" s="1">
        <v>310</v>
      </c>
      <c r="D641" s="1" t="s">
        <v>43</v>
      </c>
      <c r="E641" s="1" t="s">
        <v>20</v>
      </c>
      <c r="F641" s="1">
        <f t="shared" si="20"/>
        <v>430</v>
      </c>
      <c r="G641" s="5">
        <f t="shared" si="19"/>
        <v>0.72093023255813948</v>
      </c>
    </row>
    <row r="642" spans="1:7" ht="13">
      <c r="A642" s="4" t="s">
        <v>114</v>
      </c>
      <c r="B642" s="1">
        <v>3.4</v>
      </c>
      <c r="C642" s="1">
        <v>213</v>
      </c>
      <c r="D642" s="1" t="s">
        <v>11</v>
      </c>
      <c r="E642" s="1" t="s">
        <v>22</v>
      </c>
      <c r="F642" s="1">
        <f t="shared" si="20"/>
        <v>340</v>
      </c>
      <c r="G642" s="5">
        <f t="shared" ref="G642:G705" si="21">C642/F642</f>
        <v>0.62647058823529411</v>
      </c>
    </row>
    <row r="643" spans="1:7" ht="13">
      <c r="A643" s="4" t="s">
        <v>114</v>
      </c>
      <c r="B643" s="1">
        <v>5.4</v>
      </c>
      <c r="C643" s="1">
        <v>416</v>
      </c>
      <c r="D643" s="1" t="s">
        <v>55</v>
      </c>
      <c r="E643" s="1" t="s">
        <v>26</v>
      </c>
      <c r="F643" s="1">
        <f t="shared" si="20"/>
        <v>540</v>
      </c>
      <c r="G643" s="5">
        <f t="shared" si="21"/>
        <v>0.77037037037037037</v>
      </c>
    </row>
    <row r="644" spans="1:7" ht="13">
      <c r="A644" s="4" t="s">
        <v>114</v>
      </c>
      <c r="B644" s="1">
        <v>4.2</v>
      </c>
      <c r="C644" s="1">
        <v>257</v>
      </c>
      <c r="D644" s="1" t="s">
        <v>40</v>
      </c>
      <c r="E644" s="1" t="s">
        <v>20</v>
      </c>
      <c r="F644" s="1">
        <f t="shared" si="20"/>
        <v>420</v>
      </c>
      <c r="G644" s="5">
        <f t="shared" si="21"/>
        <v>0.61190476190476195</v>
      </c>
    </row>
    <row r="645" spans="1:7" ht="13">
      <c r="A645" s="4" t="s">
        <v>114</v>
      </c>
      <c r="B645" s="1">
        <v>6.96</v>
      </c>
      <c r="C645" s="1">
        <v>396</v>
      </c>
      <c r="D645" s="1" t="s">
        <v>78</v>
      </c>
      <c r="E645" s="1" t="s">
        <v>15</v>
      </c>
      <c r="F645" s="1">
        <f t="shared" si="20"/>
        <v>696</v>
      </c>
      <c r="G645" s="5">
        <f t="shared" si="21"/>
        <v>0.56896551724137934</v>
      </c>
    </row>
    <row r="646" spans="1:7" ht="13">
      <c r="A646" s="4" t="s">
        <v>114</v>
      </c>
      <c r="B646" s="1">
        <v>4.5</v>
      </c>
      <c r="C646" s="1">
        <v>222</v>
      </c>
      <c r="D646" s="1" t="s">
        <v>33</v>
      </c>
      <c r="E646" s="1" t="s">
        <v>15</v>
      </c>
      <c r="F646" s="1">
        <f t="shared" si="20"/>
        <v>450</v>
      </c>
      <c r="G646" s="5">
        <f t="shared" si="21"/>
        <v>0.49333333333333335</v>
      </c>
    </row>
    <row r="647" spans="1:7" ht="13">
      <c r="A647" s="4" t="s">
        <v>114</v>
      </c>
      <c r="B647" s="1">
        <v>5.6</v>
      </c>
      <c r="C647" s="1">
        <v>344</v>
      </c>
      <c r="D647" s="1" t="s">
        <v>11</v>
      </c>
      <c r="E647" s="1" t="s">
        <v>15</v>
      </c>
      <c r="F647" s="1">
        <f t="shared" si="20"/>
        <v>560</v>
      </c>
      <c r="G647" s="5">
        <f t="shared" si="21"/>
        <v>0.61428571428571432</v>
      </c>
    </row>
    <row r="648" spans="1:7" ht="13">
      <c r="A648" s="4" t="s">
        <v>114</v>
      </c>
      <c r="B648" s="1">
        <v>7.3</v>
      </c>
      <c r="C648" s="1">
        <v>426</v>
      </c>
      <c r="D648" s="1" t="s">
        <v>33</v>
      </c>
      <c r="E648" s="1" t="s">
        <v>8</v>
      </c>
      <c r="F648" s="1">
        <f t="shared" si="20"/>
        <v>730</v>
      </c>
      <c r="G648" s="5">
        <f t="shared" si="21"/>
        <v>0.58356164383561648</v>
      </c>
    </row>
    <row r="649" spans="1:7" ht="13">
      <c r="A649" s="4" t="s">
        <v>114</v>
      </c>
      <c r="B649" s="1">
        <v>4.0999999999999996</v>
      </c>
      <c r="C649" s="1">
        <v>303</v>
      </c>
      <c r="D649" s="1" t="s">
        <v>35</v>
      </c>
      <c r="E649" s="1" t="s">
        <v>32</v>
      </c>
      <c r="F649" s="1">
        <f t="shared" si="20"/>
        <v>409.99999999999994</v>
      </c>
      <c r="G649" s="5">
        <f t="shared" si="21"/>
        <v>0.73902439024390254</v>
      </c>
    </row>
    <row r="650" spans="1:7" ht="13">
      <c r="A650" s="4" t="s">
        <v>114</v>
      </c>
      <c r="B650" s="1">
        <v>4.5</v>
      </c>
      <c r="C650" s="1">
        <v>247</v>
      </c>
      <c r="D650" s="1" t="s">
        <v>33</v>
      </c>
      <c r="E650" s="1" t="s">
        <v>17</v>
      </c>
      <c r="F650" s="1">
        <f t="shared" si="20"/>
        <v>450</v>
      </c>
      <c r="G650" s="5">
        <f t="shared" si="21"/>
        <v>0.54888888888888887</v>
      </c>
    </row>
    <row r="651" spans="1:7" ht="13">
      <c r="A651" s="4" t="s">
        <v>114</v>
      </c>
      <c r="B651" s="1">
        <v>6.72</v>
      </c>
      <c r="C651" s="1">
        <v>353</v>
      </c>
      <c r="D651" s="1" t="s">
        <v>33</v>
      </c>
      <c r="E651" s="1" t="s">
        <v>27</v>
      </c>
      <c r="F651" s="1">
        <f t="shared" si="20"/>
        <v>672</v>
      </c>
      <c r="G651" s="5">
        <f t="shared" si="21"/>
        <v>0.52529761904761907</v>
      </c>
    </row>
    <row r="652" spans="1:7" ht="13">
      <c r="A652" s="4" t="s">
        <v>114</v>
      </c>
      <c r="B652" s="1">
        <v>3780</v>
      </c>
      <c r="C652" s="1">
        <v>152</v>
      </c>
      <c r="D652" s="1" t="s">
        <v>33</v>
      </c>
      <c r="E652" s="1" t="s">
        <v>15</v>
      </c>
      <c r="F652" s="1">
        <f t="shared" si="20"/>
        <v>378000</v>
      </c>
      <c r="G652" s="5">
        <f t="shared" si="21"/>
        <v>4.0211640211640213E-4</v>
      </c>
    </row>
    <row r="653" spans="1:7" ht="13">
      <c r="A653" s="4" t="s">
        <v>114</v>
      </c>
      <c r="B653" s="1">
        <v>6.45</v>
      </c>
      <c r="C653" s="1">
        <v>353</v>
      </c>
      <c r="D653" s="1" t="s">
        <v>53</v>
      </c>
      <c r="E653" s="1" t="s">
        <v>22</v>
      </c>
      <c r="F653" s="1">
        <f t="shared" si="20"/>
        <v>645</v>
      </c>
      <c r="G653" s="5">
        <f t="shared" si="21"/>
        <v>0.54728682170542631</v>
      </c>
    </row>
    <row r="654" spans="1:7" ht="13">
      <c r="A654" s="4" t="s">
        <v>114</v>
      </c>
      <c r="B654" s="1">
        <v>5</v>
      </c>
      <c r="C654" s="1">
        <v>250</v>
      </c>
      <c r="D654" s="1" t="s">
        <v>33</v>
      </c>
      <c r="E654" s="1" t="s">
        <v>31</v>
      </c>
      <c r="F654" s="1">
        <f t="shared" si="20"/>
        <v>500</v>
      </c>
      <c r="G654" s="5">
        <f t="shared" si="21"/>
        <v>0.5</v>
      </c>
    </row>
    <row r="655" spans="1:7" ht="13">
      <c r="A655" s="4" t="s">
        <v>114</v>
      </c>
      <c r="B655" s="1">
        <v>5.0999999999999996</v>
      </c>
      <c r="C655" s="1">
        <v>345</v>
      </c>
      <c r="D655" s="1" t="s">
        <v>59</v>
      </c>
      <c r="E655" s="1" t="s">
        <v>18</v>
      </c>
      <c r="F655" s="1">
        <f t="shared" si="20"/>
        <v>509.99999999999994</v>
      </c>
      <c r="G655" s="5">
        <f t="shared" si="21"/>
        <v>0.67647058823529416</v>
      </c>
    </row>
    <row r="656" spans="1:7" ht="13">
      <c r="A656" s="4" t="s">
        <v>114</v>
      </c>
      <c r="B656" s="1">
        <v>6.08</v>
      </c>
      <c r="C656" s="1">
        <v>318</v>
      </c>
      <c r="D656" s="1" t="s">
        <v>33</v>
      </c>
      <c r="E656" s="1" t="s">
        <v>28</v>
      </c>
      <c r="F656" s="1">
        <f t="shared" si="20"/>
        <v>608</v>
      </c>
      <c r="G656" s="5">
        <f t="shared" si="21"/>
        <v>0.52302631578947367</v>
      </c>
    </row>
    <row r="657" spans="1:7" ht="13">
      <c r="A657" s="4" t="s">
        <v>114</v>
      </c>
      <c r="B657" s="1">
        <v>6</v>
      </c>
      <c r="C657" s="1">
        <v>434</v>
      </c>
      <c r="D657" s="1" t="s">
        <v>11</v>
      </c>
      <c r="E657" s="1" t="s">
        <v>22</v>
      </c>
      <c r="F657" s="1">
        <f t="shared" si="20"/>
        <v>600</v>
      </c>
      <c r="G657" s="5">
        <f t="shared" si="21"/>
        <v>0.72333333333333338</v>
      </c>
    </row>
    <row r="658" spans="1:7" ht="13">
      <c r="A658" s="4" t="s">
        <v>114</v>
      </c>
      <c r="B658" s="1">
        <v>6.375</v>
      </c>
      <c r="C658" s="1">
        <v>449</v>
      </c>
      <c r="D658" s="1" t="s">
        <v>11</v>
      </c>
      <c r="E658" s="1" t="s">
        <v>12</v>
      </c>
      <c r="F658" s="1">
        <f t="shared" si="20"/>
        <v>637.5</v>
      </c>
      <c r="G658" s="5">
        <f t="shared" si="21"/>
        <v>0.70431372549019611</v>
      </c>
    </row>
    <row r="659" spans="1:7" ht="13">
      <c r="A659" s="4" t="s">
        <v>114</v>
      </c>
      <c r="B659" s="1">
        <v>7.5</v>
      </c>
      <c r="C659" s="1">
        <v>439.8</v>
      </c>
      <c r="D659" s="1" t="s">
        <v>34</v>
      </c>
      <c r="E659" s="1" t="s">
        <v>22</v>
      </c>
      <c r="F659" s="1">
        <f t="shared" si="20"/>
        <v>750</v>
      </c>
      <c r="G659" s="5">
        <f t="shared" si="21"/>
        <v>0.58640000000000003</v>
      </c>
    </row>
    <row r="660" spans="1:7" ht="13">
      <c r="A660" s="4" t="s">
        <v>114</v>
      </c>
      <c r="B660" s="1">
        <v>8.1999999999999993</v>
      </c>
      <c r="C660" s="1">
        <v>426</v>
      </c>
      <c r="D660" s="1" t="s">
        <v>53</v>
      </c>
      <c r="E660" s="1" t="s">
        <v>15</v>
      </c>
      <c r="F660" s="1">
        <f t="shared" si="20"/>
        <v>819.99999999999989</v>
      </c>
      <c r="G660" s="5">
        <f t="shared" si="21"/>
        <v>0.51951219512195124</v>
      </c>
    </row>
    <row r="661" spans="1:7" ht="13">
      <c r="A661" s="4" t="s">
        <v>114</v>
      </c>
      <c r="B661" s="1">
        <v>4</v>
      </c>
      <c r="C661" s="1">
        <v>246</v>
      </c>
      <c r="D661" s="1" t="s">
        <v>11</v>
      </c>
      <c r="E661" s="1" t="s">
        <v>28</v>
      </c>
      <c r="F661" s="1">
        <f t="shared" si="20"/>
        <v>400</v>
      </c>
      <c r="G661" s="5">
        <f t="shared" si="21"/>
        <v>0.61499999999999999</v>
      </c>
    </row>
    <row r="662" spans="1:7" ht="13">
      <c r="A662" s="4" t="s">
        <v>114</v>
      </c>
      <c r="B662" s="1">
        <v>8.1999999999999993</v>
      </c>
      <c r="C662" s="1">
        <v>434.8</v>
      </c>
      <c r="D662" s="1" t="s">
        <v>33</v>
      </c>
      <c r="E662" s="1" t="s">
        <v>16</v>
      </c>
      <c r="F662" s="1">
        <f t="shared" si="20"/>
        <v>819.99999999999989</v>
      </c>
      <c r="G662" s="5">
        <f t="shared" si="21"/>
        <v>0.53024390243902453</v>
      </c>
    </row>
    <row r="663" spans="1:7" ht="13">
      <c r="A663" s="4" t="s">
        <v>114</v>
      </c>
      <c r="B663" s="1">
        <v>3.5</v>
      </c>
      <c r="C663" s="1">
        <v>220</v>
      </c>
      <c r="D663" s="1" t="s">
        <v>11</v>
      </c>
      <c r="E663" s="1" t="s">
        <v>16</v>
      </c>
      <c r="F663" s="1">
        <f t="shared" si="20"/>
        <v>350</v>
      </c>
      <c r="G663" s="5">
        <f t="shared" si="21"/>
        <v>0.62857142857142856</v>
      </c>
    </row>
    <row r="664" spans="1:7" ht="13">
      <c r="A664" s="4" t="s">
        <v>114</v>
      </c>
      <c r="B664" s="1">
        <v>6</v>
      </c>
      <c r="C664" s="1">
        <v>423</v>
      </c>
      <c r="D664" s="1" t="s">
        <v>11</v>
      </c>
      <c r="E664" s="1" t="s">
        <v>16</v>
      </c>
      <c r="F664" s="1">
        <f t="shared" si="20"/>
        <v>600</v>
      </c>
      <c r="G664" s="5">
        <f t="shared" si="21"/>
        <v>0.70499999999999996</v>
      </c>
    </row>
    <row r="665" spans="1:7" ht="13">
      <c r="A665" s="4" t="s">
        <v>114</v>
      </c>
      <c r="B665" s="1">
        <v>4</v>
      </c>
      <c r="C665" s="1">
        <v>222</v>
      </c>
      <c r="D665" s="1" t="s">
        <v>44</v>
      </c>
      <c r="E665" s="1" t="s">
        <v>21</v>
      </c>
      <c r="F665" s="1">
        <f t="shared" si="20"/>
        <v>400</v>
      </c>
      <c r="G665" s="5">
        <f t="shared" si="21"/>
        <v>0.55500000000000005</v>
      </c>
    </row>
    <row r="666" spans="1:7" ht="13">
      <c r="A666" s="4" t="s">
        <v>114</v>
      </c>
      <c r="B666" s="1">
        <v>5.6</v>
      </c>
      <c r="C666" s="1">
        <v>363</v>
      </c>
      <c r="D666" s="1" t="s">
        <v>54</v>
      </c>
      <c r="E666" s="1" t="s">
        <v>22</v>
      </c>
      <c r="F666" s="1">
        <f t="shared" si="20"/>
        <v>560</v>
      </c>
      <c r="G666" s="5">
        <f t="shared" si="21"/>
        <v>0.64821428571428574</v>
      </c>
    </row>
    <row r="667" spans="1:7" ht="13">
      <c r="A667" s="4" t="s">
        <v>114</v>
      </c>
      <c r="B667" s="1">
        <v>5.6</v>
      </c>
      <c r="C667" s="1">
        <v>340</v>
      </c>
      <c r="D667" s="1" t="s">
        <v>36</v>
      </c>
      <c r="E667" s="1" t="s">
        <v>9</v>
      </c>
      <c r="F667" s="1">
        <f t="shared" si="20"/>
        <v>560</v>
      </c>
      <c r="G667" s="5">
        <f t="shared" si="21"/>
        <v>0.6071428571428571</v>
      </c>
    </row>
    <row r="668" spans="1:7" ht="13">
      <c r="A668" s="4" t="s">
        <v>114</v>
      </c>
      <c r="B668" s="1">
        <v>7.6</v>
      </c>
      <c r="C668" s="1">
        <v>361</v>
      </c>
      <c r="D668" s="1" t="s">
        <v>33</v>
      </c>
      <c r="E668" s="1" t="s">
        <v>17</v>
      </c>
      <c r="F668" s="1">
        <f t="shared" si="20"/>
        <v>760</v>
      </c>
      <c r="G668" s="5">
        <f t="shared" si="21"/>
        <v>0.47499999999999998</v>
      </c>
    </row>
    <row r="669" spans="1:7" ht="13">
      <c r="A669" s="4" t="s">
        <v>114</v>
      </c>
      <c r="B669" s="1">
        <v>7.74</v>
      </c>
      <c r="C669" s="1">
        <v>555</v>
      </c>
      <c r="D669" s="1" t="s">
        <v>11</v>
      </c>
      <c r="E669" s="1" t="s">
        <v>30</v>
      </c>
      <c r="F669" s="1">
        <f t="shared" si="20"/>
        <v>774</v>
      </c>
      <c r="G669" s="5">
        <f t="shared" si="21"/>
        <v>0.71705426356589153</v>
      </c>
    </row>
    <row r="670" spans="1:7" ht="13">
      <c r="A670" s="4" t="s">
        <v>114</v>
      </c>
      <c r="B670" s="1">
        <v>5</v>
      </c>
      <c r="C670" s="1">
        <v>324</v>
      </c>
      <c r="D670" s="1" t="s">
        <v>39</v>
      </c>
      <c r="E670" s="1" t="s">
        <v>18</v>
      </c>
      <c r="F670" s="1">
        <f t="shared" si="20"/>
        <v>500</v>
      </c>
      <c r="G670" s="5">
        <f t="shared" si="21"/>
        <v>0.64800000000000002</v>
      </c>
    </row>
    <row r="671" spans="1:7" ht="13">
      <c r="A671" s="4" t="s">
        <v>114</v>
      </c>
      <c r="B671" s="1">
        <v>6</v>
      </c>
      <c r="C671" s="1">
        <v>577</v>
      </c>
      <c r="D671" s="1" t="s">
        <v>35</v>
      </c>
      <c r="E671" s="1" t="s">
        <v>32</v>
      </c>
      <c r="F671" s="1">
        <f t="shared" si="20"/>
        <v>600</v>
      </c>
      <c r="G671" s="5">
        <f t="shared" si="21"/>
        <v>0.96166666666666667</v>
      </c>
    </row>
    <row r="672" spans="1:7" ht="13">
      <c r="A672" s="4" t="s">
        <v>114</v>
      </c>
      <c r="B672" s="1">
        <v>4.2</v>
      </c>
      <c r="C672" s="1">
        <v>287</v>
      </c>
      <c r="D672" s="1" t="s">
        <v>11</v>
      </c>
      <c r="E672" s="1" t="s">
        <v>15</v>
      </c>
      <c r="F672" s="1">
        <f t="shared" ref="F672:F735" si="22">B672*100</f>
        <v>420</v>
      </c>
      <c r="G672" s="5">
        <f t="shared" si="21"/>
        <v>0.68333333333333335</v>
      </c>
    </row>
    <row r="673" spans="1:7" ht="13">
      <c r="A673" s="4" t="s">
        <v>114</v>
      </c>
      <c r="B673" s="1">
        <v>5</v>
      </c>
      <c r="C673" s="1">
        <v>307</v>
      </c>
      <c r="D673" s="1" t="s">
        <v>11</v>
      </c>
      <c r="E673" s="1" t="s">
        <v>14</v>
      </c>
      <c r="F673" s="1">
        <f t="shared" si="22"/>
        <v>500</v>
      </c>
      <c r="G673" s="5">
        <f t="shared" si="21"/>
        <v>0.61399999999999999</v>
      </c>
    </row>
    <row r="674" spans="1:7" ht="13">
      <c r="A674" s="4" t="s">
        <v>114</v>
      </c>
      <c r="B674" s="1">
        <v>7.74</v>
      </c>
      <c r="C674" s="1">
        <v>482</v>
      </c>
      <c r="D674" s="1" t="s">
        <v>33</v>
      </c>
      <c r="E674" s="1" t="s">
        <v>9</v>
      </c>
      <c r="F674" s="1">
        <f t="shared" si="22"/>
        <v>774</v>
      </c>
      <c r="G674" s="5">
        <f t="shared" si="21"/>
        <v>0.62273901808785526</v>
      </c>
    </row>
    <row r="675" spans="1:7" ht="13">
      <c r="A675" s="4" t="s">
        <v>114</v>
      </c>
      <c r="B675" s="1">
        <v>5.2</v>
      </c>
      <c r="C675" s="1">
        <v>308</v>
      </c>
      <c r="D675" s="1" t="s">
        <v>33</v>
      </c>
      <c r="E675" s="1" t="s">
        <v>15</v>
      </c>
      <c r="F675" s="1">
        <f t="shared" si="22"/>
        <v>520</v>
      </c>
      <c r="G675" s="5">
        <f t="shared" si="21"/>
        <v>0.59230769230769231</v>
      </c>
    </row>
    <row r="676" spans="1:7" ht="13">
      <c r="A676" s="4" t="s">
        <v>114</v>
      </c>
      <c r="B676" s="1">
        <v>6</v>
      </c>
      <c r="C676" s="1">
        <v>320</v>
      </c>
      <c r="D676" s="1" t="s">
        <v>64</v>
      </c>
      <c r="E676" s="1" t="s">
        <v>49</v>
      </c>
      <c r="F676" s="1">
        <f t="shared" si="22"/>
        <v>600</v>
      </c>
      <c r="G676" s="5">
        <f t="shared" si="21"/>
        <v>0.53333333333333333</v>
      </c>
    </row>
    <row r="677" spans="1:7" ht="13">
      <c r="A677" s="4" t="s">
        <v>114</v>
      </c>
      <c r="B677" s="1">
        <v>6.02</v>
      </c>
      <c r="C677" s="1">
        <v>336</v>
      </c>
      <c r="D677" s="1" t="s">
        <v>33</v>
      </c>
      <c r="E677" s="1" t="s">
        <v>9</v>
      </c>
      <c r="F677" s="1">
        <f t="shared" si="22"/>
        <v>602</v>
      </c>
      <c r="G677" s="5">
        <f t="shared" si="21"/>
        <v>0.55813953488372092</v>
      </c>
    </row>
    <row r="678" spans="1:7" ht="13">
      <c r="A678" s="4" t="s">
        <v>114</v>
      </c>
      <c r="B678" s="1">
        <v>7.8</v>
      </c>
      <c r="C678" s="1">
        <v>386</v>
      </c>
      <c r="D678" s="1" t="s">
        <v>40</v>
      </c>
      <c r="E678" s="1" t="s">
        <v>15</v>
      </c>
      <c r="F678" s="1">
        <f t="shared" si="22"/>
        <v>780</v>
      </c>
      <c r="G678" s="5">
        <f t="shared" si="21"/>
        <v>0.49487179487179489</v>
      </c>
    </row>
    <row r="679" spans="1:7" ht="13">
      <c r="A679" s="4" t="s">
        <v>114</v>
      </c>
      <c r="B679" s="1">
        <v>7.7</v>
      </c>
      <c r="C679" s="1">
        <v>576</v>
      </c>
      <c r="D679" s="1" t="s">
        <v>11</v>
      </c>
      <c r="E679" s="1" t="s">
        <v>21</v>
      </c>
      <c r="F679" s="1">
        <f t="shared" si="22"/>
        <v>770</v>
      </c>
      <c r="G679" s="5">
        <f t="shared" si="21"/>
        <v>0.74805194805194808</v>
      </c>
    </row>
    <row r="680" spans="1:7" ht="13">
      <c r="A680" s="4" t="s">
        <v>114</v>
      </c>
      <c r="B680" s="1">
        <v>6.4</v>
      </c>
      <c r="C680" s="1">
        <v>438</v>
      </c>
      <c r="D680" s="1" t="s">
        <v>70</v>
      </c>
      <c r="E680" s="1" t="s">
        <v>23</v>
      </c>
      <c r="F680" s="1">
        <f t="shared" si="22"/>
        <v>640</v>
      </c>
      <c r="G680" s="5">
        <f t="shared" si="21"/>
        <v>0.68437499999999996</v>
      </c>
    </row>
    <row r="681" spans="1:7" ht="13">
      <c r="A681" s="4" t="s">
        <v>114</v>
      </c>
      <c r="B681" s="1">
        <v>3.48</v>
      </c>
      <c r="C681" s="1">
        <v>253</v>
      </c>
      <c r="D681" s="1" t="s">
        <v>11</v>
      </c>
      <c r="E681" s="1" t="s">
        <v>7</v>
      </c>
      <c r="F681" s="1">
        <f t="shared" si="22"/>
        <v>348</v>
      </c>
      <c r="G681" s="5">
        <f t="shared" si="21"/>
        <v>0.72701149425287359</v>
      </c>
    </row>
    <row r="682" spans="1:7" ht="13">
      <c r="A682" s="4" t="s">
        <v>114</v>
      </c>
      <c r="B682" s="1">
        <v>6.4</v>
      </c>
      <c r="C682" s="1">
        <v>457</v>
      </c>
      <c r="D682" s="1" t="s">
        <v>38</v>
      </c>
      <c r="E682" s="1" t="s">
        <v>9</v>
      </c>
      <c r="F682" s="1">
        <f t="shared" si="22"/>
        <v>640</v>
      </c>
      <c r="G682" s="5">
        <f t="shared" si="21"/>
        <v>0.71406250000000004</v>
      </c>
    </row>
    <row r="683" spans="1:7" ht="13">
      <c r="A683" s="4" t="s">
        <v>114</v>
      </c>
      <c r="B683" s="1">
        <v>8</v>
      </c>
      <c r="C683" s="1">
        <v>483</v>
      </c>
      <c r="D683" s="1" t="s">
        <v>11</v>
      </c>
      <c r="E683" s="1" t="s">
        <v>28</v>
      </c>
      <c r="F683" s="1">
        <f t="shared" si="22"/>
        <v>800</v>
      </c>
      <c r="G683" s="5">
        <f t="shared" si="21"/>
        <v>0.60375000000000001</v>
      </c>
    </row>
    <row r="684" spans="1:7" ht="13">
      <c r="A684" s="4" t="s">
        <v>114</v>
      </c>
      <c r="B684" s="1">
        <v>8.1199999999999992</v>
      </c>
      <c r="C684" s="1">
        <v>543</v>
      </c>
      <c r="D684" s="1" t="s">
        <v>11</v>
      </c>
      <c r="E684" s="1" t="s">
        <v>20</v>
      </c>
      <c r="F684" s="1">
        <f t="shared" si="22"/>
        <v>811.99999999999989</v>
      </c>
      <c r="G684" s="5">
        <f t="shared" si="21"/>
        <v>0.66871921182266014</v>
      </c>
    </row>
    <row r="685" spans="1:7" ht="13">
      <c r="A685" s="4" t="s">
        <v>114</v>
      </c>
      <c r="B685" s="1">
        <v>6.8</v>
      </c>
      <c r="C685" s="1">
        <v>341</v>
      </c>
      <c r="D685" s="1" t="s">
        <v>33</v>
      </c>
      <c r="E685" s="1" t="s">
        <v>20</v>
      </c>
      <c r="F685" s="1">
        <f t="shared" si="22"/>
        <v>680</v>
      </c>
      <c r="G685" s="5">
        <f t="shared" si="21"/>
        <v>0.50147058823529411</v>
      </c>
    </row>
    <row r="686" spans="1:7" ht="13">
      <c r="A686" s="4" t="s">
        <v>114</v>
      </c>
      <c r="B686" s="1">
        <v>6.96</v>
      </c>
      <c r="C686" s="1">
        <v>446</v>
      </c>
      <c r="D686" s="1" t="s">
        <v>11</v>
      </c>
      <c r="E686" s="1" t="s">
        <v>31</v>
      </c>
      <c r="F686" s="1">
        <f t="shared" si="22"/>
        <v>696</v>
      </c>
      <c r="G686" s="5">
        <f t="shared" si="21"/>
        <v>0.64080459770114939</v>
      </c>
    </row>
    <row r="687" spans="1:7" ht="13">
      <c r="A687" s="4" t="s">
        <v>114</v>
      </c>
      <c r="B687" s="1">
        <v>8.6</v>
      </c>
      <c r="C687" s="1">
        <v>600</v>
      </c>
      <c r="D687" s="1" t="s">
        <v>11</v>
      </c>
      <c r="E687" s="1" t="s">
        <v>14</v>
      </c>
      <c r="F687" s="1">
        <f t="shared" si="22"/>
        <v>860</v>
      </c>
      <c r="G687" s="5">
        <f t="shared" si="21"/>
        <v>0.69767441860465118</v>
      </c>
    </row>
    <row r="688" spans="1:7" ht="13">
      <c r="A688" s="4" t="s">
        <v>114</v>
      </c>
      <c r="B688" s="1">
        <v>5</v>
      </c>
      <c r="C688" s="1">
        <v>400</v>
      </c>
      <c r="D688" s="1" t="s">
        <v>11</v>
      </c>
      <c r="E688" s="1" t="s">
        <v>22</v>
      </c>
      <c r="F688" s="1">
        <f t="shared" si="22"/>
        <v>500</v>
      </c>
      <c r="G688" s="5">
        <f t="shared" si="21"/>
        <v>0.8</v>
      </c>
    </row>
    <row r="689" spans="1:7" ht="13">
      <c r="A689" s="4" t="s">
        <v>114</v>
      </c>
      <c r="B689" s="1">
        <v>4</v>
      </c>
      <c r="C689" s="1">
        <v>250</v>
      </c>
      <c r="D689" s="1" t="s">
        <v>11</v>
      </c>
      <c r="E689" s="1" t="s">
        <v>8</v>
      </c>
      <c r="F689" s="1">
        <f t="shared" si="22"/>
        <v>400</v>
      </c>
      <c r="G689" s="5">
        <f t="shared" si="21"/>
        <v>0.625</v>
      </c>
    </row>
    <row r="690" spans="1:7" ht="13">
      <c r="A690" s="4" t="s">
        <v>114</v>
      </c>
      <c r="B690" s="1">
        <v>3.7</v>
      </c>
      <c r="C690" s="1">
        <v>237</v>
      </c>
      <c r="D690" s="1" t="s">
        <v>47</v>
      </c>
      <c r="E690" s="1" t="s">
        <v>20</v>
      </c>
      <c r="F690" s="1">
        <f t="shared" si="22"/>
        <v>370</v>
      </c>
      <c r="G690" s="5">
        <f t="shared" si="21"/>
        <v>0.64054054054054055</v>
      </c>
    </row>
    <row r="691" spans="1:7" ht="13">
      <c r="A691" s="4" t="s">
        <v>114</v>
      </c>
      <c r="B691" s="1">
        <v>9</v>
      </c>
      <c r="C691" s="1">
        <v>706</v>
      </c>
      <c r="D691" s="1" t="s">
        <v>11</v>
      </c>
      <c r="E691" s="1" t="s">
        <v>12</v>
      </c>
      <c r="F691" s="1">
        <f t="shared" si="22"/>
        <v>900</v>
      </c>
      <c r="G691" s="5">
        <f t="shared" si="21"/>
        <v>0.7844444444444445</v>
      </c>
    </row>
    <row r="692" spans="1:7" ht="13">
      <c r="A692" s="4" t="s">
        <v>114</v>
      </c>
      <c r="B692" s="1">
        <v>7.3</v>
      </c>
      <c r="C692" s="1">
        <v>388</v>
      </c>
      <c r="D692" s="1" t="s">
        <v>38</v>
      </c>
      <c r="E692" s="1" t="s">
        <v>22</v>
      </c>
      <c r="F692" s="1">
        <f t="shared" si="22"/>
        <v>730</v>
      </c>
      <c r="G692" s="5">
        <f t="shared" si="21"/>
        <v>0.53150684931506853</v>
      </c>
    </row>
    <row r="693" spans="1:7" ht="13">
      <c r="A693" s="4" t="s">
        <v>114</v>
      </c>
      <c r="B693" s="1">
        <v>3.87</v>
      </c>
      <c r="C693" s="1">
        <v>272</v>
      </c>
      <c r="D693" s="1" t="s">
        <v>11</v>
      </c>
      <c r="E693" s="1" t="s">
        <v>15</v>
      </c>
      <c r="F693" s="1">
        <f t="shared" si="22"/>
        <v>387</v>
      </c>
      <c r="G693" s="5">
        <f t="shared" si="21"/>
        <v>0.70284237726098187</v>
      </c>
    </row>
    <row r="694" spans="1:7" ht="13">
      <c r="A694" s="4" t="s">
        <v>114</v>
      </c>
      <c r="B694" s="1">
        <v>4</v>
      </c>
      <c r="C694" s="1">
        <v>295</v>
      </c>
      <c r="D694" s="1" t="s">
        <v>79</v>
      </c>
      <c r="E694" s="1" t="s">
        <v>7</v>
      </c>
      <c r="F694" s="1">
        <f t="shared" si="22"/>
        <v>400</v>
      </c>
      <c r="G694" s="5">
        <f t="shared" si="21"/>
        <v>0.73750000000000004</v>
      </c>
    </row>
    <row r="695" spans="1:7" ht="13">
      <c r="A695" s="4" t="s">
        <v>114</v>
      </c>
      <c r="B695" s="1">
        <v>8.6999999999999993</v>
      </c>
      <c r="C695" s="1">
        <v>484</v>
      </c>
      <c r="D695" s="1" t="s">
        <v>45</v>
      </c>
      <c r="E695" s="1" t="s">
        <v>20</v>
      </c>
      <c r="F695" s="1">
        <f t="shared" si="22"/>
        <v>869.99999999999989</v>
      </c>
      <c r="G695" s="5">
        <f t="shared" si="21"/>
        <v>0.55632183908045985</v>
      </c>
    </row>
    <row r="696" spans="1:7" ht="13">
      <c r="A696" s="4" t="s">
        <v>114</v>
      </c>
      <c r="B696" s="1">
        <v>5.47</v>
      </c>
      <c r="C696" s="1">
        <v>420.49</v>
      </c>
      <c r="D696" s="1" t="s">
        <v>11</v>
      </c>
      <c r="E696" s="1" t="s">
        <v>10</v>
      </c>
      <c r="F696" s="1">
        <f t="shared" si="22"/>
        <v>547</v>
      </c>
      <c r="G696" s="5">
        <f t="shared" si="21"/>
        <v>0.76872029250457041</v>
      </c>
    </row>
    <row r="697" spans="1:7" ht="13">
      <c r="A697" s="4" t="s">
        <v>114</v>
      </c>
      <c r="B697" s="1">
        <v>6</v>
      </c>
      <c r="C697" s="1">
        <v>297</v>
      </c>
      <c r="D697" s="1" t="s">
        <v>37</v>
      </c>
      <c r="E697" s="1" t="s">
        <v>15</v>
      </c>
      <c r="F697" s="1">
        <f t="shared" si="22"/>
        <v>600</v>
      </c>
      <c r="G697" s="5">
        <f t="shared" si="21"/>
        <v>0.495</v>
      </c>
    </row>
    <row r="698" spans="1:7" ht="13">
      <c r="A698" s="4" t="s">
        <v>114</v>
      </c>
      <c r="B698" s="1">
        <v>6.9</v>
      </c>
      <c r="C698" s="1">
        <v>456</v>
      </c>
      <c r="D698" s="1" t="s">
        <v>39</v>
      </c>
      <c r="E698" s="1" t="s">
        <v>8</v>
      </c>
      <c r="F698" s="1">
        <f t="shared" si="22"/>
        <v>690</v>
      </c>
      <c r="G698" s="5">
        <f t="shared" si="21"/>
        <v>0.66086956521739126</v>
      </c>
    </row>
    <row r="699" spans="1:7" ht="13">
      <c r="A699" s="4" t="s">
        <v>114</v>
      </c>
      <c r="B699" s="1">
        <v>5.65</v>
      </c>
      <c r="C699" s="1">
        <v>299</v>
      </c>
      <c r="D699" s="1" t="s">
        <v>33</v>
      </c>
      <c r="E699" s="1" t="s">
        <v>24</v>
      </c>
      <c r="F699" s="1">
        <f t="shared" si="22"/>
        <v>565</v>
      </c>
      <c r="G699" s="5">
        <f t="shared" si="21"/>
        <v>0.52920353982300883</v>
      </c>
    </row>
    <row r="700" spans="1:7" ht="13">
      <c r="A700" s="4" t="s">
        <v>114</v>
      </c>
      <c r="B700" s="1">
        <v>6.96</v>
      </c>
      <c r="C700" s="1">
        <v>372.56</v>
      </c>
      <c r="D700" s="1" t="s">
        <v>45</v>
      </c>
      <c r="E700" s="1" t="s">
        <v>24</v>
      </c>
      <c r="F700" s="1">
        <f t="shared" si="22"/>
        <v>696</v>
      </c>
      <c r="G700" s="5">
        <f t="shared" si="21"/>
        <v>0.5352873563218391</v>
      </c>
    </row>
    <row r="701" spans="1:7" ht="13">
      <c r="A701" s="4" t="s">
        <v>114</v>
      </c>
      <c r="B701" s="1">
        <v>6.4</v>
      </c>
      <c r="C701" s="1">
        <v>415</v>
      </c>
      <c r="D701" s="1" t="s">
        <v>11</v>
      </c>
      <c r="E701" s="1" t="s">
        <v>32</v>
      </c>
      <c r="F701" s="1">
        <f t="shared" si="22"/>
        <v>640</v>
      </c>
      <c r="G701" s="5">
        <f t="shared" si="21"/>
        <v>0.6484375</v>
      </c>
    </row>
    <row r="702" spans="1:7" ht="13">
      <c r="A702" s="4" t="s">
        <v>114</v>
      </c>
      <c r="B702" s="1">
        <v>6.1</v>
      </c>
      <c r="C702" s="1">
        <v>351</v>
      </c>
      <c r="D702" s="1" t="s">
        <v>80</v>
      </c>
      <c r="E702" s="1" t="s">
        <v>16</v>
      </c>
      <c r="F702" s="1">
        <f t="shared" si="22"/>
        <v>610</v>
      </c>
      <c r="G702" s="5">
        <f t="shared" si="21"/>
        <v>0.57540983606557372</v>
      </c>
    </row>
    <row r="703" spans="1:7" ht="13">
      <c r="A703" s="4" t="s">
        <v>114</v>
      </c>
      <c r="B703" s="1">
        <v>7.74</v>
      </c>
      <c r="C703" s="1">
        <v>482</v>
      </c>
      <c r="D703" s="1" t="s">
        <v>11</v>
      </c>
      <c r="E703" s="1" t="s">
        <v>22</v>
      </c>
      <c r="F703" s="1">
        <f t="shared" si="22"/>
        <v>774</v>
      </c>
      <c r="G703" s="5">
        <f t="shared" si="21"/>
        <v>0.62273901808785526</v>
      </c>
    </row>
    <row r="704" spans="1:7" ht="13">
      <c r="A704" s="4" t="s">
        <v>114</v>
      </c>
      <c r="B704" s="1">
        <v>6.84</v>
      </c>
      <c r="C704" s="1">
        <v>365</v>
      </c>
      <c r="D704" s="1" t="s">
        <v>33</v>
      </c>
      <c r="E704" s="1" t="s">
        <v>22</v>
      </c>
      <c r="F704" s="1">
        <f t="shared" si="22"/>
        <v>684</v>
      </c>
      <c r="G704" s="5">
        <f t="shared" si="21"/>
        <v>0.533625730994152</v>
      </c>
    </row>
    <row r="705" spans="1:7" ht="13">
      <c r="A705" s="4" t="s">
        <v>114</v>
      </c>
      <c r="B705" s="1">
        <v>8.6999999999999993</v>
      </c>
      <c r="C705" s="1">
        <v>543</v>
      </c>
      <c r="D705" s="1" t="s">
        <v>11</v>
      </c>
      <c r="E705" s="1" t="s">
        <v>9</v>
      </c>
      <c r="F705" s="1">
        <f t="shared" si="22"/>
        <v>869.99999999999989</v>
      </c>
      <c r="G705" s="5">
        <f t="shared" si="21"/>
        <v>0.6241379310344829</v>
      </c>
    </row>
    <row r="706" spans="1:7" ht="13">
      <c r="A706" s="4" t="s">
        <v>114</v>
      </c>
      <c r="B706" s="1">
        <v>9.1999999999999993</v>
      </c>
      <c r="C706" s="1">
        <v>450</v>
      </c>
      <c r="D706" s="1" t="s">
        <v>33</v>
      </c>
      <c r="E706" s="1" t="s">
        <v>20</v>
      </c>
      <c r="F706" s="1">
        <f t="shared" si="22"/>
        <v>919.99999999999989</v>
      </c>
      <c r="G706" s="5">
        <f t="shared" ref="G706:G769" si="23">C706/F706</f>
        <v>0.48913043478260876</v>
      </c>
    </row>
    <row r="707" spans="1:7" ht="13">
      <c r="A707" s="4" t="s">
        <v>114</v>
      </c>
      <c r="B707" s="1">
        <v>12</v>
      </c>
      <c r="C707" s="1">
        <v>650</v>
      </c>
      <c r="D707" s="1" t="s">
        <v>33</v>
      </c>
      <c r="E707" s="1" t="s">
        <v>20</v>
      </c>
      <c r="F707" s="1">
        <f t="shared" si="22"/>
        <v>1200</v>
      </c>
      <c r="G707" s="5">
        <f t="shared" si="23"/>
        <v>0.54166666666666663</v>
      </c>
    </row>
    <row r="708" spans="1:7" ht="13">
      <c r="A708" s="4" t="s">
        <v>114</v>
      </c>
      <c r="B708" s="1">
        <v>7</v>
      </c>
      <c r="C708" s="1">
        <v>522</v>
      </c>
      <c r="D708" s="1" t="s">
        <v>38</v>
      </c>
      <c r="E708" s="1" t="s">
        <v>17</v>
      </c>
      <c r="F708" s="1">
        <f t="shared" si="22"/>
        <v>700</v>
      </c>
      <c r="G708" s="5">
        <f t="shared" si="23"/>
        <v>0.74571428571428566</v>
      </c>
    </row>
    <row r="709" spans="1:7" ht="13">
      <c r="A709" s="4" t="s">
        <v>114</v>
      </c>
      <c r="B709" s="1">
        <v>6.4</v>
      </c>
      <c r="C709" s="1">
        <v>442</v>
      </c>
      <c r="D709" s="1" t="s">
        <v>59</v>
      </c>
      <c r="E709" s="1" t="s">
        <v>8</v>
      </c>
      <c r="F709" s="1">
        <f t="shared" si="22"/>
        <v>640</v>
      </c>
      <c r="G709" s="5">
        <f t="shared" si="23"/>
        <v>0.69062500000000004</v>
      </c>
    </row>
    <row r="710" spans="1:7" ht="13">
      <c r="A710" s="4" t="s">
        <v>114</v>
      </c>
      <c r="B710" s="1">
        <v>8</v>
      </c>
      <c r="C710" s="1">
        <v>411</v>
      </c>
      <c r="D710" s="1" t="s">
        <v>42</v>
      </c>
      <c r="E710" s="1" t="s">
        <v>32</v>
      </c>
      <c r="F710" s="1">
        <f t="shared" si="22"/>
        <v>800</v>
      </c>
      <c r="G710" s="5">
        <f t="shared" si="23"/>
        <v>0.51375000000000004</v>
      </c>
    </row>
    <row r="711" spans="1:7" ht="13">
      <c r="A711" s="4" t="s">
        <v>114</v>
      </c>
      <c r="B711" s="1">
        <v>7.2</v>
      </c>
      <c r="C711" s="1">
        <v>466.82</v>
      </c>
      <c r="D711" s="1" t="s">
        <v>33</v>
      </c>
      <c r="E711" s="1" t="s">
        <v>25</v>
      </c>
      <c r="F711" s="1">
        <f t="shared" si="22"/>
        <v>720</v>
      </c>
      <c r="G711" s="5">
        <f t="shared" si="23"/>
        <v>0.64836111111111105</v>
      </c>
    </row>
    <row r="712" spans="1:7" ht="13">
      <c r="A712" s="4" t="s">
        <v>114</v>
      </c>
      <c r="B712" s="1">
        <v>7.2</v>
      </c>
      <c r="C712" s="1">
        <v>417</v>
      </c>
      <c r="D712" s="1" t="s">
        <v>33</v>
      </c>
      <c r="E712" s="1" t="s">
        <v>21</v>
      </c>
      <c r="F712" s="1">
        <f t="shared" si="22"/>
        <v>720</v>
      </c>
      <c r="G712" s="5">
        <f t="shared" si="23"/>
        <v>0.57916666666666672</v>
      </c>
    </row>
    <row r="713" spans="1:7" ht="13">
      <c r="A713" s="4" t="s">
        <v>114</v>
      </c>
      <c r="B713" s="1">
        <v>6.02</v>
      </c>
      <c r="C713" s="1">
        <v>439</v>
      </c>
      <c r="D713" s="1" t="s">
        <v>43</v>
      </c>
      <c r="E713" s="1" t="s">
        <v>8</v>
      </c>
      <c r="F713" s="1">
        <f t="shared" si="22"/>
        <v>602</v>
      </c>
      <c r="G713" s="5">
        <f t="shared" si="23"/>
        <v>0.72923588039867104</v>
      </c>
    </row>
    <row r="714" spans="1:7" ht="13">
      <c r="A714" s="4" t="s">
        <v>114</v>
      </c>
      <c r="B714" s="1">
        <v>9</v>
      </c>
      <c r="C714" s="1">
        <v>566</v>
      </c>
      <c r="D714" s="1" t="s">
        <v>44</v>
      </c>
      <c r="E714" s="1" t="s">
        <v>49</v>
      </c>
      <c r="F714" s="1">
        <f t="shared" si="22"/>
        <v>900</v>
      </c>
      <c r="G714" s="5">
        <f t="shared" si="23"/>
        <v>0.62888888888888894</v>
      </c>
    </row>
    <row r="715" spans="1:7" ht="13">
      <c r="A715" s="4" t="s">
        <v>114</v>
      </c>
      <c r="B715" s="1">
        <v>7</v>
      </c>
      <c r="C715" s="1">
        <v>327</v>
      </c>
      <c r="D715" s="1" t="s">
        <v>55</v>
      </c>
      <c r="E715" s="1" t="s">
        <v>8</v>
      </c>
      <c r="F715" s="1">
        <f t="shared" si="22"/>
        <v>700</v>
      </c>
      <c r="G715" s="5">
        <f t="shared" si="23"/>
        <v>0.46714285714285714</v>
      </c>
    </row>
    <row r="716" spans="1:7" ht="13">
      <c r="A716" s="4" t="s">
        <v>114</v>
      </c>
      <c r="B716" s="1">
        <v>8.4</v>
      </c>
      <c r="C716" s="1">
        <v>463</v>
      </c>
      <c r="D716" s="1" t="s">
        <v>33</v>
      </c>
      <c r="E716" s="1" t="s">
        <v>22</v>
      </c>
      <c r="F716" s="1">
        <f t="shared" si="22"/>
        <v>840</v>
      </c>
      <c r="G716" s="5">
        <f t="shared" si="23"/>
        <v>0.55119047619047623</v>
      </c>
    </row>
    <row r="717" spans="1:7" ht="13">
      <c r="A717" s="4" t="s">
        <v>114</v>
      </c>
      <c r="B717" s="1">
        <v>7.38</v>
      </c>
      <c r="C717" s="1">
        <v>370</v>
      </c>
      <c r="D717" s="1" t="s">
        <v>33</v>
      </c>
      <c r="E717" s="1" t="s">
        <v>28</v>
      </c>
      <c r="F717" s="1">
        <f t="shared" si="22"/>
        <v>738</v>
      </c>
      <c r="G717" s="5">
        <f t="shared" si="23"/>
        <v>0.50135501355013545</v>
      </c>
    </row>
    <row r="718" spans="1:7" ht="13">
      <c r="A718" s="4" t="s">
        <v>114</v>
      </c>
      <c r="B718" s="1">
        <v>5.88</v>
      </c>
      <c r="C718" s="1">
        <v>290</v>
      </c>
      <c r="D718" s="1" t="s">
        <v>39</v>
      </c>
      <c r="E718" s="1" t="s">
        <v>19</v>
      </c>
      <c r="F718" s="1">
        <f t="shared" si="22"/>
        <v>588</v>
      </c>
      <c r="G718" s="5">
        <f t="shared" si="23"/>
        <v>0.49319727891156462</v>
      </c>
    </row>
    <row r="719" spans="1:7" ht="13">
      <c r="A719" s="4" t="s">
        <v>114</v>
      </c>
      <c r="B719" s="1">
        <v>6.4</v>
      </c>
      <c r="C719" s="1">
        <v>407</v>
      </c>
      <c r="D719" s="1" t="s">
        <v>11</v>
      </c>
      <c r="E719" s="1" t="s">
        <v>15</v>
      </c>
      <c r="F719" s="1">
        <f t="shared" si="22"/>
        <v>640</v>
      </c>
      <c r="G719" s="5">
        <f t="shared" si="23"/>
        <v>0.63593750000000004</v>
      </c>
    </row>
    <row r="720" spans="1:7" ht="13">
      <c r="A720" s="4" t="s">
        <v>114</v>
      </c>
      <c r="B720" s="1">
        <v>4.1500000000000004</v>
      </c>
      <c r="C720" s="1">
        <v>302</v>
      </c>
      <c r="D720" s="1" t="s">
        <v>38</v>
      </c>
      <c r="E720" s="1" t="s">
        <v>14</v>
      </c>
      <c r="F720" s="1">
        <f t="shared" si="22"/>
        <v>415.00000000000006</v>
      </c>
      <c r="G720" s="5">
        <f t="shared" si="23"/>
        <v>0.7277108433734939</v>
      </c>
    </row>
    <row r="721" spans="1:7" ht="13">
      <c r="A721" s="4" t="s">
        <v>114</v>
      </c>
      <c r="B721" s="1">
        <v>4.2</v>
      </c>
      <c r="C721" s="1">
        <v>293</v>
      </c>
      <c r="D721" s="1" t="s">
        <v>11</v>
      </c>
      <c r="E721" s="1" t="s">
        <v>15</v>
      </c>
      <c r="F721" s="1">
        <f t="shared" si="22"/>
        <v>420</v>
      </c>
      <c r="G721" s="5">
        <f t="shared" si="23"/>
        <v>0.69761904761904758</v>
      </c>
    </row>
    <row r="722" spans="1:7" ht="13">
      <c r="A722" s="4" t="s">
        <v>114</v>
      </c>
      <c r="B722" s="1">
        <v>8.6</v>
      </c>
      <c r="C722" s="1">
        <v>428</v>
      </c>
      <c r="D722" s="1" t="s">
        <v>11</v>
      </c>
      <c r="E722" s="1" t="s">
        <v>19</v>
      </c>
      <c r="F722" s="1">
        <f t="shared" si="22"/>
        <v>860</v>
      </c>
      <c r="G722" s="5">
        <f t="shared" si="23"/>
        <v>0.49767441860465117</v>
      </c>
    </row>
    <row r="723" spans="1:7" ht="13">
      <c r="A723" s="4" t="s">
        <v>114</v>
      </c>
      <c r="B723" s="1">
        <v>8.58</v>
      </c>
      <c r="C723" s="1">
        <v>627</v>
      </c>
      <c r="D723" s="1" t="s">
        <v>11</v>
      </c>
      <c r="E723" s="1" t="s">
        <v>25</v>
      </c>
      <c r="F723" s="1">
        <f t="shared" si="22"/>
        <v>858</v>
      </c>
      <c r="G723" s="5">
        <f t="shared" si="23"/>
        <v>0.73076923076923073</v>
      </c>
    </row>
    <row r="724" spans="1:7" ht="13">
      <c r="A724" s="4" t="s">
        <v>114</v>
      </c>
      <c r="B724" s="1">
        <v>7.29</v>
      </c>
      <c r="C724" s="1">
        <v>509</v>
      </c>
      <c r="D724" s="1" t="s">
        <v>11</v>
      </c>
      <c r="E724" s="1" t="s">
        <v>7</v>
      </c>
      <c r="F724" s="1">
        <f t="shared" si="22"/>
        <v>729</v>
      </c>
      <c r="G724" s="5">
        <f t="shared" si="23"/>
        <v>0.69821673525377226</v>
      </c>
    </row>
    <row r="725" spans="1:7" ht="13">
      <c r="A725" s="4" t="s">
        <v>114</v>
      </c>
      <c r="B725" s="1">
        <v>7.2</v>
      </c>
      <c r="C725" s="1">
        <v>426</v>
      </c>
      <c r="D725" s="1" t="s">
        <v>43</v>
      </c>
      <c r="E725" s="1" t="s">
        <v>81</v>
      </c>
      <c r="F725" s="1">
        <f t="shared" si="22"/>
        <v>720</v>
      </c>
      <c r="G725" s="5">
        <f t="shared" si="23"/>
        <v>0.59166666666666667</v>
      </c>
    </row>
    <row r="726" spans="1:7" ht="13">
      <c r="A726" s="4" t="s">
        <v>114</v>
      </c>
      <c r="B726" s="1">
        <v>8.35</v>
      </c>
      <c r="C726" s="1">
        <v>460</v>
      </c>
      <c r="D726" s="1" t="s">
        <v>43</v>
      </c>
      <c r="E726" s="1" t="s">
        <v>7</v>
      </c>
      <c r="F726" s="1">
        <f t="shared" si="22"/>
        <v>835</v>
      </c>
      <c r="G726" s="5">
        <f t="shared" si="23"/>
        <v>0.55089820359281438</v>
      </c>
    </row>
    <row r="727" spans="1:7" ht="13">
      <c r="A727" s="4" t="s">
        <v>114</v>
      </c>
      <c r="B727" s="1">
        <v>5.6</v>
      </c>
      <c r="C727" s="1">
        <v>276</v>
      </c>
      <c r="D727" s="1" t="s">
        <v>11</v>
      </c>
      <c r="E727" s="1" t="s">
        <v>21</v>
      </c>
      <c r="F727" s="1">
        <f t="shared" si="22"/>
        <v>560</v>
      </c>
      <c r="G727" s="5">
        <f t="shared" si="23"/>
        <v>0.49285714285714288</v>
      </c>
    </row>
    <row r="728" spans="1:7" ht="13">
      <c r="A728" s="4" t="s">
        <v>114</v>
      </c>
      <c r="B728" s="1">
        <v>6.4</v>
      </c>
      <c r="C728" s="1">
        <v>409</v>
      </c>
      <c r="D728" s="1" t="s">
        <v>38</v>
      </c>
      <c r="E728" s="1" t="s">
        <v>24</v>
      </c>
      <c r="F728" s="1">
        <f t="shared" si="22"/>
        <v>640</v>
      </c>
      <c r="G728" s="5">
        <f t="shared" si="23"/>
        <v>0.63906249999999998</v>
      </c>
    </row>
    <row r="729" spans="1:7" ht="13">
      <c r="A729" s="4" t="s">
        <v>114</v>
      </c>
      <c r="B729" s="1">
        <v>8</v>
      </c>
      <c r="C729" s="1">
        <v>505</v>
      </c>
      <c r="D729" s="1" t="s">
        <v>11</v>
      </c>
      <c r="E729" s="1" t="s">
        <v>12</v>
      </c>
      <c r="F729" s="1">
        <f t="shared" si="22"/>
        <v>800</v>
      </c>
      <c r="G729" s="5">
        <f t="shared" si="23"/>
        <v>0.63124999999999998</v>
      </c>
    </row>
    <row r="730" spans="1:7" ht="13">
      <c r="A730" s="4" t="s">
        <v>114</v>
      </c>
      <c r="B730" s="1">
        <v>5.62</v>
      </c>
      <c r="C730" s="1">
        <v>380</v>
      </c>
      <c r="D730" s="1" t="s">
        <v>11</v>
      </c>
      <c r="E730" s="1" t="s">
        <v>23</v>
      </c>
      <c r="F730" s="1">
        <f t="shared" si="22"/>
        <v>562</v>
      </c>
      <c r="G730" s="5">
        <f t="shared" si="23"/>
        <v>0.67615658362989328</v>
      </c>
    </row>
    <row r="731" spans="1:7" ht="13">
      <c r="A731" s="4" t="s">
        <v>114</v>
      </c>
      <c r="B731" s="1">
        <v>7.8</v>
      </c>
      <c r="C731" s="1">
        <v>474</v>
      </c>
      <c r="D731" s="1" t="s">
        <v>39</v>
      </c>
      <c r="E731" s="1" t="s">
        <v>49</v>
      </c>
      <c r="F731" s="1">
        <f t="shared" si="22"/>
        <v>780</v>
      </c>
      <c r="G731" s="5">
        <f t="shared" si="23"/>
        <v>0.60769230769230764</v>
      </c>
    </row>
    <row r="732" spans="1:7" ht="13">
      <c r="A732" s="4" t="s">
        <v>114</v>
      </c>
      <c r="B732" s="1">
        <v>7800</v>
      </c>
      <c r="C732" s="1">
        <v>445</v>
      </c>
      <c r="D732" s="1" t="s">
        <v>43</v>
      </c>
      <c r="E732" s="1" t="s">
        <v>16</v>
      </c>
      <c r="F732" s="1">
        <f t="shared" si="22"/>
        <v>780000</v>
      </c>
      <c r="G732" s="5">
        <f t="shared" si="23"/>
        <v>5.7051282051282046E-4</v>
      </c>
    </row>
    <row r="733" spans="1:7" ht="13">
      <c r="A733" s="4" t="s">
        <v>114</v>
      </c>
      <c r="B733" s="1">
        <v>4.8</v>
      </c>
      <c r="C733" s="1">
        <v>285.39999999999998</v>
      </c>
      <c r="D733" s="1" t="s">
        <v>11</v>
      </c>
      <c r="E733" s="1" t="s">
        <v>24</v>
      </c>
      <c r="F733" s="1">
        <f t="shared" si="22"/>
        <v>480</v>
      </c>
      <c r="G733" s="5">
        <f t="shared" si="23"/>
        <v>0.59458333333333324</v>
      </c>
    </row>
    <row r="734" spans="1:7" ht="13">
      <c r="A734" s="4" t="s">
        <v>114</v>
      </c>
      <c r="B734" s="1">
        <v>4.5</v>
      </c>
      <c r="C734" s="1">
        <v>305</v>
      </c>
      <c r="D734" s="1" t="s">
        <v>11</v>
      </c>
      <c r="E734" s="1" t="s">
        <v>22</v>
      </c>
      <c r="F734" s="1">
        <f t="shared" si="22"/>
        <v>450</v>
      </c>
      <c r="G734" s="5">
        <f t="shared" si="23"/>
        <v>0.67777777777777781</v>
      </c>
    </row>
    <row r="735" spans="1:7" ht="13">
      <c r="A735" s="4" t="s">
        <v>114</v>
      </c>
      <c r="B735" s="1">
        <v>5.12</v>
      </c>
      <c r="C735" s="1">
        <v>296</v>
      </c>
      <c r="D735" s="1" t="s">
        <v>33</v>
      </c>
      <c r="E735" s="1" t="s">
        <v>15</v>
      </c>
      <c r="F735" s="1">
        <f t="shared" si="22"/>
        <v>512</v>
      </c>
      <c r="G735" s="5">
        <f t="shared" si="23"/>
        <v>0.578125</v>
      </c>
    </row>
    <row r="736" spans="1:7" ht="13">
      <c r="A736" s="4" t="s">
        <v>114</v>
      </c>
      <c r="B736" s="1">
        <v>7</v>
      </c>
      <c r="C736" s="1">
        <v>421</v>
      </c>
      <c r="D736" s="1" t="s">
        <v>11</v>
      </c>
      <c r="E736" s="1" t="s">
        <v>26</v>
      </c>
      <c r="F736" s="1">
        <f t="shared" ref="F736:F799" si="24">B736*100</f>
        <v>700</v>
      </c>
      <c r="G736" s="5">
        <f t="shared" si="23"/>
        <v>0.60142857142857142</v>
      </c>
    </row>
    <row r="737" spans="1:7" ht="13">
      <c r="A737" s="4" t="s">
        <v>114</v>
      </c>
      <c r="B737" s="1">
        <v>3.85</v>
      </c>
      <c r="C737" s="1">
        <v>251</v>
      </c>
      <c r="D737" s="1" t="s">
        <v>11</v>
      </c>
      <c r="E737" s="1" t="s">
        <v>20</v>
      </c>
      <c r="F737" s="1">
        <f t="shared" si="24"/>
        <v>385</v>
      </c>
      <c r="G737" s="5">
        <f t="shared" si="23"/>
        <v>0.65194805194805194</v>
      </c>
    </row>
    <row r="738" spans="1:7" ht="13">
      <c r="A738" s="4" t="s">
        <v>114</v>
      </c>
      <c r="B738" s="1">
        <v>2.8</v>
      </c>
      <c r="C738" s="1">
        <v>194</v>
      </c>
      <c r="D738" s="1" t="s">
        <v>47</v>
      </c>
      <c r="E738" s="1" t="s">
        <v>15</v>
      </c>
      <c r="F738" s="1">
        <f t="shared" si="24"/>
        <v>280</v>
      </c>
      <c r="G738" s="5">
        <f t="shared" si="23"/>
        <v>0.69285714285714284</v>
      </c>
    </row>
    <row r="739" spans="1:7" ht="13">
      <c r="A739" s="4" t="s">
        <v>114</v>
      </c>
      <c r="B739" s="1">
        <v>8.1999999999999993</v>
      </c>
      <c r="C739" s="1">
        <v>530.1</v>
      </c>
      <c r="D739" s="1" t="s">
        <v>11</v>
      </c>
      <c r="E739" s="1" t="s">
        <v>7</v>
      </c>
      <c r="F739" s="1">
        <f t="shared" si="24"/>
        <v>819.99999999999989</v>
      </c>
      <c r="G739" s="5">
        <f t="shared" si="23"/>
        <v>0.64646341463414647</v>
      </c>
    </row>
    <row r="740" spans="1:7" ht="13">
      <c r="A740" s="4" t="s">
        <v>114</v>
      </c>
      <c r="B740" s="1">
        <v>6.7</v>
      </c>
      <c r="C740" s="1">
        <v>484.1</v>
      </c>
      <c r="D740" s="1" t="s">
        <v>11</v>
      </c>
      <c r="E740" s="1" t="s">
        <v>17</v>
      </c>
      <c r="F740" s="1">
        <f t="shared" si="24"/>
        <v>670</v>
      </c>
      <c r="G740" s="5">
        <f t="shared" si="23"/>
        <v>0.72253731343283589</v>
      </c>
    </row>
    <row r="741" spans="1:7" ht="13">
      <c r="A741" s="4" t="s">
        <v>114</v>
      </c>
      <c r="B741" s="1">
        <v>4.2</v>
      </c>
      <c r="C741" s="1">
        <v>238</v>
      </c>
      <c r="D741" s="1" t="s">
        <v>37</v>
      </c>
      <c r="E741" s="1" t="s">
        <v>8</v>
      </c>
      <c r="F741" s="1">
        <f t="shared" si="24"/>
        <v>420</v>
      </c>
      <c r="G741" s="5">
        <f t="shared" si="23"/>
        <v>0.56666666666666665</v>
      </c>
    </row>
    <row r="742" spans="1:7" ht="13">
      <c r="A742" s="4" t="s">
        <v>114</v>
      </c>
      <c r="B742" s="1">
        <v>6</v>
      </c>
      <c r="C742" s="1">
        <v>262</v>
      </c>
      <c r="D742" s="1" t="s">
        <v>33</v>
      </c>
      <c r="E742" s="1" t="s">
        <v>30</v>
      </c>
      <c r="F742" s="1">
        <f t="shared" si="24"/>
        <v>600</v>
      </c>
      <c r="G742" s="5">
        <f t="shared" si="23"/>
        <v>0.43666666666666665</v>
      </c>
    </row>
    <row r="743" spans="1:7" ht="13">
      <c r="A743" s="4" t="s">
        <v>114</v>
      </c>
      <c r="B743" s="1">
        <v>9</v>
      </c>
      <c r="C743" s="1">
        <v>654</v>
      </c>
      <c r="D743" s="1" t="s">
        <v>11</v>
      </c>
      <c r="E743" s="1" t="s">
        <v>23</v>
      </c>
      <c r="F743" s="1">
        <f t="shared" si="24"/>
        <v>900</v>
      </c>
      <c r="G743" s="5">
        <f t="shared" si="23"/>
        <v>0.72666666666666668</v>
      </c>
    </row>
    <row r="744" spans="1:7" ht="13">
      <c r="A744" s="4" t="s">
        <v>114</v>
      </c>
      <c r="B744" s="1">
        <v>9.1300000000000008</v>
      </c>
      <c r="C744" s="1">
        <v>448</v>
      </c>
      <c r="D744" s="1" t="s">
        <v>11</v>
      </c>
      <c r="E744" s="1" t="s">
        <v>19</v>
      </c>
      <c r="F744" s="1">
        <f t="shared" si="24"/>
        <v>913.00000000000011</v>
      </c>
      <c r="G744" s="5">
        <f t="shared" si="23"/>
        <v>0.49069003285870749</v>
      </c>
    </row>
    <row r="745" spans="1:7" ht="13">
      <c r="A745" s="4" t="s">
        <v>114</v>
      </c>
      <c r="B745" s="1">
        <v>4.5</v>
      </c>
      <c r="C745" s="1">
        <v>317</v>
      </c>
      <c r="D745" s="1" t="s">
        <v>44</v>
      </c>
      <c r="E745" s="1" t="s">
        <v>9</v>
      </c>
      <c r="F745" s="1">
        <f t="shared" si="24"/>
        <v>450</v>
      </c>
      <c r="G745" s="5">
        <f t="shared" si="23"/>
        <v>0.70444444444444443</v>
      </c>
    </row>
    <row r="746" spans="1:7" ht="13">
      <c r="A746" s="4" t="s">
        <v>114</v>
      </c>
      <c r="B746" s="1">
        <v>12.04</v>
      </c>
      <c r="C746" s="1">
        <v>740</v>
      </c>
      <c r="D746" s="1" t="s">
        <v>11</v>
      </c>
      <c r="E746" s="1" t="s">
        <v>8</v>
      </c>
      <c r="F746" s="1">
        <f t="shared" si="24"/>
        <v>1204</v>
      </c>
      <c r="G746" s="5">
        <f t="shared" si="23"/>
        <v>0.61461794019933558</v>
      </c>
    </row>
    <row r="747" spans="1:7" ht="13">
      <c r="A747" s="4" t="s">
        <v>114</v>
      </c>
      <c r="B747" s="1">
        <v>6.09</v>
      </c>
      <c r="C747" s="1">
        <v>461</v>
      </c>
      <c r="D747" s="1" t="s">
        <v>11</v>
      </c>
      <c r="E747" s="1" t="s">
        <v>10</v>
      </c>
      <c r="F747" s="1">
        <f t="shared" si="24"/>
        <v>609</v>
      </c>
      <c r="G747" s="5">
        <f t="shared" si="23"/>
        <v>0.75697865353037763</v>
      </c>
    </row>
    <row r="748" spans="1:7" ht="13">
      <c r="A748" s="4" t="s">
        <v>114</v>
      </c>
      <c r="B748" s="1">
        <v>4</v>
      </c>
      <c r="C748" s="1">
        <v>185</v>
      </c>
      <c r="D748" s="1" t="s">
        <v>33</v>
      </c>
      <c r="E748" s="1" t="s">
        <v>26</v>
      </c>
      <c r="F748" s="1">
        <f t="shared" si="24"/>
        <v>400</v>
      </c>
      <c r="G748" s="5">
        <f t="shared" si="23"/>
        <v>0.46250000000000002</v>
      </c>
    </row>
    <row r="749" spans="1:7" ht="13">
      <c r="A749" s="4" t="s">
        <v>114</v>
      </c>
      <c r="B749" s="1">
        <v>10</v>
      </c>
      <c r="C749" s="1">
        <v>500</v>
      </c>
      <c r="D749" s="1" t="s">
        <v>39</v>
      </c>
      <c r="E749" s="1" t="s">
        <v>20</v>
      </c>
      <c r="F749" s="1">
        <f t="shared" si="24"/>
        <v>1000</v>
      </c>
      <c r="G749" s="5">
        <f t="shared" si="23"/>
        <v>0.5</v>
      </c>
    </row>
    <row r="750" spans="1:7" ht="13">
      <c r="A750" s="4" t="s">
        <v>114</v>
      </c>
      <c r="B750" s="1">
        <v>5.7</v>
      </c>
      <c r="C750" s="1">
        <v>337</v>
      </c>
      <c r="D750" s="1" t="s">
        <v>39</v>
      </c>
      <c r="E750" s="1" t="s">
        <v>28</v>
      </c>
      <c r="F750" s="1">
        <f t="shared" si="24"/>
        <v>570</v>
      </c>
      <c r="G750" s="5">
        <f t="shared" si="23"/>
        <v>0.59122807017543855</v>
      </c>
    </row>
    <row r="751" spans="1:7" ht="13">
      <c r="A751" s="4" t="s">
        <v>114</v>
      </c>
      <c r="B751" s="1">
        <v>5.6</v>
      </c>
      <c r="C751" s="1">
        <v>320.5</v>
      </c>
      <c r="D751" s="1" t="s">
        <v>33</v>
      </c>
      <c r="E751" s="1" t="s">
        <v>23</v>
      </c>
      <c r="F751" s="1">
        <f t="shared" si="24"/>
        <v>560</v>
      </c>
      <c r="G751" s="5">
        <f t="shared" si="23"/>
        <v>0.57232142857142854</v>
      </c>
    </row>
    <row r="752" spans="1:7" ht="13">
      <c r="A752" s="4" t="s">
        <v>114</v>
      </c>
      <c r="B752" s="1">
        <v>20.100000000000001</v>
      </c>
      <c r="C752" s="1">
        <v>1151</v>
      </c>
      <c r="D752" s="1" t="s">
        <v>11</v>
      </c>
      <c r="E752" s="1" t="s">
        <v>23</v>
      </c>
      <c r="F752" s="1">
        <f t="shared" si="24"/>
        <v>2010.0000000000002</v>
      </c>
      <c r="G752" s="5">
        <f t="shared" si="23"/>
        <v>0.57263681592039795</v>
      </c>
    </row>
    <row r="753" spans="1:7" ht="13">
      <c r="A753" s="4" t="s">
        <v>114</v>
      </c>
      <c r="B753" s="1">
        <v>5.14</v>
      </c>
      <c r="C753" s="1">
        <v>337</v>
      </c>
      <c r="D753" s="1" t="s">
        <v>55</v>
      </c>
      <c r="E753" s="1" t="s">
        <v>15</v>
      </c>
      <c r="F753" s="1">
        <f t="shared" si="24"/>
        <v>514</v>
      </c>
      <c r="G753" s="5">
        <f t="shared" si="23"/>
        <v>0.6556420233463035</v>
      </c>
    </row>
    <row r="754" spans="1:7" ht="13">
      <c r="A754" s="4" t="s">
        <v>114</v>
      </c>
      <c r="B754" s="1">
        <v>8.3000000000000007</v>
      </c>
      <c r="C754" s="1">
        <v>539</v>
      </c>
      <c r="D754" s="1" t="s">
        <v>11</v>
      </c>
      <c r="E754" s="1" t="s">
        <v>21</v>
      </c>
      <c r="F754" s="1">
        <f t="shared" si="24"/>
        <v>830.00000000000011</v>
      </c>
      <c r="G754" s="5">
        <f t="shared" si="23"/>
        <v>0.64939759036144573</v>
      </c>
    </row>
    <row r="755" spans="1:7" ht="13">
      <c r="A755" s="4" t="s">
        <v>114</v>
      </c>
      <c r="B755" s="1">
        <v>5.85</v>
      </c>
      <c r="C755" s="1">
        <v>385</v>
      </c>
      <c r="D755" s="1" t="s">
        <v>45</v>
      </c>
      <c r="E755" s="1" t="s">
        <v>15</v>
      </c>
      <c r="F755" s="1">
        <f t="shared" si="24"/>
        <v>585</v>
      </c>
      <c r="G755" s="5">
        <f t="shared" si="23"/>
        <v>0.65811965811965811</v>
      </c>
    </row>
    <row r="756" spans="1:7" ht="13">
      <c r="A756" s="4" t="s">
        <v>114</v>
      </c>
      <c r="B756" s="1">
        <v>6.96</v>
      </c>
      <c r="C756" s="1">
        <v>478</v>
      </c>
      <c r="D756" s="1" t="s">
        <v>11</v>
      </c>
      <c r="E756" s="1" t="s">
        <v>14</v>
      </c>
      <c r="F756" s="1">
        <f t="shared" si="24"/>
        <v>696</v>
      </c>
      <c r="G756" s="5">
        <f t="shared" si="23"/>
        <v>0.68678160919540232</v>
      </c>
    </row>
    <row r="757" spans="1:7" ht="13">
      <c r="A757" s="4" t="s">
        <v>114</v>
      </c>
      <c r="B757" s="1">
        <v>7.29</v>
      </c>
      <c r="C757" s="1">
        <v>446</v>
      </c>
      <c r="D757" s="1" t="s">
        <v>11</v>
      </c>
      <c r="E757" s="1" t="s">
        <v>22</v>
      </c>
      <c r="F757" s="1">
        <f t="shared" si="24"/>
        <v>729</v>
      </c>
      <c r="G757" s="5">
        <f t="shared" si="23"/>
        <v>0.61179698216735257</v>
      </c>
    </row>
    <row r="758" spans="1:7" ht="13">
      <c r="A758" s="4" t="s">
        <v>114</v>
      </c>
      <c r="B758" s="1">
        <v>6.88</v>
      </c>
      <c r="C758" s="1">
        <v>547</v>
      </c>
      <c r="D758" s="1" t="s">
        <v>11</v>
      </c>
      <c r="E758" s="1" t="s">
        <v>15</v>
      </c>
      <c r="F758" s="1">
        <f t="shared" si="24"/>
        <v>688</v>
      </c>
      <c r="G758" s="5">
        <f t="shared" si="23"/>
        <v>0.79505813953488369</v>
      </c>
    </row>
    <row r="759" spans="1:7" ht="13">
      <c r="A759" s="4" t="s">
        <v>114</v>
      </c>
      <c r="B759" s="1">
        <v>4.7</v>
      </c>
      <c r="C759" s="1">
        <v>197.34</v>
      </c>
      <c r="D759" s="1" t="s">
        <v>43</v>
      </c>
      <c r="E759" s="1" t="s">
        <v>15</v>
      </c>
      <c r="F759" s="1">
        <f t="shared" si="24"/>
        <v>470</v>
      </c>
      <c r="G759" s="5">
        <f t="shared" si="23"/>
        <v>0.4198723404255319</v>
      </c>
    </row>
    <row r="760" spans="1:7" ht="13">
      <c r="A760" s="4" t="s">
        <v>114</v>
      </c>
      <c r="B760" s="1">
        <v>3.6</v>
      </c>
      <c r="C760" s="1">
        <v>244</v>
      </c>
      <c r="D760" s="1" t="s">
        <v>11</v>
      </c>
      <c r="E760" s="1" t="s">
        <v>28</v>
      </c>
      <c r="F760" s="1">
        <f t="shared" si="24"/>
        <v>360</v>
      </c>
      <c r="G760" s="5">
        <f t="shared" si="23"/>
        <v>0.67777777777777781</v>
      </c>
    </row>
    <row r="761" spans="1:7" ht="13">
      <c r="A761" s="4" t="s">
        <v>114</v>
      </c>
      <c r="B761" s="1">
        <v>5</v>
      </c>
      <c r="C761" s="1">
        <v>305</v>
      </c>
      <c r="D761" s="1" t="s">
        <v>50</v>
      </c>
      <c r="E761" s="1" t="s">
        <v>17</v>
      </c>
      <c r="F761" s="1">
        <f t="shared" si="24"/>
        <v>500</v>
      </c>
      <c r="G761" s="5">
        <f t="shared" si="23"/>
        <v>0.61</v>
      </c>
    </row>
    <row r="762" spans="1:7" ht="13">
      <c r="A762" s="4" t="s">
        <v>114</v>
      </c>
      <c r="B762" s="1">
        <v>3.6</v>
      </c>
      <c r="C762" s="1">
        <v>296</v>
      </c>
      <c r="D762" s="1" t="s">
        <v>11</v>
      </c>
      <c r="E762" s="1" t="s">
        <v>24</v>
      </c>
      <c r="F762" s="1">
        <f t="shared" si="24"/>
        <v>360</v>
      </c>
      <c r="G762" s="5">
        <f t="shared" si="23"/>
        <v>0.82222222222222219</v>
      </c>
    </row>
    <row r="763" spans="1:7" ht="13">
      <c r="A763" s="4" t="s">
        <v>114</v>
      </c>
      <c r="B763" s="1">
        <v>6</v>
      </c>
      <c r="C763" s="1">
        <v>243</v>
      </c>
      <c r="D763" s="1" t="s">
        <v>70</v>
      </c>
      <c r="E763" s="1" t="s">
        <v>18</v>
      </c>
      <c r="F763" s="1">
        <f t="shared" si="24"/>
        <v>600</v>
      </c>
      <c r="G763" s="5">
        <f t="shared" si="23"/>
        <v>0.40500000000000003</v>
      </c>
    </row>
    <row r="764" spans="1:7" ht="13">
      <c r="A764" s="4" t="s">
        <v>115</v>
      </c>
      <c r="B764" s="1">
        <v>7.56</v>
      </c>
      <c r="C764" s="1">
        <v>660</v>
      </c>
      <c r="D764" s="1" t="s">
        <v>11</v>
      </c>
      <c r="E764" s="1" t="s">
        <v>7</v>
      </c>
      <c r="F764" s="1">
        <f t="shared" si="24"/>
        <v>756</v>
      </c>
      <c r="G764" s="5">
        <f t="shared" si="23"/>
        <v>0.87301587301587302</v>
      </c>
    </row>
    <row r="765" spans="1:7" ht="13">
      <c r="A765" s="4" t="s">
        <v>115</v>
      </c>
      <c r="B765" s="1">
        <v>5.8</v>
      </c>
      <c r="C765" s="1">
        <v>544</v>
      </c>
      <c r="D765" s="1" t="s">
        <v>53</v>
      </c>
      <c r="E765" s="1" t="s">
        <v>10</v>
      </c>
      <c r="F765" s="1">
        <f t="shared" si="24"/>
        <v>580</v>
      </c>
      <c r="G765" s="5">
        <f t="shared" si="23"/>
        <v>0.93793103448275861</v>
      </c>
    </row>
    <row r="766" spans="1:7" ht="13">
      <c r="A766" s="4" t="s">
        <v>115</v>
      </c>
      <c r="B766" s="1">
        <v>7.75</v>
      </c>
      <c r="C766" s="1">
        <v>674</v>
      </c>
      <c r="D766" s="1" t="s">
        <v>60</v>
      </c>
      <c r="E766" s="1" t="s">
        <v>10</v>
      </c>
      <c r="F766" s="1">
        <f t="shared" si="24"/>
        <v>775</v>
      </c>
      <c r="G766" s="5">
        <f t="shared" si="23"/>
        <v>0.86967741935483867</v>
      </c>
    </row>
    <row r="767" spans="1:7" ht="13">
      <c r="A767" s="4" t="s">
        <v>115</v>
      </c>
      <c r="B767" s="1">
        <v>5.2</v>
      </c>
      <c r="C767" s="1">
        <v>465</v>
      </c>
      <c r="D767" s="1" t="s">
        <v>45</v>
      </c>
      <c r="E767" s="1" t="s">
        <v>15</v>
      </c>
      <c r="F767" s="1">
        <f t="shared" si="24"/>
        <v>520</v>
      </c>
      <c r="G767" s="5">
        <f t="shared" si="23"/>
        <v>0.89423076923076927</v>
      </c>
    </row>
    <row r="768" spans="1:7" ht="13">
      <c r="A768" s="4" t="s">
        <v>115</v>
      </c>
      <c r="B768" s="1">
        <v>7.3</v>
      </c>
      <c r="C768" s="1">
        <v>574</v>
      </c>
      <c r="D768" s="1" t="s">
        <v>50</v>
      </c>
      <c r="E768" s="1" t="s">
        <v>15</v>
      </c>
      <c r="F768" s="1">
        <f t="shared" si="24"/>
        <v>730</v>
      </c>
      <c r="G768" s="5">
        <f t="shared" si="23"/>
        <v>0.78630136986301369</v>
      </c>
    </row>
    <row r="769" spans="1:7" ht="13">
      <c r="A769" s="4" t="s">
        <v>115</v>
      </c>
      <c r="B769" s="1">
        <v>7.83</v>
      </c>
      <c r="C769" s="1">
        <v>763</v>
      </c>
      <c r="D769" s="1" t="s">
        <v>44</v>
      </c>
      <c r="E769" s="1" t="s">
        <v>23</v>
      </c>
      <c r="F769" s="1">
        <f t="shared" si="24"/>
        <v>783</v>
      </c>
      <c r="G769" s="5">
        <f t="shared" si="23"/>
        <v>0.97445721583652622</v>
      </c>
    </row>
    <row r="770" spans="1:7" ht="13">
      <c r="A770" s="4" t="s">
        <v>115</v>
      </c>
      <c r="B770" s="1">
        <v>6</v>
      </c>
      <c r="C770" s="1">
        <v>632</v>
      </c>
      <c r="D770" s="1" t="s">
        <v>11</v>
      </c>
      <c r="E770" s="1" t="s">
        <v>19</v>
      </c>
      <c r="F770" s="1">
        <f t="shared" si="24"/>
        <v>600</v>
      </c>
      <c r="G770" s="5">
        <f t="shared" ref="G770:G833" si="25">C770/F770</f>
        <v>1.0533333333333332</v>
      </c>
    </row>
    <row r="771" spans="1:7" ht="13">
      <c r="A771" s="4" t="s">
        <v>115</v>
      </c>
      <c r="B771" s="1">
        <v>3.48</v>
      </c>
      <c r="C771" s="1">
        <v>346</v>
      </c>
      <c r="D771" s="1" t="s">
        <v>39</v>
      </c>
      <c r="E771" s="1" t="s">
        <v>15</v>
      </c>
      <c r="F771" s="1">
        <f t="shared" si="24"/>
        <v>348</v>
      </c>
      <c r="G771" s="5">
        <f t="shared" si="25"/>
        <v>0.99425287356321834</v>
      </c>
    </row>
    <row r="772" spans="1:7" ht="13">
      <c r="A772" s="4" t="s">
        <v>115</v>
      </c>
      <c r="B772" s="1">
        <v>5.0999999999999996</v>
      </c>
      <c r="C772" s="1">
        <v>531</v>
      </c>
      <c r="D772" s="1" t="s">
        <v>39</v>
      </c>
      <c r="E772" s="1" t="s">
        <v>15</v>
      </c>
      <c r="F772" s="1">
        <f t="shared" si="24"/>
        <v>509.99999999999994</v>
      </c>
      <c r="G772" s="5">
        <f t="shared" si="25"/>
        <v>1.0411764705882354</v>
      </c>
    </row>
    <row r="773" spans="1:7" ht="13">
      <c r="A773" s="4" t="s">
        <v>115</v>
      </c>
      <c r="B773" s="1">
        <v>7.29</v>
      </c>
      <c r="C773" s="1">
        <v>740</v>
      </c>
      <c r="D773" s="1" t="s">
        <v>11</v>
      </c>
      <c r="E773" s="1" t="s">
        <v>18</v>
      </c>
      <c r="F773" s="1">
        <f t="shared" si="24"/>
        <v>729</v>
      </c>
      <c r="G773" s="5">
        <f t="shared" si="25"/>
        <v>1.0150891632373114</v>
      </c>
    </row>
    <row r="774" spans="1:7" ht="13">
      <c r="A774" s="4" t="s">
        <v>115</v>
      </c>
      <c r="B774" s="1">
        <v>8.1199999999999992</v>
      </c>
      <c r="C774" s="1">
        <v>743</v>
      </c>
      <c r="D774" s="1" t="s">
        <v>38</v>
      </c>
      <c r="E774" s="1" t="s">
        <v>20</v>
      </c>
      <c r="F774" s="1">
        <f t="shared" si="24"/>
        <v>811.99999999999989</v>
      </c>
      <c r="G774" s="5">
        <f t="shared" si="25"/>
        <v>0.915024630541872</v>
      </c>
    </row>
    <row r="775" spans="1:7" ht="13">
      <c r="A775" s="4" t="s">
        <v>115</v>
      </c>
      <c r="B775" s="1">
        <v>3.44</v>
      </c>
      <c r="C775" s="1">
        <v>401</v>
      </c>
      <c r="D775" s="1" t="s">
        <v>43</v>
      </c>
      <c r="E775" s="1" t="s">
        <v>8</v>
      </c>
      <c r="F775" s="1">
        <f t="shared" si="24"/>
        <v>344</v>
      </c>
      <c r="G775" s="5">
        <f t="shared" si="25"/>
        <v>1.1656976744186047</v>
      </c>
    </row>
    <row r="776" spans="1:7" ht="13">
      <c r="A776" s="4" t="s">
        <v>115</v>
      </c>
      <c r="B776" s="1">
        <v>5.0999999999999996</v>
      </c>
      <c r="C776" s="1">
        <v>526</v>
      </c>
      <c r="D776" s="1" t="s">
        <v>43</v>
      </c>
      <c r="E776" s="1" t="s">
        <v>49</v>
      </c>
      <c r="F776" s="1">
        <f t="shared" si="24"/>
        <v>509.99999999999994</v>
      </c>
      <c r="G776" s="5">
        <f t="shared" si="25"/>
        <v>1.031372549019608</v>
      </c>
    </row>
    <row r="777" spans="1:7" ht="13">
      <c r="A777" s="4" t="s">
        <v>115</v>
      </c>
      <c r="B777" s="1">
        <v>4.8</v>
      </c>
      <c r="C777" s="1">
        <v>4.29</v>
      </c>
      <c r="D777" s="1" t="s">
        <v>11</v>
      </c>
      <c r="E777" s="1" t="s">
        <v>32</v>
      </c>
      <c r="F777" s="1">
        <f t="shared" si="24"/>
        <v>480</v>
      </c>
      <c r="G777" s="5">
        <f t="shared" si="25"/>
        <v>8.9374999999999993E-3</v>
      </c>
    </row>
    <row r="778" spans="1:7" ht="13">
      <c r="A778" s="4" t="s">
        <v>115</v>
      </c>
      <c r="B778" s="1">
        <v>7.2</v>
      </c>
      <c r="C778" s="1">
        <v>717</v>
      </c>
      <c r="D778" s="1" t="s">
        <v>39</v>
      </c>
      <c r="E778" s="1" t="s">
        <v>9</v>
      </c>
      <c r="F778" s="1">
        <f t="shared" si="24"/>
        <v>720</v>
      </c>
      <c r="G778" s="5">
        <f t="shared" si="25"/>
        <v>0.99583333333333335</v>
      </c>
    </row>
    <row r="779" spans="1:7" ht="13">
      <c r="A779" s="4" t="s">
        <v>115</v>
      </c>
      <c r="B779" s="1">
        <v>3</v>
      </c>
      <c r="C779" s="1">
        <v>398</v>
      </c>
      <c r="D779" s="1" t="s">
        <v>43</v>
      </c>
      <c r="E779" s="1" t="s">
        <v>18</v>
      </c>
      <c r="F779" s="1">
        <f t="shared" si="24"/>
        <v>300</v>
      </c>
      <c r="G779" s="5">
        <f t="shared" si="25"/>
        <v>1.3266666666666667</v>
      </c>
    </row>
    <row r="780" spans="1:7" ht="13">
      <c r="A780" s="4" t="s">
        <v>115</v>
      </c>
      <c r="B780" s="1">
        <v>6.2</v>
      </c>
      <c r="C780" s="1">
        <v>645</v>
      </c>
      <c r="D780" s="1" t="s">
        <v>11</v>
      </c>
      <c r="E780" s="1" t="s">
        <v>7</v>
      </c>
      <c r="F780" s="1">
        <f t="shared" si="24"/>
        <v>620</v>
      </c>
      <c r="G780" s="5">
        <f t="shared" si="25"/>
        <v>1.0403225806451613</v>
      </c>
    </row>
    <row r="781" spans="1:7" ht="13">
      <c r="A781" s="4" t="s">
        <v>115</v>
      </c>
      <c r="B781" s="1">
        <v>11</v>
      </c>
      <c r="C781" s="1">
        <v>960</v>
      </c>
      <c r="D781" s="1" t="s">
        <v>47</v>
      </c>
      <c r="E781" s="1" t="s">
        <v>14</v>
      </c>
      <c r="F781" s="1">
        <f t="shared" si="24"/>
        <v>1100</v>
      </c>
      <c r="G781" s="5">
        <f t="shared" si="25"/>
        <v>0.87272727272727268</v>
      </c>
    </row>
    <row r="782" spans="1:7" ht="13">
      <c r="A782" s="4" t="s">
        <v>115</v>
      </c>
      <c r="B782" s="1">
        <v>6.96</v>
      </c>
      <c r="C782" s="1">
        <v>377</v>
      </c>
      <c r="D782" s="1" t="s">
        <v>33</v>
      </c>
      <c r="E782" s="1" t="s">
        <v>20</v>
      </c>
      <c r="F782" s="1">
        <f t="shared" si="24"/>
        <v>696</v>
      </c>
      <c r="G782" s="5">
        <f t="shared" si="25"/>
        <v>0.54166666666666663</v>
      </c>
    </row>
    <row r="783" spans="1:7" ht="13">
      <c r="A783" s="4" t="s">
        <v>115</v>
      </c>
      <c r="B783" s="1">
        <v>5.2</v>
      </c>
      <c r="C783" s="1">
        <v>512</v>
      </c>
      <c r="D783" s="1" t="s">
        <v>39</v>
      </c>
      <c r="E783" s="1" t="s">
        <v>18</v>
      </c>
      <c r="F783" s="1">
        <f t="shared" si="24"/>
        <v>520</v>
      </c>
      <c r="G783" s="5">
        <f t="shared" si="25"/>
        <v>0.98461538461538467</v>
      </c>
    </row>
    <row r="784" spans="1:7" ht="13">
      <c r="A784" s="4" t="s">
        <v>115</v>
      </c>
      <c r="B784" s="1">
        <v>4.3</v>
      </c>
      <c r="C784" s="1">
        <v>409</v>
      </c>
      <c r="D784" s="1" t="s">
        <v>33</v>
      </c>
      <c r="E784" s="1" t="s">
        <v>16</v>
      </c>
      <c r="F784" s="1">
        <f t="shared" si="24"/>
        <v>430</v>
      </c>
      <c r="G784" s="5">
        <f t="shared" si="25"/>
        <v>0.9511627906976744</v>
      </c>
    </row>
    <row r="785" spans="1:7" ht="13">
      <c r="A785" s="4" t="s">
        <v>115</v>
      </c>
      <c r="B785" s="1">
        <v>7</v>
      </c>
      <c r="C785" s="1">
        <v>765</v>
      </c>
      <c r="D785" s="1" t="s">
        <v>47</v>
      </c>
      <c r="E785" s="1" t="s">
        <v>17</v>
      </c>
      <c r="F785" s="1">
        <f t="shared" si="24"/>
        <v>700</v>
      </c>
      <c r="G785" s="5">
        <f t="shared" si="25"/>
        <v>1.0928571428571427</v>
      </c>
    </row>
    <row r="786" spans="1:7" ht="13">
      <c r="A786" s="4" t="s">
        <v>115</v>
      </c>
      <c r="B786" s="1">
        <v>7.9</v>
      </c>
      <c r="C786" s="1">
        <v>817</v>
      </c>
      <c r="D786" s="1" t="s">
        <v>11</v>
      </c>
      <c r="E786" s="1" t="s">
        <v>27</v>
      </c>
      <c r="F786" s="1">
        <f t="shared" si="24"/>
        <v>790</v>
      </c>
      <c r="G786" s="5">
        <f t="shared" si="25"/>
        <v>1.0341772151898734</v>
      </c>
    </row>
    <row r="787" spans="1:7" ht="13">
      <c r="A787" s="4" t="s">
        <v>115</v>
      </c>
      <c r="B787" s="1">
        <v>7</v>
      </c>
      <c r="C787" s="1">
        <v>562</v>
      </c>
      <c r="D787" s="1" t="s">
        <v>11</v>
      </c>
      <c r="E787" s="1" t="s">
        <v>18</v>
      </c>
      <c r="F787" s="1">
        <f t="shared" si="24"/>
        <v>700</v>
      </c>
      <c r="G787" s="5">
        <f t="shared" si="25"/>
        <v>0.80285714285714282</v>
      </c>
    </row>
    <row r="788" spans="1:7" ht="13">
      <c r="A788" s="4" t="s">
        <v>115</v>
      </c>
      <c r="B788" s="1">
        <v>4.3499999999999996</v>
      </c>
      <c r="C788" s="1">
        <v>395</v>
      </c>
      <c r="D788" s="1" t="s">
        <v>44</v>
      </c>
      <c r="E788" s="1" t="s">
        <v>15</v>
      </c>
      <c r="F788" s="1">
        <f t="shared" si="24"/>
        <v>434.99999999999994</v>
      </c>
      <c r="G788" s="5">
        <f t="shared" si="25"/>
        <v>0.90804597701149437</v>
      </c>
    </row>
    <row r="789" spans="1:7" ht="13">
      <c r="A789" s="4" t="s">
        <v>115</v>
      </c>
      <c r="B789" s="1">
        <v>6.68</v>
      </c>
      <c r="C789" s="1">
        <v>618</v>
      </c>
      <c r="D789" s="1" t="s">
        <v>33</v>
      </c>
      <c r="E789" s="1" t="s">
        <v>12</v>
      </c>
      <c r="F789" s="1">
        <f t="shared" si="24"/>
        <v>668</v>
      </c>
      <c r="G789" s="5">
        <f t="shared" si="25"/>
        <v>0.92514970059880242</v>
      </c>
    </row>
    <row r="790" spans="1:7" ht="13">
      <c r="A790" s="4" t="s">
        <v>115</v>
      </c>
      <c r="B790" s="1">
        <v>4.3</v>
      </c>
      <c r="C790" s="1">
        <v>462</v>
      </c>
      <c r="D790" s="1" t="s">
        <v>39</v>
      </c>
      <c r="E790" s="1" t="s">
        <v>15</v>
      </c>
      <c r="F790" s="1">
        <f t="shared" si="24"/>
        <v>430</v>
      </c>
      <c r="G790" s="5">
        <f t="shared" si="25"/>
        <v>1.0744186046511628</v>
      </c>
    </row>
    <row r="791" spans="1:7" ht="13">
      <c r="A791" s="4" t="s">
        <v>115</v>
      </c>
      <c r="B791" s="1">
        <v>8.1999999999999993</v>
      </c>
      <c r="C791" s="1">
        <v>773</v>
      </c>
      <c r="D791" s="1" t="s">
        <v>39</v>
      </c>
      <c r="E791" s="1" t="s">
        <v>16</v>
      </c>
      <c r="F791" s="1">
        <f t="shared" si="24"/>
        <v>819.99999999999989</v>
      </c>
      <c r="G791" s="5">
        <f t="shared" si="25"/>
        <v>0.94268292682926846</v>
      </c>
    </row>
    <row r="792" spans="1:7" ht="13">
      <c r="A792" s="4" t="s">
        <v>115</v>
      </c>
      <c r="B792" s="1">
        <v>5.2</v>
      </c>
      <c r="C792" s="1">
        <v>436</v>
      </c>
      <c r="D792" s="1" t="s">
        <v>53</v>
      </c>
      <c r="E792" s="1" t="s">
        <v>24</v>
      </c>
      <c r="F792" s="1">
        <f t="shared" si="24"/>
        <v>520</v>
      </c>
      <c r="G792" s="5">
        <f t="shared" si="25"/>
        <v>0.83846153846153848</v>
      </c>
    </row>
    <row r="793" spans="1:7" ht="13">
      <c r="A793" s="4" t="s">
        <v>115</v>
      </c>
      <c r="B793" s="1">
        <v>6</v>
      </c>
      <c r="C793" s="1">
        <v>622</v>
      </c>
      <c r="D793" s="1" t="s">
        <v>11</v>
      </c>
      <c r="E793" s="1" t="s">
        <v>22</v>
      </c>
      <c r="F793" s="1">
        <f t="shared" si="24"/>
        <v>600</v>
      </c>
      <c r="G793" s="5">
        <f t="shared" si="25"/>
        <v>1.0366666666666666</v>
      </c>
    </row>
    <row r="794" spans="1:7" ht="13">
      <c r="A794" s="4" t="s">
        <v>115</v>
      </c>
      <c r="B794" s="1">
        <v>7.74</v>
      </c>
      <c r="C794" s="1">
        <v>716</v>
      </c>
      <c r="D794" s="1" t="s">
        <v>43</v>
      </c>
      <c r="E794" s="1" t="s">
        <v>22</v>
      </c>
      <c r="F794" s="1">
        <f t="shared" si="24"/>
        <v>774</v>
      </c>
      <c r="G794" s="5">
        <f t="shared" si="25"/>
        <v>0.92506459948320419</v>
      </c>
    </row>
    <row r="795" spans="1:7" ht="13">
      <c r="A795" s="4" t="s">
        <v>115</v>
      </c>
      <c r="B795" s="1">
        <v>2.87</v>
      </c>
      <c r="C795" s="1">
        <v>328</v>
      </c>
      <c r="D795" s="1" t="s">
        <v>11</v>
      </c>
      <c r="E795" s="1" t="s">
        <v>8</v>
      </c>
      <c r="F795" s="1">
        <f t="shared" si="24"/>
        <v>287</v>
      </c>
      <c r="G795" s="5">
        <f t="shared" si="25"/>
        <v>1.1428571428571428</v>
      </c>
    </row>
    <row r="796" spans="1:7" ht="13">
      <c r="A796" s="4" t="s">
        <v>115</v>
      </c>
      <c r="B796" s="1">
        <v>10.3</v>
      </c>
      <c r="C796" s="1">
        <v>900</v>
      </c>
      <c r="D796" s="1" t="s">
        <v>82</v>
      </c>
      <c r="E796" s="1" t="s">
        <v>26</v>
      </c>
      <c r="F796" s="1">
        <f t="shared" si="24"/>
        <v>1030</v>
      </c>
      <c r="G796" s="5">
        <f t="shared" si="25"/>
        <v>0.87378640776699024</v>
      </c>
    </row>
    <row r="797" spans="1:7" ht="13">
      <c r="A797" s="4" t="s">
        <v>115</v>
      </c>
      <c r="B797" s="1">
        <v>7.8</v>
      </c>
      <c r="C797" s="1">
        <v>692</v>
      </c>
      <c r="D797" s="1" t="s">
        <v>40</v>
      </c>
      <c r="E797" s="1" t="s">
        <v>15</v>
      </c>
      <c r="F797" s="1">
        <f t="shared" si="24"/>
        <v>780</v>
      </c>
      <c r="G797" s="5">
        <f t="shared" si="25"/>
        <v>0.88717948717948714</v>
      </c>
    </row>
    <row r="798" spans="1:7" ht="13">
      <c r="A798" s="4" t="s">
        <v>115</v>
      </c>
      <c r="B798" s="1">
        <v>7.9</v>
      </c>
      <c r="C798" s="1">
        <v>687</v>
      </c>
      <c r="D798" s="1" t="s">
        <v>11</v>
      </c>
      <c r="E798" s="1" t="s">
        <v>20</v>
      </c>
      <c r="F798" s="1">
        <f t="shared" si="24"/>
        <v>790</v>
      </c>
      <c r="G798" s="5">
        <f t="shared" si="25"/>
        <v>0.86962025316455693</v>
      </c>
    </row>
    <row r="799" spans="1:7" ht="13">
      <c r="A799" s="4" t="s">
        <v>115</v>
      </c>
      <c r="B799" s="1">
        <v>5.16</v>
      </c>
      <c r="C799" s="1">
        <v>504</v>
      </c>
      <c r="D799" s="1" t="s">
        <v>38</v>
      </c>
      <c r="E799" s="1" t="s">
        <v>26</v>
      </c>
      <c r="F799" s="1">
        <f t="shared" si="24"/>
        <v>516</v>
      </c>
      <c r="G799" s="5">
        <f t="shared" si="25"/>
        <v>0.97674418604651159</v>
      </c>
    </row>
    <row r="800" spans="1:7" ht="13">
      <c r="A800" s="4" t="s">
        <v>115</v>
      </c>
      <c r="B800" s="1">
        <v>4.8600000000000003</v>
      </c>
      <c r="C800" s="1">
        <v>485</v>
      </c>
      <c r="D800" s="1" t="s">
        <v>38</v>
      </c>
      <c r="E800" s="1" t="s">
        <v>15</v>
      </c>
      <c r="F800" s="1">
        <f t="shared" ref="F800:F863" si="26">B800*100</f>
        <v>486.00000000000006</v>
      </c>
      <c r="G800" s="5">
        <f t="shared" si="25"/>
        <v>0.99794238683127556</v>
      </c>
    </row>
    <row r="801" spans="1:7" ht="13">
      <c r="A801" s="4" t="s">
        <v>115</v>
      </c>
      <c r="B801" s="1">
        <v>7.4</v>
      </c>
      <c r="C801" s="1">
        <v>725</v>
      </c>
      <c r="D801" s="1" t="s">
        <v>39</v>
      </c>
      <c r="E801" s="1" t="s">
        <v>7</v>
      </c>
      <c r="F801" s="1">
        <f t="shared" si="26"/>
        <v>740</v>
      </c>
      <c r="G801" s="5">
        <f t="shared" si="25"/>
        <v>0.97972972972972971</v>
      </c>
    </row>
    <row r="802" spans="1:7" ht="13">
      <c r="A802" s="4" t="s">
        <v>115</v>
      </c>
      <c r="B802" s="1">
        <v>4.9000000000000004</v>
      </c>
      <c r="C802" s="1">
        <v>493</v>
      </c>
      <c r="D802" s="1" t="s">
        <v>44</v>
      </c>
      <c r="E802" s="1" t="s">
        <v>15</v>
      </c>
      <c r="F802" s="1">
        <f t="shared" si="26"/>
        <v>490.00000000000006</v>
      </c>
      <c r="G802" s="5">
        <f t="shared" si="25"/>
        <v>1.0061224489795917</v>
      </c>
    </row>
    <row r="803" spans="1:7" ht="13">
      <c r="A803" s="4" t="s">
        <v>115</v>
      </c>
      <c r="B803" s="1">
        <v>6.4</v>
      </c>
      <c r="C803" s="1">
        <v>745</v>
      </c>
      <c r="D803" s="1" t="s">
        <v>11</v>
      </c>
      <c r="E803" s="1" t="s">
        <v>32</v>
      </c>
      <c r="F803" s="1">
        <f t="shared" si="26"/>
        <v>640</v>
      </c>
      <c r="G803" s="5">
        <f t="shared" si="25"/>
        <v>1.1640625</v>
      </c>
    </row>
    <row r="804" spans="1:7" ht="13">
      <c r="A804" s="4" t="s">
        <v>115</v>
      </c>
      <c r="B804" s="1">
        <v>6</v>
      </c>
      <c r="C804" s="1">
        <v>542</v>
      </c>
      <c r="D804" s="1" t="s">
        <v>60</v>
      </c>
      <c r="E804" s="1" t="s">
        <v>17</v>
      </c>
      <c r="F804" s="1">
        <f t="shared" si="26"/>
        <v>600</v>
      </c>
      <c r="G804" s="5">
        <f t="shared" si="25"/>
        <v>0.90333333333333332</v>
      </c>
    </row>
    <row r="805" spans="1:7" ht="13">
      <c r="A805" s="4" t="s">
        <v>115</v>
      </c>
      <c r="B805" s="1">
        <v>6000</v>
      </c>
      <c r="C805" s="1">
        <v>650</v>
      </c>
      <c r="D805" s="1" t="s">
        <v>11</v>
      </c>
      <c r="E805" s="1" t="s">
        <v>8</v>
      </c>
      <c r="F805" s="1">
        <f t="shared" si="26"/>
        <v>600000</v>
      </c>
      <c r="G805" s="5">
        <f t="shared" si="25"/>
        <v>1.0833333333333333E-3</v>
      </c>
    </row>
    <row r="806" spans="1:7" ht="13">
      <c r="A806" s="4" t="s">
        <v>115</v>
      </c>
      <c r="B806" s="1">
        <v>5.4</v>
      </c>
      <c r="C806" s="1">
        <v>576</v>
      </c>
      <c r="D806" s="1" t="s">
        <v>11</v>
      </c>
      <c r="E806" s="1" t="s">
        <v>8</v>
      </c>
      <c r="F806" s="1">
        <f t="shared" si="26"/>
        <v>540</v>
      </c>
      <c r="G806" s="5">
        <f t="shared" si="25"/>
        <v>1.0666666666666667</v>
      </c>
    </row>
    <row r="807" spans="1:7" ht="13">
      <c r="A807" s="4" t="s">
        <v>115</v>
      </c>
      <c r="B807" s="1">
        <v>4.3</v>
      </c>
      <c r="C807" s="1">
        <v>431</v>
      </c>
      <c r="D807" s="1" t="s">
        <v>43</v>
      </c>
      <c r="E807" s="1" t="s">
        <v>20</v>
      </c>
      <c r="F807" s="1">
        <f t="shared" si="26"/>
        <v>430</v>
      </c>
      <c r="G807" s="5">
        <f t="shared" si="25"/>
        <v>1.0023255813953489</v>
      </c>
    </row>
    <row r="808" spans="1:7" ht="13">
      <c r="A808" s="4" t="s">
        <v>115</v>
      </c>
      <c r="B808" s="1">
        <v>7.9</v>
      </c>
      <c r="C808" s="1">
        <v>691</v>
      </c>
      <c r="D808" s="1" t="s">
        <v>33</v>
      </c>
      <c r="E808" s="1" t="s">
        <v>17</v>
      </c>
      <c r="F808" s="1">
        <f t="shared" si="26"/>
        <v>790</v>
      </c>
      <c r="G808" s="5">
        <f t="shared" si="25"/>
        <v>0.87468354430379747</v>
      </c>
    </row>
    <row r="809" spans="1:7" ht="13">
      <c r="A809" s="4" t="s">
        <v>115</v>
      </c>
      <c r="B809" s="1">
        <v>8.58</v>
      </c>
      <c r="C809" s="1">
        <v>854</v>
      </c>
      <c r="D809" s="1" t="s">
        <v>11</v>
      </c>
      <c r="E809" s="1" t="s">
        <v>10</v>
      </c>
      <c r="F809" s="1">
        <f t="shared" si="26"/>
        <v>858</v>
      </c>
      <c r="G809" s="5">
        <f t="shared" si="25"/>
        <v>0.99533799533799538</v>
      </c>
    </row>
    <row r="810" spans="1:7" ht="13">
      <c r="A810" s="4" t="s">
        <v>115</v>
      </c>
      <c r="B810" s="1">
        <v>7.74</v>
      </c>
      <c r="C810" s="1">
        <v>686</v>
      </c>
      <c r="D810" s="1" t="s">
        <v>33</v>
      </c>
      <c r="E810" s="1" t="s">
        <v>16</v>
      </c>
      <c r="F810" s="1">
        <f t="shared" si="26"/>
        <v>774</v>
      </c>
      <c r="G810" s="5">
        <f t="shared" si="25"/>
        <v>0.8863049095607235</v>
      </c>
    </row>
    <row r="811" spans="1:7" ht="13">
      <c r="A811" s="4" t="s">
        <v>115</v>
      </c>
      <c r="B811" s="1">
        <v>7.56</v>
      </c>
      <c r="C811" s="1">
        <v>721</v>
      </c>
      <c r="D811" s="1" t="s">
        <v>11</v>
      </c>
      <c r="E811" s="1" t="s">
        <v>20</v>
      </c>
      <c r="F811" s="1">
        <f t="shared" si="26"/>
        <v>756</v>
      </c>
      <c r="G811" s="5">
        <f t="shared" si="25"/>
        <v>0.95370370370370372</v>
      </c>
    </row>
    <row r="812" spans="1:7" ht="13">
      <c r="A812" s="4" t="s">
        <v>115</v>
      </c>
      <c r="B812" s="1">
        <v>5.44</v>
      </c>
      <c r="C812" s="1">
        <v>510</v>
      </c>
      <c r="D812" s="1" t="s">
        <v>83</v>
      </c>
      <c r="E812" s="1" t="s">
        <v>25</v>
      </c>
      <c r="F812" s="1">
        <f t="shared" si="26"/>
        <v>544</v>
      </c>
      <c r="G812" s="5">
        <f t="shared" si="25"/>
        <v>0.9375</v>
      </c>
    </row>
    <row r="813" spans="1:7" ht="13">
      <c r="A813" s="4" t="s">
        <v>115</v>
      </c>
      <c r="B813" s="1">
        <v>7.47</v>
      </c>
      <c r="C813" s="1">
        <v>663</v>
      </c>
      <c r="D813" s="1" t="s">
        <v>11</v>
      </c>
      <c r="E813" s="1" t="s">
        <v>8</v>
      </c>
      <c r="F813" s="1">
        <f t="shared" si="26"/>
        <v>747</v>
      </c>
      <c r="G813" s="5">
        <f t="shared" si="25"/>
        <v>0.8875502008032129</v>
      </c>
    </row>
    <row r="814" spans="1:7" ht="13">
      <c r="A814" s="4" t="s">
        <v>115</v>
      </c>
      <c r="B814" s="1">
        <v>11.25</v>
      </c>
      <c r="C814" s="1">
        <v>984</v>
      </c>
      <c r="D814" s="1" t="s">
        <v>45</v>
      </c>
      <c r="E814" s="1" t="s">
        <v>8</v>
      </c>
      <c r="F814" s="1">
        <f t="shared" si="26"/>
        <v>1125</v>
      </c>
      <c r="G814" s="5">
        <f t="shared" si="25"/>
        <v>0.8746666666666667</v>
      </c>
    </row>
    <row r="815" spans="1:7" ht="13">
      <c r="A815" s="4" t="s">
        <v>115</v>
      </c>
      <c r="B815" s="1">
        <v>7.14</v>
      </c>
      <c r="C815" s="1">
        <v>775</v>
      </c>
      <c r="D815" s="1" t="s">
        <v>42</v>
      </c>
      <c r="E815" s="1" t="s">
        <v>10</v>
      </c>
      <c r="F815" s="1">
        <f t="shared" si="26"/>
        <v>714</v>
      </c>
      <c r="G815" s="5">
        <f t="shared" si="25"/>
        <v>1.0854341736694677</v>
      </c>
    </row>
    <row r="816" spans="1:7" ht="13">
      <c r="A816" s="4" t="s">
        <v>115</v>
      </c>
      <c r="B816" s="1">
        <v>5.2</v>
      </c>
      <c r="C816" s="1">
        <v>518</v>
      </c>
      <c r="D816" s="1" t="s">
        <v>47</v>
      </c>
      <c r="E816" s="1" t="s">
        <v>26</v>
      </c>
      <c r="F816" s="1">
        <f t="shared" si="26"/>
        <v>520</v>
      </c>
      <c r="G816" s="5">
        <f t="shared" si="25"/>
        <v>0.99615384615384617</v>
      </c>
    </row>
    <row r="817" spans="1:7" ht="13">
      <c r="A817" s="4" t="s">
        <v>115</v>
      </c>
      <c r="B817" s="1">
        <v>4</v>
      </c>
      <c r="C817" s="1">
        <v>367</v>
      </c>
      <c r="D817" s="1" t="s">
        <v>33</v>
      </c>
      <c r="E817" s="1" t="s">
        <v>22</v>
      </c>
      <c r="F817" s="1">
        <f t="shared" si="26"/>
        <v>400</v>
      </c>
      <c r="G817" s="5">
        <f t="shared" si="25"/>
        <v>0.91749999999999998</v>
      </c>
    </row>
    <row r="818" spans="1:7" ht="13">
      <c r="A818" s="4" t="s">
        <v>115</v>
      </c>
      <c r="B818" s="1">
        <v>5.2</v>
      </c>
      <c r="C818" s="1">
        <v>537</v>
      </c>
      <c r="D818" s="1" t="s">
        <v>11</v>
      </c>
      <c r="E818" s="1" t="s">
        <v>9</v>
      </c>
      <c r="F818" s="1">
        <f t="shared" si="26"/>
        <v>520</v>
      </c>
      <c r="G818" s="5">
        <f t="shared" si="25"/>
        <v>1.0326923076923078</v>
      </c>
    </row>
    <row r="819" spans="1:7" ht="13">
      <c r="A819" s="4" t="s">
        <v>115</v>
      </c>
      <c r="B819" s="1">
        <v>7.7</v>
      </c>
      <c r="C819" s="1">
        <v>826</v>
      </c>
      <c r="D819" s="1" t="s">
        <v>55</v>
      </c>
      <c r="E819" s="1" t="s">
        <v>19</v>
      </c>
      <c r="F819" s="1">
        <f t="shared" si="26"/>
        <v>770</v>
      </c>
      <c r="G819" s="5">
        <f t="shared" si="25"/>
        <v>1.0727272727272728</v>
      </c>
    </row>
    <row r="820" spans="1:7" ht="13">
      <c r="A820" s="4" t="s">
        <v>115</v>
      </c>
      <c r="B820" s="1">
        <v>7.2</v>
      </c>
      <c r="C820" s="1">
        <v>621</v>
      </c>
      <c r="D820" s="1" t="s">
        <v>11</v>
      </c>
      <c r="E820" s="1" t="s">
        <v>16</v>
      </c>
      <c r="F820" s="1">
        <f t="shared" si="26"/>
        <v>720</v>
      </c>
      <c r="G820" s="5">
        <f t="shared" si="25"/>
        <v>0.86250000000000004</v>
      </c>
    </row>
    <row r="821" spans="1:7" ht="13">
      <c r="A821" s="4" t="s">
        <v>115</v>
      </c>
      <c r="B821" s="1">
        <v>6.6</v>
      </c>
      <c r="C821" s="1">
        <v>625</v>
      </c>
      <c r="D821" s="1" t="s">
        <v>34</v>
      </c>
      <c r="E821" s="1" t="s">
        <v>22</v>
      </c>
      <c r="F821" s="1">
        <f t="shared" si="26"/>
        <v>660</v>
      </c>
      <c r="G821" s="5">
        <f t="shared" si="25"/>
        <v>0.94696969696969702</v>
      </c>
    </row>
    <row r="822" spans="1:7" ht="13">
      <c r="A822" s="4" t="s">
        <v>115</v>
      </c>
      <c r="B822" s="1">
        <v>5.6</v>
      </c>
      <c r="C822" s="1">
        <v>561</v>
      </c>
      <c r="D822" s="1" t="s">
        <v>40</v>
      </c>
      <c r="E822" s="1" t="s">
        <v>7</v>
      </c>
      <c r="F822" s="1">
        <f t="shared" si="26"/>
        <v>560</v>
      </c>
      <c r="G822" s="5">
        <f t="shared" si="25"/>
        <v>1.0017857142857143</v>
      </c>
    </row>
    <row r="823" spans="1:7" ht="13">
      <c r="A823" s="4" t="s">
        <v>115</v>
      </c>
      <c r="B823" s="1">
        <v>6</v>
      </c>
      <c r="C823" s="1">
        <v>550</v>
      </c>
      <c r="D823" s="1" t="s">
        <v>33</v>
      </c>
      <c r="E823" s="1" t="s">
        <v>9</v>
      </c>
      <c r="F823" s="1">
        <f t="shared" si="26"/>
        <v>600</v>
      </c>
      <c r="G823" s="5">
        <f t="shared" si="25"/>
        <v>0.91666666666666663</v>
      </c>
    </row>
    <row r="824" spans="1:7" ht="13">
      <c r="A824" s="4" t="s">
        <v>115</v>
      </c>
      <c r="B824" s="1">
        <v>5.0999999999999996</v>
      </c>
      <c r="C824" s="1">
        <v>576</v>
      </c>
      <c r="D824" s="1" t="s">
        <v>11</v>
      </c>
      <c r="E824" s="1" t="s">
        <v>27</v>
      </c>
      <c r="F824" s="1">
        <f t="shared" si="26"/>
        <v>509.99999999999994</v>
      </c>
      <c r="G824" s="5">
        <f t="shared" si="25"/>
        <v>1.1294117647058826</v>
      </c>
    </row>
    <row r="825" spans="1:7" ht="13">
      <c r="A825" s="4" t="s">
        <v>115</v>
      </c>
      <c r="B825" s="1">
        <v>6.96</v>
      </c>
      <c r="C825" s="1">
        <v>715</v>
      </c>
      <c r="D825" s="1" t="s">
        <v>11</v>
      </c>
      <c r="E825" s="1" t="s">
        <v>14</v>
      </c>
      <c r="F825" s="1">
        <f t="shared" si="26"/>
        <v>696</v>
      </c>
      <c r="G825" s="5">
        <f t="shared" si="25"/>
        <v>1.0272988505747127</v>
      </c>
    </row>
    <row r="826" spans="1:7" ht="13">
      <c r="A826" s="4" t="s">
        <v>115</v>
      </c>
      <c r="B826" s="1">
        <v>7.3</v>
      </c>
      <c r="C826" s="1">
        <v>700</v>
      </c>
      <c r="D826" s="1" t="s">
        <v>38</v>
      </c>
      <c r="E826" s="1" t="s">
        <v>8</v>
      </c>
      <c r="F826" s="1">
        <f t="shared" si="26"/>
        <v>730</v>
      </c>
      <c r="G826" s="5">
        <f t="shared" si="25"/>
        <v>0.95890410958904104</v>
      </c>
    </row>
    <row r="827" spans="1:7" ht="13">
      <c r="A827" s="4" t="s">
        <v>115</v>
      </c>
      <c r="B827" s="1">
        <v>9.57</v>
      </c>
      <c r="C827" s="1">
        <v>851</v>
      </c>
      <c r="D827" s="1" t="s">
        <v>11</v>
      </c>
      <c r="E827" s="1" t="s">
        <v>25</v>
      </c>
      <c r="F827" s="1">
        <f t="shared" si="26"/>
        <v>957</v>
      </c>
      <c r="G827" s="5">
        <f t="shared" si="25"/>
        <v>0.88923719958202718</v>
      </c>
    </row>
    <row r="828" spans="1:7" ht="13">
      <c r="A828" s="4" t="s">
        <v>115</v>
      </c>
      <c r="B828" s="1">
        <v>3.48</v>
      </c>
      <c r="C828" s="1">
        <v>337</v>
      </c>
      <c r="D828" s="1" t="s">
        <v>11</v>
      </c>
      <c r="E828" s="1" t="s">
        <v>7</v>
      </c>
      <c r="F828" s="1">
        <f t="shared" si="26"/>
        <v>348</v>
      </c>
      <c r="G828" s="5">
        <f t="shared" si="25"/>
        <v>0.9683908045977011</v>
      </c>
    </row>
    <row r="829" spans="1:7" ht="13">
      <c r="A829" s="4" t="s">
        <v>115</v>
      </c>
      <c r="B829" s="1">
        <v>17.100000000000001</v>
      </c>
      <c r="C829" s="1">
        <v>1020</v>
      </c>
      <c r="D829" s="1" t="s">
        <v>11</v>
      </c>
      <c r="E829" s="1" t="s">
        <v>31</v>
      </c>
      <c r="F829" s="1">
        <f t="shared" si="26"/>
        <v>1710.0000000000002</v>
      </c>
      <c r="G829" s="5">
        <f t="shared" si="25"/>
        <v>0.59649122807017541</v>
      </c>
    </row>
    <row r="830" spans="1:7" ht="13">
      <c r="A830" s="4" t="s">
        <v>115</v>
      </c>
      <c r="B830" s="1">
        <v>6</v>
      </c>
      <c r="C830" s="1">
        <v>762</v>
      </c>
      <c r="D830" s="1" t="s">
        <v>38</v>
      </c>
      <c r="E830" s="1" t="s">
        <v>8</v>
      </c>
      <c r="F830" s="1">
        <f t="shared" si="26"/>
        <v>600</v>
      </c>
      <c r="G830" s="5">
        <f t="shared" si="25"/>
        <v>1.27</v>
      </c>
    </row>
    <row r="831" spans="1:7" ht="13">
      <c r="A831" s="4" t="s">
        <v>115</v>
      </c>
      <c r="B831" s="1">
        <v>6.4</v>
      </c>
      <c r="C831" s="1">
        <v>671</v>
      </c>
      <c r="D831" s="1" t="s">
        <v>11</v>
      </c>
      <c r="E831" s="1" t="s">
        <v>8</v>
      </c>
      <c r="F831" s="1">
        <f t="shared" si="26"/>
        <v>640</v>
      </c>
      <c r="G831" s="5">
        <f t="shared" si="25"/>
        <v>1.0484374999999999</v>
      </c>
    </row>
    <row r="832" spans="1:7" ht="13">
      <c r="A832" s="4" t="s">
        <v>115</v>
      </c>
      <c r="B832" s="1">
        <v>8.4</v>
      </c>
      <c r="C832" s="1">
        <v>759</v>
      </c>
      <c r="D832" s="1" t="s">
        <v>47</v>
      </c>
      <c r="E832" s="1" t="s">
        <v>17</v>
      </c>
      <c r="F832" s="1">
        <f t="shared" si="26"/>
        <v>840</v>
      </c>
      <c r="G832" s="5">
        <f t="shared" si="25"/>
        <v>0.90357142857142858</v>
      </c>
    </row>
    <row r="833" spans="1:7" ht="13">
      <c r="A833" s="4" t="s">
        <v>115</v>
      </c>
      <c r="B833" s="1">
        <v>6</v>
      </c>
      <c r="C833" s="1">
        <v>670</v>
      </c>
      <c r="D833" s="1" t="s">
        <v>11</v>
      </c>
      <c r="E833" s="1" t="s">
        <v>17</v>
      </c>
      <c r="F833" s="1">
        <f t="shared" si="26"/>
        <v>600</v>
      </c>
      <c r="G833" s="5">
        <f t="shared" si="25"/>
        <v>1.1166666666666667</v>
      </c>
    </row>
    <row r="834" spans="1:7" ht="13">
      <c r="A834" s="4" t="s">
        <v>115</v>
      </c>
      <c r="B834" s="1">
        <v>8.6</v>
      </c>
      <c r="C834" s="1">
        <v>920</v>
      </c>
      <c r="D834" s="1" t="s">
        <v>42</v>
      </c>
      <c r="E834" s="1" t="s">
        <v>8</v>
      </c>
      <c r="F834" s="1">
        <f t="shared" si="26"/>
        <v>860</v>
      </c>
      <c r="G834" s="5">
        <f t="shared" ref="G834:G897" si="27">C834/F834</f>
        <v>1.069767441860465</v>
      </c>
    </row>
    <row r="835" spans="1:7" ht="13">
      <c r="A835" s="4" t="s">
        <v>115</v>
      </c>
      <c r="B835" s="1">
        <v>5.22</v>
      </c>
      <c r="C835" s="1">
        <v>375</v>
      </c>
      <c r="D835" s="1" t="s">
        <v>55</v>
      </c>
      <c r="E835" s="1" t="s">
        <v>22</v>
      </c>
      <c r="F835" s="1">
        <f t="shared" si="26"/>
        <v>522</v>
      </c>
      <c r="G835" s="5">
        <f t="shared" si="27"/>
        <v>0.7183908045977011</v>
      </c>
    </row>
    <row r="836" spans="1:7" ht="13">
      <c r="A836" s="4" t="s">
        <v>115</v>
      </c>
      <c r="B836" s="1">
        <v>4.8</v>
      </c>
      <c r="C836" s="1">
        <v>530</v>
      </c>
      <c r="D836" s="1" t="s">
        <v>38</v>
      </c>
      <c r="E836" s="1" t="s">
        <v>21</v>
      </c>
      <c r="F836" s="1">
        <f t="shared" si="26"/>
        <v>480</v>
      </c>
      <c r="G836" s="5">
        <f t="shared" si="27"/>
        <v>1.1041666666666667</v>
      </c>
    </row>
    <row r="837" spans="1:7" ht="13">
      <c r="A837" s="4" t="s">
        <v>115</v>
      </c>
      <c r="B837" s="1">
        <v>7.6</v>
      </c>
      <c r="C837" s="1">
        <v>753</v>
      </c>
      <c r="D837" s="1" t="s">
        <v>11</v>
      </c>
      <c r="E837" s="1" t="s">
        <v>17</v>
      </c>
      <c r="F837" s="1">
        <f t="shared" si="26"/>
        <v>760</v>
      </c>
      <c r="G837" s="5">
        <f t="shared" si="27"/>
        <v>0.99078947368421055</v>
      </c>
    </row>
    <row r="838" spans="1:7" ht="13">
      <c r="A838" s="4" t="s">
        <v>115</v>
      </c>
      <c r="B838" s="1">
        <v>5.39</v>
      </c>
      <c r="C838" s="1">
        <v>595</v>
      </c>
      <c r="D838" s="1" t="s">
        <v>11</v>
      </c>
      <c r="E838" s="1" t="s">
        <v>26</v>
      </c>
      <c r="F838" s="1">
        <f t="shared" si="26"/>
        <v>539</v>
      </c>
      <c r="G838" s="5">
        <f t="shared" si="27"/>
        <v>1.1038961038961039</v>
      </c>
    </row>
    <row r="839" spans="1:7" ht="13">
      <c r="A839" s="4" t="s">
        <v>115</v>
      </c>
      <c r="B839" s="1">
        <v>7.56</v>
      </c>
      <c r="C839" s="1">
        <v>696</v>
      </c>
      <c r="D839" s="1" t="s">
        <v>11</v>
      </c>
      <c r="E839" s="1" t="s">
        <v>12</v>
      </c>
      <c r="F839" s="1">
        <f t="shared" si="26"/>
        <v>756</v>
      </c>
      <c r="G839" s="5">
        <f t="shared" si="27"/>
        <v>0.92063492063492058</v>
      </c>
    </row>
    <row r="840" spans="1:7" ht="13">
      <c r="A840" s="4" t="s">
        <v>115</v>
      </c>
      <c r="B840" s="1">
        <v>6</v>
      </c>
      <c r="C840" s="1">
        <v>600</v>
      </c>
      <c r="D840" s="1" t="s">
        <v>11</v>
      </c>
      <c r="E840" s="1" t="s">
        <v>12</v>
      </c>
      <c r="F840" s="1">
        <f t="shared" si="26"/>
        <v>600</v>
      </c>
      <c r="G840" s="5">
        <f t="shared" si="27"/>
        <v>1</v>
      </c>
    </row>
    <row r="841" spans="1:7" ht="13">
      <c r="A841" s="4" t="s">
        <v>115</v>
      </c>
      <c r="B841" s="1">
        <v>8.1</v>
      </c>
      <c r="C841" s="1">
        <v>867</v>
      </c>
      <c r="D841" s="1" t="s">
        <v>42</v>
      </c>
      <c r="E841" s="1" t="s">
        <v>10</v>
      </c>
      <c r="F841" s="1">
        <f t="shared" si="26"/>
        <v>810</v>
      </c>
      <c r="G841" s="5">
        <f t="shared" si="27"/>
        <v>1.0703703703703704</v>
      </c>
    </row>
    <row r="842" spans="1:7" ht="13">
      <c r="A842" s="4" t="s">
        <v>115</v>
      </c>
      <c r="B842" s="1">
        <v>6.4</v>
      </c>
      <c r="C842" s="1">
        <v>590</v>
      </c>
      <c r="D842" s="1" t="s">
        <v>11</v>
      </c>
      <c r="E842" s="1" t="s">
        <v>15</v>
      </c>
      <c r="F842" s="1">
        <f t="shared" si="26"/>
        <v>640</v>
      </c>
      <c r="G842" s="5">
        <f t="shared" si="27"/>
        <v>0.921875</v>
      </c>
    </row>
    <row r="843" spans="1:7" ht="13">
      <c r="A843" s="4" t="s">
        <v>115</v>
      </c>
      <c r="B843" s="1">
        <v>6.8</v>
      </c>
      <c r="C843" s="1">
        <v>744</v>
      </c>
      <c r="D843" s="1" t="s">
        <v>11</v>
      </c>
      <c r="E843" s="1" t="s">
        <v>23</v>
      </c>
      <c r="F843" s="1">
        <f t="shared" si="26"/>
        <v>680</v>
      </c>
      <c r="G843" s="5">
        <f t="shared" si="27"/>
        <v>1.0941176470588236</v>
      </c>
    </row>
    <row r="844" spans="1:7" ht="13">
      <c r="A844" s="4" t="s">
        <v>115</v>
      </c>
      <c r="B844" s="1">
        <v>6.5</v>
      </c>
      <c r="C844" s="1">
        <v>580</v>
      </c>
      <c r="D844" s="1" t="s">
        <v>33</v>
      </c>
      <c r="E844" s="1" t="s">
        <v>15</v>
      </c>
      <c r="F844" s="1">
        <f t="shared" si="26"/>
        <v>650</v>
      </c>
      <c r="G844" s="5">
        <f t="shared" si="27"/>
        <v>0.89230769230769236</v>
      </c>
    </row>
    <row r="845" spans="1:7" ht="13">
      <c r="A845" s="4" t="s">
        <v>115</v>
      </c>
      <c r="B845" s="1">
        <v>5</v>
      </c>
      <c r="C845" s="1">
        <v>514</v>
      </c>
      <c r="D845" s="1" t="s">
        <v>38</v>
      </c>
      <c r="E845" s="1" t="s">
        <v>7</v>
      </c>
      <c r="F845" s="1">
        <f t="shared" si="26"/>
        <v>500</v>
      </c>
      <c r="G845" s="5">
        <f t="shared" si="27"/>
        <v>1.028</v>
      </c>
    </row>
    <row r="846" spans="1:7" ht="13">
      <c r="A846" s="4" t="s">
        <v>115</v>
      </c>
      <c r="B846" s="1">
        <v>6.4</v>
      </c>
      <c r="C846" s="1">
        <v>564</v>
      </c>
      <c r="D846" s="1" t="s">
        <v>33</v>
      </c>
      <c r="E846" s="1" t="s">
        <v>26</v>
      </c>
      <c r="F846" s="1">
        <f t="shared" si="26"/>
        <v>640</v>
      </c>
      <c r="G846" s="5">
        <f t="shared" si="27"/>
        <v>0.88124999999999998</v>
      </c>
    </row>
    <row r="847" spans="1:7" ht="13">
      <c r="A847" s="4" t="s">
        <v>115</v>
      </c>
      <c r="B847" s="1">
        <v>3</v>
      </c>
      <c r="C847" s="1">
        <v>314</v>
      </c>
      <c r="D847" s="1" t="s">
        <v>11</v>
      </c>
      <c r="E847" s="1" t="s">
        <v>25</v>
      </c>
      <c r="F847" s="1">
        <f t="shared" si="26"/>
        <v>300</v>
      </c>
      <c r="G847" s="5">
        <f t="shared" si="27"/>
        <v>1.0466666666666666</v>
      </c>
    </row>
    <row r="848" spans="1:7" ht="13">
      <c r="A848" s="4" t="s">
        <v>115</v>
      </c>
      <c r="B848" s="1">
        <v>7.5</v>
      </c>
      <c r="C848" s="1">
        <v>634</v>
      </c>
      <c r="D848" s="1" t="s">
        <v>43</v>
      </c>
      <c r="E848" s="1" t="s">
        <v>24</v>
      </c>
      <c r="F848" s="1">
        <f t="shared" si="26"/>
        <v>750</v>
      </c>
      <c r="G848" s="5">
        <f t="shared" si="27"/>
        <v>0.84533333333333338</v>
      </c>
    </row>
    <row r="849" spans="1:7" ht="13">
      <c r="A849" s="4" t="s">
        <v>115</v>
      </c>
      <c r="B849" s="1">
        <v>8.6999999999999993</v>
      </c>
      <c r="C849" s="1">
        <v>852</v>
      </c>
      <c r="D849" s="1" t="s">
        <v>44</v>
      </c>
      <c r="E849" s="1" t="s">
        <v>20</v>
      </c>
      <c r="F849" s="1">
        <f t="shared" si="26"/>
        <v>869.99999999999989</v>
      </c>
      <c r="G849" s="5">
        <f t="shared" si="27"/>
        <v>0.97931034482758639</v>
      </c>
    </row>
    <row r="850" spans="1:7" ht="13">
      <c r="A850" s="4" t="s">
        <v>115</v>
      </c>
      <c r="B850" s="1">
        <v>7.74</v>
      </c>
      <c r="C850" s="1">
        <v>776</v>
      </c>
      <c r="D850" s="1" t="s">
        <v>11</v>
      </c>
      <c r="E850" s="1" t="s">
        <v>25</v>
      </c>
      <c r="F850" s="1">
        <f t="shared" si="26"/>
        <v>774</v>
      </c>
      <c r="G850" s="5">
        <f t="shared" si="27"/>
        <v>1.0025839793281655</v>
      </c>
    </row>
    <row r="851" spans="1:7" ht="13">
      <c r="A851" s="4" t="s">
        <v>115</v>
      </c>
      <c r="B851" s="1">
        <v>4.2</v>
      </c>
      <c r="C851" s="1">
        <v>496</v>
      </c>
      <c r="D851" s="1" t="s">
        <v>11</v>
      </c>
      <c r="E851" s="1" t="s">
        <v>25</v>
      </c>
      <c r="F851" s="1">
        <f t="shared" si="26"/>
        <v>420</v>
      </c>
      <c r="G851" s="5">
        <f t="shared" si="27"/>
        <v>1.180952380952381</v>
      </c>
    </row>
    <row r="852" spans="1:7" ht="13">
      <c r="A852" s="4" t="s">
        <v>115</v>
      </c>
      <c r="B852" s="1">
        <v>7.74</v>
      </c>
      <c r="C852" s="1">
        <v>694</v>
      </c>
      <c r="D852" s="1" t="s">
        <v>33</v>
      </c>
      <c r="E852" s="1" t="s">
        <v>7</v>
      </c>
      <c r="F852" s="1">
        <f t="shared" si="26"/>
        <v>774</v>
      </c>
      <c r="G852" s="5">
        <f t="shared" si="27"/>
        <v>0.89664082687338498</v>
      </c>
    </row>
    <row r="853" spans="1:7" ht="13">
      <c r="A853" s="4" t="s">
        <v>115</v>
      </c>
      <c r="B853" s="1">
        <v>6.4</v>
      </c>
      <c r="C853" s="1">
        <v>572.20000000000005</v>
      </c>
      <c r="D853" s="1" t="s">
        <v>35</v>
      </c>
      <c r="E853" s="1" t="s">
        <v>18</v>
      </c>
      <c r="F853" s="1">
        <f t="shared" si="26"/>
        <v>640</v>
      </c>
      <c r="G853" s="5">
        <f t="shared" si="27"/>
        <v>0.89406250000000009</v>
      </c>
    </row>
    <row r="854" spans="1:7" ht="13">
      <c r="A854" s="4" t="s">
        <v>115</v>
      </c>
      <c r="B854" s="1">
        <v>8.75</v>
      </c>
      <c r="C854" s="1">
        <v>896</v>
      </c>
      <c r="D854" s="1" t="s">
        <v>47</v>
      </c>
      <c r="E854" s="1" t="s">
        <v>31</v>
      </c>
      <c r="F854" s="1">
        <f t="shared" si="26"/>
        <v>875</v>
      </c>
      <c r="G854" s="5">
        <f t="shared" si="27"/>
        <v>1.024</v>
      </c>
    </row>
    <row r="855" spans="1:7" ht="13">
      <c r="A855" s="4" t="s">
        <v>115</v>
      </c>
      <c r="B855" s="1">
        <v>3.48</v>
      </c>
      <c r="C855" s="1">
        <v>338</v>
      </c>
      <c r="D855" s="1" t="s">
        <v>11</v>
      </c>
      <c r="E855" s="1" t="s">
        <v>7</v>
      </c>
      <c r="F855" s="1">
        <f t="shared" si="26"/>
        <v>348</v>
      </c>
      <c r="G855" s="5">
        <f t="shared" si="27"/>
        <v>0.97126436781609193</v>
      </c>
    </row>
    <row r="856" spans="1:7" ht="13">
      <c r="A856" s="4" t="s">
        <v>115</v>
      </c>
      <c r="B856" s="1">
        <v>5</v>
      </c>
      <c r="C856" s="1">
        <v>503</v>
      </c>
      <c r="D856" s="1" t="s">
        <v>39</v>
      </c>
      <c r="E856" s="1" t="s">
        <v>22</v>
      </c>
      <c r="F856" s="1">
        <f t="shared" si="26"/>
        <v>500</v>
      </c>
      <c r="G856" s="5">
        <f t="shared" si="27"/>
        <v>1.006</v>
      </c>
    </row>
    <row r="857" spans="1:7" ht="13">
      <c r="A857" s="4" t="s">
        <v>115</v>
      </c>
      <c r="B857" s="1">
        <v>6</v>
      </c>
      <c r="C857" s="1">
        <v>504</v>
      </c>
      <c r="D857" s="1" t="s">
        <v>40</v>
      </c>
      <c r="E857" s="1" t="s">
        <v>8</v>
      </c>
      <c r="F857" s="1">
        <f t="shared" si="26"/>
        <v>600</v>
      </c>
      <c r="G857" s="5">
        <f t="shared" si="27"/>
        <v>0.84</v>
      </c>
    </row>
    <row r="858" spans="1:7" ht="13">
      <c r="A858" s="4" t="s">
        <v>115</v>
      </c>
      <c r="B858" s="1">
        <v>7.56</v>
      </c>
      <c r="C858" s="1">
        <v>841</v>
      </c>
      <c r="D858" s="1" t="s">
        <v>11</v>
      </c>
      <c r="E858" s="1" t="s">
        <v>7</v>
      </c>
      <c r="F858" s="1">
        <f t="shared" si="26"/>
        <v>756</v>
      </c>
      <c r="G858" s="5">
        <f t="shared" si="27"/>
        <v>1.1124338624338623</v>
      </c>
    </row>
    <row r="859" spans="1:7" ht="13">
      <c r="A859" s="4" t="s">
        <v>115</v>
      </c>
      <c r="B859" s="1">
        <v>6.4</v>
      </c>
      <c r="C859" s="1">
        <v>664</v>
      </c>
      <c r="D859" s="1" t="s">
        <v>11</v>
      </c>
      <c r="E859" s="1" t="s">
        <v>8</v>
      </c>
      <c r="F859" s="1">
        <f t="shared" si="26"/>
        <v>640</v>
      </c>
      <c r="G859" s="5">
        <f t="shared" si="27"/>
        <v>1.0375000000000001</v>
      </c>
    </row>
    <row r="860" spans="1:7" ht="13">
      <c r="A860" s="4" t="s">
        <v>115</v>
      </c>
      <c r="B860" s="1">
        <v>7.4</v>
      </c>
      <c r="C860" s="1">
        <v>768</v>
      </c>
      <c r="D860" s="1" t="s">
        <v>11</v>
      </c>
      <c r="E860" s="1" t="s">
        <v>17</v>
      </c>
      <c r="F860" s="1">
        <f t="shared" si="26"/>
        <v>740</v>
      </c>
      <c r="G860" s="5">
        <f t="shared" si="27"/>
        <v>1.0378378378378379</v>
      </c>
    </row>
    <row r="861" spans="1:7" ht="13">
      <c r="A861" s="4" t="s">
        <v>115</v>
      </c>
      <c r="B861" s="1">
        <v>6</v>
      </c>
      <c r="C861" s="1">
        <v>634</v>
      </c>
      <c r="D861" s="1" t="s">
        <v>11</v>
      </c>
      <c r="E861" s="1" t="s">
        <v>10</v>
      </c>
      <c r="F861" s="1">
        <f t="shared" si="26"/>
        <v>600</v>
      </c>
      <c r="G861" s="5">
        <f t="shared" si="27"/>
        <v>1.0566666666666666</v>
      </c>
    </row>
    <row r="862" spans="1:7" ht="13">
      <c r="A862" s="4" t="s">
        <v>115</v>
      </c>
      <c r="B862" s="1">
        <v>7</v>
      </c>
      <c r="C862" s="1">
        <v>621</v>
      </c>
      <c r="D862" s="1" t="s">
        <v>33</v>
      </c>
      <c r="E862" s="1" t="s">
        <v>20</v>
      </c>
      <c r="F862" s="1">
        <f t="shared" si="26"/>
        <v>700</v>
      </c>
      <c r="G862" s="5">
        <f t="shared" si="27"/>
        <v>0.88714285714285712</v>
      </c>
    </row>
    <row r="863" spans="1:7" ht="13">
      <c r="A863" s="4" t="s">
        <v>115</v>
      </c>
      <c r="B863" s="1">
        <v>7.2</v>
      </c>
      <c r="C863" s="1">
        <v>713</v>
      </c>
      <c r="D863" s="1" t="s">
        <v>47</v>
      </c>
      <c r="E863" s="1" t="s">
        <v>17</v>
      </c>
      <c r="F863" s="1">
        <f t="shared" si="26"/>
        <v>720</v>
      </c>
      <c r="G863" s="5">
        <f t="shared" si="27"/>
        <v>0.99027777777777781</v>
      </c>
    </row>
    <row r="864" spans="1:7" ht="13">
      <c r="A864" s="4" t="s">
        <v>115</v>
      </c>
      <c r="B864" s="1">
        <v>5.8</v>
      </c>
      <c r="C864" s="1">
        <v>540</v>
      </c>
      <c r="D864" s="1" t="s">
        <v>11</v>
      </c>
      <c r="E864" s="1" t="s">
        <v>16</v>
      </c>
      <c r="F864" s="1">
        <f t="shared" ref="F864:F927" si="28">B864*100</f>
        <v>580</v>
      </c>
      <c r="G864" s="5">
        <f t="shared" si="27"/>
        <v>0.93103448275862066</v>
      </c>
    </row>
    <row r="865" spans="1:7" ht="13">
      <c r="A865" s="4" t="s">
        <v>115</v>
      </c>
      <c r="B865" s="1">
        <v>5.0999999999999996</v>
      </c>
      <c r="C865" s="1">
        <v>450</v>
      </c>
      <c r="D865" s="1" t="s">
        <v>40</v>
      </c>
      <c r="E865" s="1" t="s">
        <v>15</v>
      </c>
      <c r="F865" s="1">
        <f t="shared" si="28"/>
        <v>509.99999999999994</v>
      </c>
      <c r="G865" s="5">
        <f t="shared" si="27"/>
        <v>0.88235294117647067</v>
      </c>
    </row>
    <row r="866" spans="1:7" ht="13">
      <c r="A866" s="4" t="s">
        <v>115</v>
      </c>
      <c r="B866" s="1">
        <v>4.62</v>
      </c>
      <c r="C866" s="1">
        <v>459</v>
      </c>
      <c r="D866" s="1" t="s">
        <v>33</v>
      </c>
      <c r="E866" s="1" t="s">
        <v>15</v>
      </c>
      <c r="F866" s="1">
        <f t="shared" si="28"/>
        <v>462</v>
      </c>
      <c r="G866" s="5">
        <f t="shared" si="27"/>
        <v>0.99350649350649356</v>
      </c>
    </row>
    <row r="867" spans="1:7" ht="13">
      <c r="A867" s="4" t="s">
        <v>115</v>
      </c>
      <c r="B867" s="1">
        <v>8.5</v>
      </c>
      <c r="C867" s="1">
        <v>764</v>
      </c>
      <c r="D867" s="1" t="s">
        <v>11</v>
      </c>
      <c r="E867" s="1" t="s">
        <v>12</v>
      </c>
      <c r="F867" s="1">
        <f t="shared" si="28"/>
        <v>850</v>
      </c>
      <c r="G867" s="5">
        <f t="shared" si="27"/>
        <v>0.89882352941176469</v>
      </c>
    </row>
    <row r="868" spans="1:7" ht="13">
      <c r="A868" s="4" t="s">
        <v>115</v>
      </c>
      <c r="B868" s="1">
        <v>8</v>
      </c>
      <c r="C868" s="1">
        <v>758</v>
      </c>
      <c r="D868" s="1" t="s">
        <v>11</v>
      </c>
      <c r="E868" s="1" t="s">
        <v>28</v>
      </c>
      <c r="F868" s="1">
        <f t="shared" si="28"/>
        <v>800</v>
      </c>
      <c r="G868" s="5">
        <f t="shared" si="27"/>
        <v>0.94750000000000001</v>
      </c>
    </row>
    <row r="869" spans="1:7" ht="13">
      <c r="A869" s="4" t="s">
        <v>115</v>
      </c>
      <c r="B869" s="1">
        <v>6.96</v>
      </c>
      <c r="C869" s="1">
        <v>727</v>
      </c>
      <c r="D869" s="1" t="s">
        <v>11</v>
      </c>
      <c r="E869" s="1" t="s">
        <v>26</v>
      </c>
      <c r="F869" s="1">
        <f t="shared" si="28"/>
        <v>696</v>
      </c>
      <c r="G869" s="5">
        <f t="shared" si="27"/>
        <v>1.0445402298850575</v>
      </c>
    </row>
    <row r="870" spans="1:7" ht="13">
      <c r="A870" s="4" t="s">
        <v>115</v>
      </c>
      <c r="B870" s="1">
        <v>10.199999999999999</v>
      </c>
      <c r="C870" s="1">
        <v>850</v>
      </c>
      <c r="D870" s="1" t="s">
        <v>11</v>
      </c>
      <c r="E870" s="1" t="s">
        <v>7</v>
      </c>
      <c r="F870" s="1">
        <f t="shared" si="28"/>
        <v>1019.9999999999999</v>
      </c>
      <c r="G870" s="5">
        <f t="shared" si="27"/>
        <v>0.83333333333333348</v>
      </c>
    </row>
    <row r="871" spans="1:7" ht="13">
      <c r="A871" s="4" t="s">
        <v>115</v>
      </c>
      <c r="B871" s="1">
        <v>6.5</v>
      </c>
      <c r="C871" s="1">
        <v>610</v>
      </c>
      <c r="D871" s="1" t="s">
        <v>43</v>
      </c>
      <c r="E871" s="1" t="s">
        <v>30</v>
      </c>
      <c r="F871" s="1">
        <f t="shared" si="28"/>
        <v>650</v>
      </c>
      <c r="G871" s="5">
        <f t="shared" si="27"/>
        <v>0.93846153846153846</v>
      </c>
    </row>
    <row r="872" spans="1:7" ht="13">
      <c r="A872" s="4" t="s">
        <v>115</v>
      </c>
      <c r="B872" s="1">
        <v>7.8</v>
      </c>
      <c r="C872" s="1">
        <v>654</v>
      </c>
      <c r="D872" s="1" t="s">
        <v>11</v>
      </c>
      <c r="E872" s="1" t="s">
        <v>8</v>
      </c>
      <c r="F872" s="1">
        <f t="shared" si="28"/>
        <v>780</v>
      </c>
      <c r="G872" s="5">
        <f t="shared" si="27"/>
        <v>0.83846153846153848</v>
      </c>
    </row>
    <row r="873" spans="1:7" ht="13">
      <c r="A873" s="4" t="s">
        <v>115</v>
      </c>
      <c r="B873" s="1">
        <v>7.29</v>
      </c>
      <c r="C873" s="1">
        <v>762</v>
      </c>
      <c r="D873" s="1" t="s">
        <v>11</v>
      </c>
      <c r="E873" s="1" t="s">
        <v>27</v>
      </c>
      <c r="F873" s="1">
        <f t="shared" si="28"/>
        <v>729</v>
      </c>
      <c r="G873" s="5">
        <f t="shared" si="27"/>
        <v>1.0452674897119341</v>
      </c>
    </row>
    <row r="874" spans="1:7" ht="13">
      <c r="A874" s="4" t="s">
        <v>115</v>
      </c>
      <c r="B874" s="1">
        <v>6.4</v>
      </c>
      <c r="C874" s="1">
        <v>698</v>
      </c>
      <c r="D874" s="1" t="s">
        <v>11</v>
      </c>
      <c r="E874" s="1" t="s">
        <v>26</v>
      </c>
      <c r="F874" s="1">
        <f t="shared" si="28"/>
        <v>640</v>
      </c>
      <c r="G874" s="5">
        <f t="shared" si="27"/>
        <v>1.090625</v>
      </c>
    </row>
    <row r="875" spans="1:7" ht="13">
      <c r="A875" s="4" t="s">
        <v>115</v>
      </c>
      <c r="B875" s="1">
        <v>7.4</v>
      </c>
      <c r="C875" s="1">
        <v>634</v>
      </c>
      <c r="D875" s="1" t="s">
        <v>33</v>
      </c>
      <c r="E875" s="1" t="s">
        <v>22</v>
      </c>
      <c r="F875" s="1">
        <f t="shared" si="28"/>
        <v>740</v>
      </c>
      <c r="G875" s="5">
        <f t="shared" si="27"/>
        <v>0.85675675675675678</v>
      </c>
    </row>
    <row r="876" spans="1:7" ht="13">
      <c r="A876" s="4" t="s">
        <v>115</v>
      </c>
      <c r="B876" s="1">
        <v>8.6</v>
      </c>
      <c r="C876" s="1">
        <v>780</v>
      </c>
      <c r="D876" s="1" t="s">
        <v>11</v>
      </c>
      <c r="E876" s="1" t="s">
        <v>68</v>
      </c>
      <c r="F876" s="1">
        <f t="shared" si="28"/>
        <v>860</v>
      </c>
      <c r="G876" s="5">
        <f t="shared" si="27"/>
        <v>0.90697674418604646</v>
      </c>
    </row>
    <row r="877" spans="1:7" ht="13">
      <c r="A877" s="4" t="s">
        <v>115</v>
      </c>
      <c r="B877" s="1">
        <v>4</v>
      </c>
      <c r="C877" s="1">
        <v>400</v>
      </c>
      <c r="D877" s="1" t="s">
        <v>47</v>
      </c>
      <c r="E877" s="1" t="s">
        <v>31</v>
      </c>
      <c r="F877" s="1">
        <f t="shared" si="28"/>
        <v>400</v>
      </c>
      <c r="G877" s="5">
        <f t="shared" si="27"/>
        <v>1</v>
      </c>
    </row>
    <row r="878" spans="1:7" ht="13">
      <c r="A878" s="4" t="s">
        <v>115</v>
      </c>
      <c r="B878" s="1">
        <v>9.1999999999999993</v>
      </c>
      <c r="C878" s="1">
        <v>793</v>
      </c>
      <c r="D878" s="1" t="s">
        <v>33</v>
      </c>
      <c r="E878" s="1" t="s">
        <v>20</v>
      </c>
      <c r="F878" s="1">
        <f t="shared" si="28"/>
        <v>919.99999999999989</v>
      </c>
      <c r="G878" s="5">
        <f t="shared" si="27"/>
        <v>0.86195652173913051</v>
      </c>
    </row>
    <row r="879" spans="1:7" ht="13">
      <c r="A879" s="4" t="s">
        <v>115</v>
      </c>
      <c r="B879" s="1">
        <v>7.7</v>
      </c>
      <c r="C879" s="1">
        <v>715</v>
      </c>
      <c r="D879" s="1" t="s">
        <v>33</v>
      </c>
      <c r="E879" s="1" t="s">
        <v>16</v>
      </c>
      <c r="F879" s="1">
        <f t="shared" si="28"/>
        <v>770</v>
      </c>
      <c r="G879" s="5">
        <f t="shared" si="27"/>
        <v>0.9285714285714286</v>
      </c>
    </row>
    <row r="880" spans="1:7" ht="13">
      <c r="A880" s="4" t="s">
        <v>115</v>
      </c>
      <c r="B880" s="1">
        <v>7.4</v>
      </c>
      <c r="C880" s="1">
        <v>782</v>
      </c>
      <c r="D880" s="1" t="s">
        <v>84</v>
      </c>
      <c r="E880" s="1" t="s">
        <v>10</v>
      </c>
      <c r="F880" s="1">
        <f t="shared" si="28"/>
        <v>740</v>
      </c>
      <c r="G880" s="5">
        <f t="shared" si="27"/>
        <v>1.0567567567567568</v>
      </c>
    </row>
    <row r="881" spans="1:7" ht="13">
      <c r="A881" s="4" t="s">
        <v>115</v>
      </c>
      <c r="B881" s="1">
        <v>7.74</v>
      </c>
      <c r="C881" s="1">
        <v>749.68</v>
      </c>
      <c r="D881" s="1" t="s">
        <v>43</v>
      </c>
      <c r="E881" s="1" t="s">
        <v>25</v>
      </c>
      <c r="F881" s="1">
        <f t="shared" si="28"/>
        <v>774</v>
      </c>
      <c r="G881" s="5">
        <f t="shared" si="27"/>
        <v>0.96857881136950896</v>
      </c>
    </row>
    <row r="882" spans="1:7" ht="13">
      <c r="A882" s="4" t="s">
        <v>115</v>
      </c>
      <c r="B882" s="1">
        <v>6</v>
      </c>
      <c r="C882" s="1">
        <v>603</v>
      </c>
      <c r="D882" s="1" t="s">
        <v>11</v>
      </c>
      <c r="E882" s="1" t="s">
        <v>26</v>
      </c>
      <c r="F882" s="1">
        <f t="shared" si="28"/>
        <v>600</v>
      </c>
      <c r="G882" s="5">
        <f t="shared" si="27"/>
        <v>1.0049999999999999</v>
      </c>
    </row>
    <row r="883" spans="1:7" ht="13">
      <c r="A883" s="4" t="s">
        <v>115</v>
      </c>
      <c r="B883" s="1">
        <v>3.24</v>
      </c>
      <c r="C883" s="1">
        <v>273</v>
      </c>
      <c r="D883" s="1" t="s">
        <v>40</v>
      </c>
      <c r="E883" s="1" t="s">
        <v>20</v>
      </c>
      <c r="F883" s="1">
        <f t="shared" si="28"/>
        <v>324</v>
      </c>
      <c r="G883" s="5">
        <f t="shared" si="27"/>
        <v>0.84259259259259256</v>
      </c>
    </row>
    <row r="884" spans="1:7" ht="13">
      <c r="A884" s="4" t="s">
        <v>115</v>
      </c>
      <c r="B884" s="1">
        <v>6.88</v>
      </c>
      <c r="C884" s="1">
        <v>618</v>
      </c>
      <c r="D884" s="1" t="s">
        <v>33</v>
      </c>
      <c r="E884" s="1" t="s">
        <v>17</v>
      </c>
      <c r="F884" s="1">
        <f t="shared" si="28"/>
        <v>688</v>
      </c>
      <c r="G884" s="5">
        <f t="shared" si="27"/>
        <v>0.89825581395348841</v>
      </c>
    </row>
    <row r="885" spans="1:7" ht="13">
      <c r="A885" s="4" t="s">
        <v>115</v>
      </c>
      <c r="B885" s="1">
        <v>9.5</v>
      </c>
      <c r="C885" s="1">
        <v>925</v>
      </c>
      <c r="D885" s="1" t="s">
        <v>11</v>
      </c>
      <c r="E885" s="1" t="s">
        <v>31</v>
      </c>
      <c r="F885" s="1">
        <f t="shared" si="28"/>
        <v>950</v>
      </c>
      <c r="G885" s="5">
        <f t="shared" si="27"/>
        <v>0.97368421052631582</v>
      </c>
    </row>
    <row r="886" spans="1:7" ht="13">
      <c r="A886" s="4" t="s">
        <v>115</v>
      </c>
      <c r="B886" s="1">
        <v>8.6</v>
      </c>
      <c r="C886" s="1">
        <v>856</v>
      </c>
      <c r="D886" s="1" t="s">
        <v>11</v>
      </c>
      <c r="E886" s="1" t="s">
        <v>19</v>
      </c>
      <c r="F886" s="1">
        <f t="shared" si="28"/>
        <v>860</v>
      </c>
      <c r="G886" s="5">
        <f t="shared" si="27"/>
        <v>0.99534883720930234</v>
      </c>
    </row>
    <row r="887" spans="1:7" ht="13">
      <c r="A887" s="4" t="s">
        <v>115</v>
      </c>
      <c r="B887" s="1">
        <v>5.88</v>
      </c>
      <c r="C887" s="1">
        <v>495</v>
      </c>
      <c r="D887" s="1" t="s">
        <v>39</v>
      </c>
      <c r="E887" s="1" t="s">
        <v>22</v>
      </c>
      <c r="F887" s="1">
        <f t="shared" si="28"/>
        <v>588</v>
      </c>
      <c r="G887" s="5">
        <f t="shared" si="27"/>
        <v>0.84183673469387754</v>
      </c>
    </row>
    <row r="888" spans="1:7" ht="13">
      <c r="A888" s="4" t="s">
        <v>115</v>
      </c>
      <c r="B888" s="1">
        <v>4</v>
      </c>
      <c r="C888" s="1">
        <v>359</v>
      </c>
      <c r="D888" s="1" t="s">
        <v>43</v>
      </c>
      <c r="E888" s="1" t="s">
        <v>20</v>
      </c>
      <c r="F888" s="1">
        <f t="shared" si="28"/>
        <v>400</v>
      </c>
      <c r="G888" s="5">
        <f t="shared" si="27"/>
        <v>0.89749999999999996</v>
      </c>
    </row>
    <row r="889" spans="1:7" ht="13">
      <c r="A889" s="4" t="s">
        <v>115</v>
      </c>
      <c r="B889" s="1">
        <v>6.02</v>
      </c>
      <c r="C889" s="1">
        <v>628</v>
      </c>
      <c r="D889" s="1" t="s">
        <v>43</v>
      </c>
      <c r="E889" s="1" t="s">
        <v>8</v>
      </c>
      <c r="F889" s="1">
        <f t="shared" si="28"/>
        <v>602</v>
      </c>
      <c r="G889" s="5">
        <f t="shared" si="27"/>
        <v>1.0431893687707641</v>
      </c>
    </row>
    <row r="890" spans="1:7" ht="13">
      <c r="A890" s="4" t="s">
        <v>115</v>
      </c>
      <c r="B890" s="1">
        <v>6525</v>
      </c>
      <c r="C890" s="1">
        <v>797</v>
      </c>
      <c r="D890" s="1" t="s">
        <v>11</v>
      </c>
      <c r="E890" s="1" t="s">
        <v>8</v>
      </c>
      <c r="F890" s="1">
        <f t="shared" si="28"/>
        <v>652500</v>
      </c>
      <c r="G890" s="5">
        <f t="shared" si="27"/>
        <v>1.221455938697318E-3</v>
      </c>
    </row>
    <row r="891" spans="1:7" ht="13">
      <c r="A891" s="4" t="s">
        <v>115</v>
      </c>
      <c r="B891" s="1">
        <v>7.05</v>
      </c>
      <c r="C891" s="1">
        <v>681</v>
      </c>
      <c r="D891" s="1" t="s">
        <v>36</v>
      </c>
      <c r="E891" s="1" t="s">
        <v>15</v>
      </c>
      <c r="F891" s="1">
        <f t="shared" si="28"/>
        <v>705</v>
      </c>
      <c r="G891" s="5">
        <f t="shared" si="27"/>
        <v>0.96595744680851059</v>
      </c>
    </row>
    <row r="892" spans="1:7" ht="13">
      <c r="A892" s="4" t="s">
        <v>115</v>
      </c>
      <c r="B892" s="1">
        <v>6.88</v>
      </c>
      <c r="C892" s="1">
        <v>702.21</v>
      </c>
      <c r="D892" s="1" t="s">
        <v>38</v>
      </c>
      <c r="E892" s="1" t="s">
        <v>7</v>
      </c>
      <c r="F892" s="1">
        <f t="shared" si="28"/>
        <v>688</v>
      </c>
      <c r="G892" s="5">
        <f t="shared" si="27"/>
        <v>1.020654069767442</v>
      </c>
    </row>
    <row r="893" spans="1:7" ht="13">
      <c r="A893" s="4" t="s">
        <v>115</v>
      </c>
      <c r="B893" s="1">
        <v>6.5</v>
      </c>
      <c r="C893" s="1">
        <v>650</v>
      </c>
      <c r="D893" s="1" t="s">
        <v>11</v>
      </c>
      <c r="E893" s="1" t="s">
        <v>17</v>
      </c>
      <c r="F893" s="1">
        <f t="shared" si="28"/>
        <v>650</v>
      </c>
      <c r="G893" s="5">
        <f t="shared" si="27"/>
        <v>1</v>
      </c>
    </row>
    <row r="894" spans="1:7" ht="13">
      <c r="A894" s="4" t="s">
        <v>115</v>
      </c>
      <c r="B894" s="1">
        <v>7.8</v>
      </c>
      <c r="C894" s="1">
        <v>774</v>
      </c>
      <c r="D894" s="1" t="s">
        <v>11</v>
      </c>
      <c r="E894" s="1" t="s">
        <v>23</v>
      </c>
      <c r="F894" s="1">
        <f t="shared" si="28"/>
        <v>780</v>
      </c>
      <c r="G894" s="5">
        <f t="shared" si="27"/>
        <v>0.99230769230769234</v>
      </c>
    </row>
    <row r="895" spans="1:7" ht="13">
      <c r="A895" s="4" t="s">
        <v>115</v>
      </c>
      <c r="B895" s="1">
        <v>7.56</v>
      </c>
      <c r="C895" s="1">
        <v>741</v>
      </c>
      <c r="D895" s="1" t="s">
        <v>11</v>
      </c>
      <c r="E895" s="1" t="s">
        <v>25</v>
      </c>
      <c r="F895" s="1">
        <f t="shared" si="28"/>
        <v>756</v>
      </c>
      <c r="G895" s="5">
        <f t="shared" si="27"/>
        <v>0.98015873015873012</v>
      </c>
    </row>
    <row r="896" spans="1:7" ht="13">
      <c r="A896" s="4" t="s">
        <v>115</v>
      </c>
      <c r="B896" s="1">
        <v>8.5050000000000008</v>
      </c>
      <c r="C896" s="1">
        <v>751</v>
      </c>
      <c r="D896" s="1" t="s">
        <v>39</v>
      </c>
      <c r="E896" s="1" t="s">
        <v>20</v>
      </c>
      <c r="F896" s="1">
        <f t="shared" si="28"/>
        <v>850.50000000000011</v>
      </c>
      <c r="G896" s="5">
        <f t="shared" si="27"/>
        <v>0.88300999412110515</v>
      </c>
    </row>
    <row r="897" spans="1:7" ht="13">
      <c r="A897" s="4" t="s">
        <v>115</v>
      </c>
      <c r="B897" s="1">
        <v>6.44</v>
      </c>
      <c r="C897" s="1">
        <v>690</v>
      </c>
      <c r="D897" s="1" t="s">
        <v>47</v>
      </c>
      <c r="E897" s="1" t="s">
        <v>22</v>
      </c>
      <c r="F897" s="1">
        <f t="shared" si="28"/>
        <v>644</v>
      </c>
      <c r="G897" s="5">
        <f t="shared" si="27"/>
        <v>1.0714285714285714</v>
      </c>
    </row>
    <row r="898" spans="1:7" ht="13">
      <c r="A898" s="4" t="s">
        <v>115</v>
      </c>
      <c r="B898" s="1">
        <v>5.46</v>
      </c>
      <c r="C898" s="1">
        <v>498</v>
      </c>
      <c r="D898" s="1" t="s">
        <v>45</v>
      </c>
      <c r="E898" s="1" t="s">
        <v>14</v>
      </c>
      <c r="F898" s="1">
        <f t="shared" si="28"/>
        <v>546</v>
      </c>
      <c r="G898" s="5">
        <f t="shared" ref="G898:G961" si="29">C898/F898</f>
        <v>0.91208791208791207</v>
      </c>
    </row>
    <row r="899" spans="1:7" ht="13">
      <c r="A899" s="4" t="s">
        <v>115</v>
      </c>
      <c r="B899" s="1">
        <v>5.6</v>
      </c>
      <c r="C899" s="1">
        <v>537</v>
      </c>
      <c r="D899" s="1" t="s">
        <v>11</v>
      </c>
      <c r="E899" s="1" t="s">
        <v>68</v>
      </c>
      <c r="F899" s="1">
        <f t="shared" si="28"/>
        <v>560</v>
      </c>
      <c r="G899" s="5">
        <f t="shared" si="29"/>
        <v>0.95892857142857146</v>
      </c>
    </row>
    <row r="900" spans="1:7" ht="13">
      <c r="A900" s="4" t="s">
        <v>115</v>
      </c>
      <c r="B900" s="1">
        <v>6.45</v>
      </c>
      <c r="C900" s="1">
        <v>529</v>
      </c>
      <c r="D900" s="1" t="s">
        <v>33</v>
      </c>
      <c r="E900" s="1" t="s">
        <v>8</v>
      </c>
      <c r="F900" s="1">
        <f t="shared" si="28"/>
        <v>645</v>
      </c>
      <c r="G900" s="5">
        <f t="shared" si="29"/>
        <v>0.82015503875968987</v>
      </c>
    </row>
    <row r="901" spans="1:7" ht="13">
      <c r="A901" s="4" t="s">
        <v>115</v>
      </c>
      <c r="B901" s="1">
        <v>3.1</v>
      </c>
      <c r="C901" s="1">
        <v>302</v>
      </c>
      <c r="D901" s="1" t="s">
        <v>11</v>
      </c>
      <c r="E901" s="1" t="s">
        <v>31</v>
      </c>
      <c r="F901" s="1">
        <f t="shared" si="28"/>
        <v>310</v>
      </c>
      <c r="G901" s="5">
        <f t="shared" si="29"/>
        <v>0.97419354838709682</v>
      </c>
    </row>
    <row r="902" spans="1:7" ht="13">
      <c r="A902" s="4" t="s">
        <v>115</v>
      </c>
      <c r="B902" s="1">
        <v>9.3000000000000007</v>
      </c>
      <c r="C902" s="1">
        <v>876</v>
      </c>
      <c r="D902" s="1" t="s">
        <v>11</v>
      </c>
      <c r="E902" s="1" t="s">
        <v>20</v>
      </c>
      <c r="F902" s="1">
        <f t="shared" si="28"/>
        <v>930.00000000000011</v>
      </c>
      <c r="G902" s="5">
        <f t="shared" si="29"/>
        <v>0.94193548387096759</v>
      </c>
    </row>
    <row r="903" spans="1:7" ht="13">
      <c r="A903" s="4" t="s">
        <v>115</v>
      </c>
      <c r="B903" s="1">
        <v>7.3</v>
      </c>
      <c r="C903" s="1">
        <v>22</v>
      </c>
      <c r="D903" s="1" t="s">
        <v>11</v>
      </c>
      <c r="E903" s="1" t="s">
        <v>16</v>
      </c>
      <c r="F903" s="1">
        <f t="shared" si="28"/>
        <v>730</v>
      </c>
      <c r="G903" s="5">
        <f t="shared" si="29"/>
        <v>3.0136986301369864E-2</v>
      </c>
    </row>
    <row r="904" spans="1:7" ht="13">
      <c r="A904" s="4" t="s">
        <v>115</v>
      </c>
      <c r="B904" s="1">
        <v>4.2</v>
      </c>
      <c r="C904" s="1">
        <v>482</v>
      </c>
      <c r="D904" s="1" t="s">
        <v>11</v>
      </c>
      <c r="E904" s="1" t="s">
        <v>15</v>
      </c>
      <c r="F904" s="1">
        <f t="shared" si="28"/>
        <v>420</v>
      </c>
      <c r="G904" s="5">
        <f t="shared" si="29"/>
        <v>1.1476190476190475</v>
      </c>
    </row>
    <row r="905" spans="1:7" ht="13">
      <c r="A905" s="4" t="s">
        <v>115</v>
      </c>
      <c r="B905" s="1">
        <v>5.2</v>
      </c>
      <c r="C905" s="1">
        <v>492</v>
      </c>
      <c r="D905" s="1" t="s">
        <v>11</v>
      </c>
      <c r="E905" s="1" t="s">
        <v>8</v>
      </c>
      <c r="F905" s="1">
        <f t="shared" si="28"/>
        <v>520</v>
      </c>
      <c r="G905" s="5">
        <f t="shared" si="29"/>
        <v>0.94615384615384612</v>
      </c>
    </row>
    <row r="906" spans="1:7" ht="13">
      <c r="A906" s="4" t="s">
        <v>115</v>
      </c>
      <c r="B906" s="1">
        <v>8.64</v>
      </c>
      <c r="C906" s="1">
        <v>870</v>
      </c>
      <c r="D906" s="1" t="s">
        <v>11</v>
      </c>
      <c r="E906" s="1" t="s">
        <v>9</v>
      </c>
      <c r="F906" s="1">
        <f t="shared" si="28"/>
        <v>864</v>
      </c>
      <c r="G906" s="5">
        <f t="shared" si="29"/>
        <v>1.0069444444444444</v>
      </c>
    </row>
    <row r="907" spans="1:7" ht="13">
      <c r="A907" s="4" t="s">
        <v>115</v>
      </c>
      <c r="B907" s="1">
        <v>6</v>
      </c>
      <c r="C907" s="1">
        <v>449</v>
      </c>
      <c r="D907" s="1" t="s">
        <v>53</v>
      </c>
      <c r="E907" s="1" t="s">
        <v>49</v>
      </c>
      <c r="F907" s="1">
        <f t="shared" si="28"/>
        <v>600</v>
      </c>
      <c r="G907" s="5">
        <f t="shared" si="29"/>
        <v>0.74833333333333329</v>
      </c>
    </row>
    <row r="908" spans="1:7" ht="13">
      <c r="A908" s="4" t="s">
        <v>115</v>
      </c>
      <c r="B908" s="1">
        <v>7.74</v>
      </c>
      <c r="C908" s="1">
        <v>752</v>
      </c>
      <c r="D908" s="1" t="s">
        <v>53</v>
      </c>
      <c r="E908" s="1" t="s">
        <v>31</v>
      </c>
      <c r="F908" s="1">
        <f t="shared" si="28"/>
        <v>774</v>
      </c>
      <c r="G908" s="5">
        <f t="shared" si="29"/>
        <v>0.9715762273901809</v>
      </c>
    </row>
    <row r="909" spans="1:7" ht="13">
      <c r="A909" s="4" t="s">
        <v>115</v>
      </c>
      <c r="B909" s="1">
        <v>3.2</v>
      </c>
      <c r="C909" s="1">
        <v>75.900000000000006</v>
      </c>
      <c r="D909" s="1" t="s">
        <v>66</v>
      </c>
      <c r="E909" s="1" t="s">
        <v>22</v>
      </c>
      <c r="F909" s="1">
        <f t="shared" si="28"/>
        <v>320</v>
      </c>
      <c r="G909" s="5">
        <f t="shared" si="29"/>
        <v>0.23718750000000002</v>
      </c>
    </row>
    <row r="910" spans="1:7" ht="13">
      <c r="A910" s="4" t="s">
        <v>115</v>
      </c>
      <c r="B910" s="1">
        <v>7.8</v>
      </c>
      <c r="C910" s="1">
        <v>681</v>
      </c>
      <c r="D910" s="1" t="s">
        <v>33</v>
      </c>
      <c r="E910" s="1" t="s">
        <v>24</v>
      </c>
      <c r="F910" s="1">
        <f t="shared" si="28"/>
        <v>780</v>
      </c>
      <c r="G910" s="5">
        <f t="shared" si="29"/>
        <v>0.87307692307692308</v>
      </c>
    </row>
    <row r="911" spans="1:7" ht="13">
      <c r="A911" s="4" t="s">
        <v>115</v>
      </c>
      <c r="B911" s="1">
        <v>8.1</v>
      </c>
      <c r="C911" s="1">
        <v>760</v>
      </c>
      <c r="D911" s="1" t="s">
        <v>39</v>
      </c>
      <c r="E911" s="1" t="s">
        <v>17</v>
      </c>
      <c r="F911" s="1">
        <f t="shared" si="28"/>
        <v>810</v>
      </c>
      <c r="G911" s="5">
        <f t="shared" si="29"/>
        <v>0.93827160493827155</v>
      </c>
    </row>
    <row r="912" spans="1:7" ht="13">
      <c r="A912" s="4" t="s">
        <v>115</v>
      </c>
      <c r="B912" s="1">
        <v>9.1999999999999993</v>
      </c>
      <c r="C912" s="1">
        <v>801</v>
      </c>
      <c r="D912" s="1" t="s">
        <v>33</v>
      </c>
      <c r="E912" s="1" t="s">
        <v>15</v>
      </c>
      <c r="F912" s="1">
        <f t="shared" si="28"/>
        <v>919.99999999999989</v>
      </c>
      <c r="G912" s="5">
        <f t="shared" si="29"/>
        <v>0.87065217391304361</v>
      </c>
    </row>
    <row r="913" spans="1:7" ht="13">
      <c r="A913" s="4" t="s">
        <v>115</v>
      </c>
      <c r="B913" s="1">
        <v>8</v>
      </c>
      <c r="C913" s="1">
        <v>623</v>
      </c>
      <c r="D913" s="1" t="s">
        <v>11</v>
      </c>
      <c r="E913" s="1" t="s">
        <v>22</v>
      </c>
      <c r="F913" s="1">
        <f t="shared" si="28"/>
        <v>800</v>
      </c>
      <c r="G913" s="5">
        <f t="shared" si="29"/>
        <v>0.77875000000000005</v>
      </c>
    </row>
    <row r="914" spans="1:7" ht="13">
      <c r="A914" s="4" t="s">
        <v>115</v>
      </c>
      <c r="B914" s="1">
        <v>8.8000000000000007</v>
      </c>
      <c r="C914" s="1">
        <v>621</v>
      </c>
      <c r="D914" s="1" t="s">
        <v>44</v>
      </c>
      <c r="E914" s="1" t="s">
        <v>25</v>
      </c>
      <c r="F914" s="1">
        <f t="shared" si="28"/>
        <v>880.00000000000011</v>
      </c>
      <c r="G914" s="5">
        <f t="shared" si="29"/>
        <v>0.70568181818181808</v>
      </c>
    </row>
    <row r="915" spans="1:7" ht="13">
      <c r="A915" s="4" t="s">
        <v>115</v>
      </c>
      <c r="B915" s="1">
        <v>8.8000000000000007</v>
      </c>
      <c r="C915" s="1">
        <v>777</v>
      </c>
      <c r="D915" s="1" t="s">
        <v>47</v>
      </c>
      <c r="E915" s="1" t="s">
        <v>30</v>
      </c>
      <c r="F915" s="1">
        <f t="shared" si="28"/>
        <v>880.00000000000011</v>
      </c>
      <c r="G915" s="5">
        <f t="shared" si="29"/>
        <v>0.88295454545454533</v>
      </c>
    </row>
    <row r="916" spans="1:7" ht="13">
      <c r="A916" s="4" t="s">
        <v>115</v>
      </c>
      <c r="B916" s="1">
        <v>4.8600000000000003</v>
      </c>
      <c r="C916" s="1">
        <v>471</v>
      </c>
      <c r="D916" s="1" t="s">
        <v>11</v>
      </c>
      <c r="E916" s="1" t="s">
        <v>18</v>
      </c>
      <c r="F916" s="1">
        <f t="shared" si="28"/>
        <v>486.00000000000006</v>
      </c>
      <c r="G916" s="5">
        <f t="shared" si="29"/>
        <v>0.96913580246913567</v>
      </c>
    </row>
    <row r="917" spans="1:7" ht="13">
      <c r="A917" s="4" t="s">
        <v>115</v>
      </c>
      <c r="B917" s="1">
        <v>7.6</v>
      </c>
      <c r="C917" s="1">
        <v>639</v>
      </c>
      <c r="D917" s="1" t="s">
        <v>33</v>
      </c>
      <c r="E917" s="1" t="s">
        <v>21</v>
      </c>
      <c r="F917" s="1">
        <f t="shared" si="28"/>
        <v>760</v>
      </c>
      <c r="G917" s="5">
        <f t="shared" si="29"/>
        <v>0.84078947368421053</v>
      </c>
    </row>
    <row r="918" spans="1:7" ht="13">
      <c r="A918" s="4" t="s">
        <v>115</v>
      </c>
      <c r="B918" s="1">
        <v>8.5</v>
      </c>
      <c r="C918" s="1">
        <v>763</v>
      </c>
      <c r="D918" s="1" t="s">
        <v>33</v>
      </c>
      <c r="E918" s="1" t="s">
        <v>46</v>
      </c>
      <c r="F918" s="1">
        <f t="shared" si="28"/>
        <v>850</v>
      </c>
      <c r="G918" s="5">
        <f t="shared" si="29"/>
        <v>0.89764705882352946</v>
      </c>
    </row>
    <row r="919" spans="1:7" ht="13">
      <c r="A919" s="4" t="s">
        <v>115</v>
      </c>
      <c r="B919" s="1">
        <v>5</v>
      </c>
      <c r="C919" s="1">
        <v>464</v>
      </c>
      <c r="D919" s="1" t="s">
        <v>11</v>
      </c>
      <c r="E919" s="1" t="s">
        <v>14</v>
      </c>
      <c r="F919" s="1">
        <f t="shared" si="28"/>
        <v>500</v>
      </c>
      <c r="G919" s="5">
        <f t="shared" si="29"/>
        <v>0.92800000000000005</v>
      </c>
    </row>
    <row r="920" spans="1:7" ht="13">
      <c r="A920" s="4" t="s">
        <v>115</v>
      </c>
      <c r="B920" s="1">
        <v>8.6</v>
      </c>
      <c r="C920" s="1">
        <v>840</v>
      </c>
      <c r="D920" s="1" t="s">
        <v>11</v>
      </c>
      <c r="E920" s="1" t="s">
        <v>14</v>
      </c>
      <c r="F920" s="1">
        <f t="shared" si="28"/>
        <v>860</v>
      </c>
      <c r="G920" s="5">
        <f t="shared" si="29"/>
        <v>0.97674418604651159</v>
      </c>
    </row>
    <row r="921" spans="1:7" ht="13">
      <c r="A921" s="4" t="s">
        <v>115</v>
      </c>
      <c r="B921" s="1">
        <v>6.2</v>
      </c>
      <c r="C921" s="1">
        <v>732</v>
      </c>
      <c r="D921" s="1" t="s">
        <v>11</v>
      </c>
      <c r="E921" s="1" t="s">
        <v>10</v>
      </c>
      <c r="F921" s="1">
        <f t="shared" si="28"/>
        <v>620</v>
      </c>
      <c r="G921" s="5">
        <f t="shared" si="29"/>
        <v>1.1806451612903226</v>
      </c>
    </row>
    <row r="922" spans="1:7" ht="13">
      <c r="A922" s="4" t="s">
        <v>115</v>
      </c>
      <c r="B922" s="1">
        <v>6.7</v>
      </c>
      <c r="C922" s="1">
        <v>581</v>
      </c>
      <c r="D922" s="1" t="s">
        <v>33</v>
      </c>
      <c r="E922" s="1" t="s">
        <v>21</v>
      </c>
      <c r="F922" s="1">
        <f t="shared" si="28"/>
        <v>670</v>
      </c>
      <c r="G922" s="5">
        <f t="shared" si="29"/>
        <v>0.86716417910447763</v>
      </c>
    </row>
    <row r="923" spans="1:7" ht="13">
      <c r="A923" s="4" t="s">
        <v>115</v>
      </c>
      <c r="B923" s="1">
        <v>5.88</v>
      </c>
      <c r="C923" s="1">
        <v>517</v>
      </c>
      <c r="D923" s="1" t="s">
        <v>39</v>
      </c>
      <c r="E923" s="1" t="s">
        <v>19</v>
      </c>
      <c r="F923" s="1">
        <f t="shared" si="28"/>
        <v>588</v>
      </c>
      <c r="G923" s="5">
        <f t="shared" si="29"/>
        <v>0.87925170068027214</v>
      </c>
    </row>
    <row r="924" spans="1:7" ht="13">
      <c r="A924" s="4" t="s">
        <v>115</v>
      </c>
      <c r="B924" s="1">
        <v>5.81</v>
      </c>
      <c r="C924" s="1">
        <v>641</v>
      </c>
      <c r="D924" s="1" t="s">
        <v>38</v>
      </c>
      <c r="E924" s="1" t="s">
        <v>8</v>
      </c>
      <c r="F924" s="1">
        <f t="shared" si="28"/>
        <v>581</v>
      </c>
      <c r="G924" s="5">
        <f t="shared" si="29"/>
        <v>1.1032702237521514</v>
      </c>
    </row>
    <row r="925" spans="1:7" ht="13">
      <c r="A925" s="4" t="s">
        <v>115</v>
      </c>
      <c r="B925" s="1">
        <v>5.25</v>
      </c>
      <c r="C925" s="1">
        <v>550</v>
      </c>
      <c r="D925" s="1" t="s">
        <v>11</v>
      </c>
      <c r="E925" s="1" t="s">
        <v>16</v>
      </c>
      <c r="F925" s="1">
        <f t="shared" si="28"/>
        <v>525</v>
      </c>
      <c r="G925" s="5">
        <f t="shared" si="29"/>
        <v>1.0476190476190477</v>
      </c>
    </row>
    <row r="926" spans="1:7" ht="13">
      <c r="A926" s="4" t="s">
        <v>115</v>
      </c>
      <c r="B926" s="1">
        <v>7.2</v>
      </c>
      <c r="C926" s="1">
        <v>706</v>
      </c>
      <c r="D926" s="1" t="s">
        <v>11</v>
      </c>
      <c r="E926" s="1" t="s">
        <v>10</v>
      </c>
      <c r="F926" s="1">
        <f t="shared" si="28"/>
        <v>720</v>
      </c>
      <c r="G926" s="5">
        <f t="shared" si="29"/>
        <v>0.98055555555555551</v>
      </c>
    </row>
    <row r="927" spans="1:7" ht="13">
      <c r="A927" s="4" t="s">
        <v>115</v>
      </c>
      <c r="B927" s="1">
        <v>6.88</v>
      </c>
      <c r="C927" s="1">
        <v>752</v>
      </c>
      <c r="D927" s="1" t="s">
        <v>11</v>
      </c>
      <c r="E927" s="1" t="s">
        <v>8</v>
      </c>
      <c r="F927" s="1">
        <f t="shared" si="28"/>
        <v>688</v>
      </c>
      <c r="G927" s="5">
        <f t="shared" si="29"/>
        <v>1.0930232558139534</v>
      </c>
    </row>
    <row r="928" spans="1:7" ht="13">
      <c r="A928" s="4" t="s">
        <v>115</v>
      </c>
      <c r="B928" s="1">
        <v>13.76</v>
      </c>
      <c r="C928" s="1">
        <v>1194</v>
      </c>
      <c r="D928" s="1" t="s">
        <v>33</v>
      </c>
      <c r="E928" s="1" t="s">
        <v>23</v>
      </c>
      <c r="F928" s="1">
        <f t="shared" ref="F928:F991" si="30">B928*100</f>
        <v>1376</v>
      </c>
      <c r="G928" s="5">
        <f t="shared" si="29"/>
        <v>0.86773255813953487</v>
      </c>
    </row>
    <row r="929" spans="1:7" ht="13">
      <c r="A929" s="4" t="s">
        <v>115</v>
      </c>
      <c r="B929" s="1">
        <v>7.7</v>
      </c>
      <c r="C929" s="1">
        <v>765</v>
      </c>
      <c r="D929" s="1" t="s">
        <v>11</v>
      </c>
      <c r="E929" s="1" t="s">
        <v>49</v>
      </c>
      <c r="F929" s="1">
        <f t="shared" si="30"/>
        <v>770</v>
      </c>
      <c r="G929" s="5">
        <f t="shared" si="29"/>
        <v>0.99350649350649356</v>
      </c>
    </row>
    <row r="930" spans="1:7" ht="13">
      <c r="A930" s="4" t="s">
        <v>115</v>
      </c>
      <c r="B930" s="1">
        <v>6.2</v>
      </c>
      <c r="C930" s="1">
        <v>641</v>
      </c>
      <c r="D930" s="1" t="s">
        <v>11</v>
      </c>
      <c r="E930" s="1" t="s">
        <v>16</v>
      </c>
      <c r="F930" s="1">
        <f t="shared" si="30"/>
        <v>620</v>
      </c>
      <c r="G930" s="5">
        <f t="shared" si="29"/>
        <v>1.0338709677419355</v>
      </c>
    </row>
    <row r="931" spans="1:7" ht="13">
      <c r="A931" s="4" t="s">
        <v>115</v>
      </c>
      <c r="B931" s="1">
        <v>7.8</v>
      </c>
      <c r="C931" s="1">
        <v>778</v>
      </c>
      <c r="D931" s="1" t="s">
        <v>55</v>
      </c>
      <c r="E931" s="1" t="s">
        <v>49</v>
      </c>
      <c r="F931" s="1">
        <f t="shared" si="30"/>
        <v>780</v>
      </c>
      <c r="G931" s="5">
        <f t="shared" si="29"/>
        <v>0.99743589743589745</v>
      </c>
    </row>
    <row r="932" spans="1:7" ht="13">
      <c r="A932" s="4" t="s">
        <v>115</v>
      </c>
      <c r="B932" s="1">
        <v>4.8</v>
      </c>
      <c r="C932" s="1">
        <v>413</v>
      </c>
      <c r="D932" s="1" t="s">
        <v>11</v>
      </c>
      <c r="E932" s="1" t="s">
        <v>24</v>
      </c>
      <c r="F932" s="1">
        <f t="shared" si="30"/>
        <v>480</v>
      </c>
      <c r="G932" s="5">
        <f t="shared" si="29"/>
        <v>0.86041666666666672</v>
      </c>
    </row>
    <row r="933" spans="1:7" ht="13">
      <c r="A933" s="4" t="s">
        <v>115</v>
      </c>
      <c r="B933" s="1">
        <v>3.44</v>
      </c>
      <c r="C933" s="1">
        <v>375</v>
      </c>
      <c r="D933" s="1" t="s">
        <v>11</v>
      </c>
      <c r="E933" s="1" t="s">
        <v>9</v>
      </c>
      <c r="F933" s="1">
        <f t="shared" si="30"/>
        <v>344</v>
      </c>
      <c r="G933" s="5">
        <f t="shared" si="29"/>
        <v>1.0901162790697674</v>
      </c>
    </row>
    <row r="934" spans="1:7" ht="13">
      <c r="A934" s="4" t="s">
        <v>115</v>
      </c>
      <c r="B934" s="1">
        <v>5.6</v>
      </c>
      <c r="C934" s="1">
        <v>550</v>
      </c>
      <c r="D934" s="1" t="s">
        <v>54</v>
      </c>
      <c r="E934" s="1" t="s">
        <v>22</v>
      </c>
      <c r="F934" s="1">
        <f t="shared" si="30"/>
        <v>560</v>
      </c>
      <c r="G934" s="5">
        <f t="shared" si="29"/>
        <v>0.9821428571428571</v>
      </c>
    </row>
    <row r="935" spans="1:7" ht="13">
      <c r="A935" s="4" t="s">
        <v>115</v>
      </c>
      <c r="B935" s="1">
        <v>9.3000000000000007</v>
      </c>
      <c r="C935" s="1">
        <v>917</v>
      </c>
      <c r="D935" s="1" t="s">
        <v>45</v>
      </c>
      <c r="E935" s="1" t="s">
        <v>10</v>
      </c>
      <c r="F935" s="1">
        <f t="shared" si="30"/>
        <v>930.00000000000011</v>
      </c>
      <c r="G935" s="5">
        <f t="shared" si="29"/>
        <v>0.98602150537634392</v>
      </c>
    </row>
    <row r="936" spans="1:7" ht="13">
      <c r="A936" s="4" t="s">
        <v>115</v>
      </c>
      <c r="B936" s="1">
        <v>4.3</v>
      </c>
      <c r="C936" s="1">
        <v>443.77</v>
      </c>
      <c r="D936" s="1" t="s">
        <v>11</v>
      </c>
      <c r="E936" s="1" t="s">
        <v>24</v>
      </c>
      <c r="F936" s="1">
        <f t="shared" si="30"/>
        <v>430</v>
      </c>
      <c r="G936" s="5">
        <f t="shared" si="29"/>
        <v>1.0320232558139535</v>
      </c>
    </row>
    <row r="937" spans="1:7" ht="13">
      <c r="A937" s="4" t="s">
        <v>115</v>
      </c>
      <c r="B937" s="1">
        <v>5.2</v>
      </c>
      <c r="C937" s="1">
        <v>532.70000000000005</v>
      </c>
      <c r="D937" s="1" t="s">
        <v>39</v>
      </c>
      <c r="E937" s="1" t="s">
        <v>25</v>
      </c>
      <c r="F937" s="1">
        <f t="shared" si="30"/>
        <v>520</v>
      </c>
      <c r="G937" s="5">
        <f t="shared" si="29"/>
        <v>1.0244230769230771</v>
      </c>
    </row>
    <row r="938" spans="1:7" ht="13">
      <c r="A938" s="4" t="s">
        <v>115</v>
      </c>
      <c r="B938" s="1">
        <v>6.8</v>
      </c>
      <c r="C938" s="1">
        <v>609</v>
      </c>
      <c r="D938" s="1" t="s">
        <v>44</v>
      </c>
      <c r="E938" s="1" t="s">
        <v>22</v>
      </c>
      <c r="F938" s="1">
        <f t="shared" si="30"/>
        <v>680</v>
      </c>
      <c r="G938" s="5">
        <f t="shared" si="29"/>
        <v>0.89558823529411768</v>
      </c>
    </row>
    <row r="939" spans="1:7" ht="13">
      <c r="A939" s="4" t="s">
        <v>115</v>
      </c>
      <c r="B939" s="1">
        <v>5.25</v>
      </c>
      <c r="C939" s="1">
        <v>535</v>
      </c>
      <c r="D939" s="1" t="s">
        <v>11</v>
      </c>
      <c r="E939" s="1" t="s">
        <v>16</v>
      </c>
      <c r="F939" s="1">
        <f t="shared" si="30"/>
        <v>525</v>
      </c>
      <c r="G939" s="5">
        <f t="shared" si="29"/>
        <v>1.019047619047619</v>
      </c>
    </row>
    <row r="940" spans="1:7" ht="13">
      <c r="A940" s="4" t="s">
        <v>115</v>
      </c>
      <c r="B940" s="1">
        <v>4.5999999999999996</v>
      </c>
      <c r="C940" s="1">
        <v>479</v>
      </c>
      <c r="D940" s="1" t="s">
        <v>11</v>
      </c>
      <c r="E940" s="1" t="s">
        <v>9</v>
      </c>
      <c r="F940" s="1">
        <f t="shared" si="30"/>
        <v>459.99999999999994</v>
      </c>
      <c r="G940" s="5">
        <f t="shared" si="29"/>
        <v>1.0413043478260871</v>
      </c>
    </row>
    <row r="941" spans="1:7" ht="13">
      <c r="A941" s="4" t="s">
        <v>115</v>
      </c>
      <c r="B941" s="1">
        <v>7.2</v>
      </c>
      <c r="C941" s="1">
        <v>686</v>
      </c>
      <c r="D941" s="1" t="s">
        <v>33</v>
      </c>
      <c r="E941" s="1" t="s">
        <v>15</v>
      </c>
      <c r="F941" s="1">
        <f t="shared" si="30"/>
        <v>720</v>
      </c>
      <c r="G941" s="5">
        <f t="shared" si="29"/>
        <v>0.95277777777777772</v>
      </c>
    </row>
    <row r="942" spans="1:7" ht="13">
      <c r="A942" s="4" t="s">
        <v>115</v>
      </c>
      <c r="B942" s="1">
        <v>9.8000000000000007</v>
      </c>
      <c r="C942" s="1">
        <v>810</v>
      </c>
      <c r="D942" s="1" t="s">
        <v>33</v>
      </c>
      <c r="E942" s="1" t="s">
        <v>22</v>
      </c>
      <c r="F942" s="1">
        <f t="shared" si="30"/>
        <v>980.00000000000011</v>
      </c>
      <c r="G942" s="5">
        <f t="shared" si="29"/>
        <v>0.82653061224489788</v>
      </c>
    </row>
    <row r="943" spans="1:7" ht="13">
      <c r="A943" s="4" t="s">
        <v>115</v>
      </c>
      <c r="B943" s="1">
        <v>7.74</v>
      </c>
      <c r="C943" s="1">
        <v>764.3</v>
      </c>
      <c r="D943" s="1" t="s">
        <v>11</v>
      </c>
      <c r="E943" s="1" t="s">
        <v>29</v>
      </c>
      <c r="F943" s="1">
        <f t="shared" si="30"/>
        <v>774</v>
      </c>
      <c r="G943" s="5">
        <f t="shared" si="29"/>
        <v>0.98746770025839792</v>
      </c>
    </row>
    <row r="944" spans="1:7" ht="13">
      <c r="A944" s="4" t="s">
        <v>115</v>
      </c>
      <c r="B944" s="1">
        <v>6.02</v>
      </c>
      <c r="C944" s="1">
        <v>614</v>
      </c>
      <c r="D944" s="1" t="s">
        <v>42</v>
      </c>
      <c r="E944" s="1" t="s">
        <v>14</v>
      </c>
      <c r="F944" s="1">
        <f t="shared" si="30"/>
        <v>602</v>
      </c>
      <c r="G944" s="5">
        <f t="shared" si="29"/>
        <v>1.0199335548172757</v>
      </c>
    </row>
    <row r="945" spans="1:7" ht="13">
      <c r="A945" s="4" t="s">
        <v>115</v>
      </c>
      <c r="B945" s="1">
        <v>5.6</v>
      </c>
      <c r="C945" s="1">
        <v>423</v>
      </c>
      <c r="D945" s="1" t="s">
        <v>11</v>
      </c>
      <c r="E945" s="1" t="s">
        <v>21</v>
      </c>
      <c r="F945" s="1">
        <f t="shared" si="30"/>
        <v>560</v>
      </c>
      <c r="G945" s="5">
        <f t="shared" si="29"/>
        <v>0.75535714285714284</v>
      </c>
    </row>
    <row r="946" spans="1:7" ht="13">
      <c r="A946" s="4" t="s">
        <v>115</v>
      </c>
      <c r="B946" s="1">
        <v>4.0999999999999996</v>
      </c>
      <c r="C946" s="1">
        <v>412</v>
      </c>
      <c r="D946" s="1" t="s">
        <v>38</v>
      </c>
      <c r="E946" s="1" t="s">
        <v>16</v>
      </c>
      <c r="F946" s="1">
        <f t="shared" si="30"/>
        <v>409.99999999999994</v>
      </c>
      <c r="G946" s="5">
        <f t="shared" si="29"/>
        <v>1.004878048780488</v>
      </c>
    </row>
    <row r="947" spans="1:7" ht="13">
      <c r="A947" s="4" t="s">
        <v>115</v>
      </c>
      <c r="B947" s="1">
        <v>6.4</v>
      </c>
      <c r="C947" s="1">
        <v>576</v>
      </c>
      <c r="D947" s="1" t="s">
        <v>85</v>
      </c>
      <c r="E947" s="1" t="s">
        <v>8</v>
      </c>
      <c r="F947" s="1">
        <f t="shared" si="30"/>
        <v>640</v>
      </c>
      <c r="G947" s="5">
        <f t="shared" si="29"/>
        <v>0.9</v>
      </c>
    </row>
    <row r="948" spans="1:7" ht="13">
      <c r="A948" s="4" t="s">
        <v>115</v>
      </c>
      <c r="B948" s="1">
        <v>6.96</v>
      </c>
      <c r="C948" s="1">
        <v>635.5</v>
      </c>
      <c r="D948" s="1" t="s">
        <v>33</v>
      </c>
      <c r="E948" s="1" t="s">
        <v>12</v>
      </c>
      <c r="F948" s="1">
        <f t="shared" si="30"/>
        <v>696</v>
      </c>
      <c r="G948" s="5">
        <f t="shared" si="29"/>
        <v>0.91307471264367812</v>
      </c>
    </row>
    <row r="949" spans="1:7" ht="13">
      <c r="A949" s="4" t="s">
        <v>115</v>
      </c>
      <c r="B949" s="1">
        <v>6.88</v>
      </c>
      <c r="C949" s="1">
        <v>706</v>
      </c>
      <c r="D949" s="1" t="s">
        <v>11</v>
      </c>
      <c r="E949" s="1" t="s">
        <v>8</v>
      </c>
      <c r="F949" s="1">
        <f t="shared" si="30"/>
        <v>688</v>
      </c>
      <c r="G949" s="5">
        <f t="shared" si="29"/>
        <v>1.0261627906976745</v>
      </c>
    </row>
    <row r="950" spans="1:7" ht="13">
      <c r="A950" s="4" t="s">
        <v>115</v>
      </c>
      <c r="B950" s="1">
        <v>8.9</v>
      </c>
      <c r="C950" s="1">
        <v>801</v>
      </c>
      <c r="D950" s="1" t="s">
        <v>43</v>
      </c>
      <c r="E950" s="1" t="s">
        <v>17</v>
      </c>
      <c r="F950" s="1">
        <f t="shared" si="30"/>
        <v>890</v>
      </c>
      <c r="G950" s="5">
        <f t="shared" si="29"/>
        <v>0.9</v>
      </c>
    </row>
    <row r="951" spans="1:7" ht="13">
      <c r="A951" s="4" t="s">
        <v>115</v>
      </c>
      <c r="B951" s="1">
        <v>5.67</v>
      </c>
      <c r="C951" s="1">
        <v>455</v>
      </c>
      <c r="D951" s="1" t="s">
        <v>86</v>
      </c>
      <c r="E951" s="1" t="s">
        <v>8</v>
      </c>
      <c r="F951" s="1">
        <f t="shared" si="30"/>
        <v>567</v>
      </c>
      <c r="G951" s="5">
        <f t="shared" si="29"/>
        <v>0.80246913580246915</v>
      </c>
    </row>
    <row r="952" spans="1:7" ht="13">
      <c r="A952" s="4" t="s">
        <v>115</v>
      </c>
      <c r="B952" s="1">
        <v>8.6</v>
      </c>
      <c r="C952" s="1">
        <v>751</v>
      </c>
      <c r="D952" s="1" t="s">
        <v>11</v>
      </c>
      <c r="E952" s="1" t="s">
        <v>10</v>
      </c>
      <c r="F952" s="1">
        <f t="shared" si="30"/>
        <v>860</v>
      </c>
      <c r="G952" s="5">
        <f t="shared" si="29"/>
        <v>0.87325581395348839</v>
      </c>
    </row>
    <row r="953" spans="1:7" ht="13">
      <c r="A953" s="4" t="s">
        <v>115</v>
      </c>
      <c r="B953" s="1">
        <v>8.6</v>
      </c>
      <c r="C953" s="1">
        <v>771</v>
      </c>
      <c r="D953" s="1" t="s">
        <v>11</v>
      </c>
      <c r="E953" s="1" t="s">
        <v>68</v>
      </c>
      <c r="F953" s="1">
        <f t="shared" si="30"/>
        <v>860</v>
      </c>
      <c r="G953" s="5">
        <f t="shared" si="29"/>
        <v>0.89651162790697669</v>
      </c>
    </row>
    <row r="954" spans="1:7" ht="13">
      <c r="A954" s="4" t="s">
        <v>115</v>
      </c>
      <c r="B954" s="1">
        <v>7</v>
      </c>
      <c r="C954" s="1">
        <v>630</v>
      </c>
      <c r="D954" s="1" t="s">
        <v>33</v>
      </c>
      <c r="E954" s="1" t="s">
        <v>15</v>
      </c>
      <c r="F954" s="1">
        <f t="shared" si="30"/>
        <v>700</v>
      </c>
      <c r="G954" s="5">
        <f t="shared" si="29"/>
        <v>0.9</v>
      </c>
    </row>
    <row r="955" spans="1:7" ht="13">
      <c r="A955" s="4" t="s">
        <v>115</v>
      </c>
      <c r="B955" s="1">
        <v>4.9000000000000004</v>
      </c>
      <c r="C955" s="1">
        <v>472</v>
      </c>
      <c r="D955" s="1" t="s">
        <v>43</v>
      </c>
      <c r="E955" s="1" t="s">
        <v>17</v>
      </c>
      <c r="F955" s="1">
        <f t="shared" si="30"/>
        <v>490.00000000000006</v>
      </c>
      <c r="G955" s="5">
        <f t="shared" si="29"/>
        <v>0.96326530612244887</v>
      </c>
    </row>
    <row r="956" spans="1:7" ht="13">
      <c r="A956" s="4" t="s">
        <v>115</v>
      </c>
      <c r="B956" s="1">
        <v>7.56</v>
      </c>
      <c r="C956" s="1">
        <v>777</v>
      </c>
      <c r="D956" s="1" t="s">
        <v>11</v>
      </c>
      <c r="E956" s="1" t="s">
        <v>49</v>
      </c>
      <c r="F956" s="1">
        <f t="shared" si="30"/>
        <v>756</v>
      </c>
      <c r="G956" s="5">
        <f t="shared" si="29"/>
        <v>1.0277777777777777</v>
      </c>
    </row>
    <row r="957" spans="1:7" ht="13">
      <c r="A957" s="4" t="s">
        <v>115</v>
      </c>
      <c r="B957" s="1">
        <v>4.92</v>
      </c>
      <c r="C957" s="1">
        <v>491</v>
      </c>
      <c r="D957" s="1" t="s">
        <v>47</v>
      </c>
      <c r="E957" s="1" t="s">
        <v>10</v>
      </c>
      <c r="F957" s="1">
        <f t="shared" si="30"/>
        <v>492</v>
      </c>
      <c r="G957" s="5">
        <f t="shared" si="29"/>
        <v>0.99796747967479671</v>
      </c>
    </row>
    <row r="958" spans="1:7" ht="13">
      <c r="A958" s="4" t="s">
        <v>115</v>
      </c>
      <c r="B958" s="1">
        <v>7.39</v>
      </c>
      <c r="C958" s="1">
        <v>654</v>
      </c>
      <c r="D958" s="1" t="s">
        <v>52</v>
      </c>
      <c r="E958" s="1" t="s">
        <v>25</v>
      </c>
      <c r="F958" s="1">
        <f t="shared" si="30"/>
        <v>739</v>
      </c>
      <c r="G958" s="5">
        <f t="shared" si="29"/>
        <v>0.8849797023004059</v>
      </c>
    </row>
    <row r="959" spans="1:7" ht="13">
      <c r="A959" s="4" t="s">
        <v>115</v>
      </c>
      <c r="B959" s="1">
        <v>3.5</v>
      </c>
      <c r="C959" s="1">
        <v>320</v>
      </c>
      <c r="D959" s="1" t="s">
        <v>55</v>
      </c>
      <c r="E959" s="1" t="s">
        <v>15</v>
      </c>
      <c r="F959" s="1">
        <f t="shared" si="30"/>
        <v>350</v>
      </c>
      <c r="G959" s="5">
        <f t="shared" si="29"/>
        <v>0.91428571428571426</v>
      </c>
    </row>
    <row r="960" spans="1:7" ht="13">
      <c r="A960" s="4" t="s">
        <v>115</v>
      </c>
      <c r="B960" s="1">
        <v>6.9</v>
      </c>
      <c r="C960" s="1">
        <v>681</v>
      </c>
      <c r="D960" s="1" t="s">
        <v>38</v>
      </c>
      <c r="E960" s="1" t="s">
        <v>8</v>
      </c>
      <c r="F960" s="1">
        <f t="shared" si="30"/>
        <v>690</v>
      </c>
      <c r="G960" s="5">
        <f t="shared" si="29"/>
        <v>0.9869565217391304</v>
      </c>
    </row>
    <row r="961" spans="1:7" ht="13">
      <c r="A961" s="4" t="s">
        <v>115</v>
      </c>
      <c r="B961" s="1">
        <v>8.33</v>
      </c>
      <c r="C961" s="1">
        <v>677</v>
      </c>
      <c r="D961" s="1" t="s">
        <v>47</v>
      </c>
      <c r="E961" s="1" t="s">
        <v>7</v>
      </c>
      <c r="F961" s="1">
        <f t="shared" si="30"/>
        <v>833</v>
      </c>
      <c r="G961" s="5">
        <f t="shared" si="29"/>
        <v>0.81272509003601445</v>
      </c>
    </row>
    <row r="962" spans="1:7" ht="13">
      <c r="A962" s="4" t="s">
        <v>115</v>
      </c>
      <c r="B962" s="1">
        <v>6.8</v>
      </c>
      <c r="C962" s="1">
        <v>525</v>
      </c>
      <c r="D962" s="1" t="s">
        <v>33</v>
      </c>
      <c r="E962" s="1" t="s">
        <v>20</v>
      </c>
      <c r="F962" s="1">
        <f t="shared" si="30"/>
        <v>680</v>
      </c>
      <c r="G962" s="5">
        <f t="shared" ref="G962:G1025" si="31">C962/F962</f>
        <v>0.7720588235294118</v>
      </c>
    </row>
    <row r="963" spans="1:7" ht="13">
      <c r="A963" s="4" t="s">
        <v>115</v>
      </c>
      <c r="B963" s="1">
        <v>6.7</v>
      </c>
      <c r="C963" s="1">
        <v>601</v>
      </c>
      <c r="D963" s="1" t="s">
        <v>58</v>
      </c>
      <c r="E963" s="1" t="s">
        <v>22</v>
      </c>
      <c r="F963" s="1">
        <f t="shared" si="30"/>
        <v>670</v>
      </c>
      <c r="G963" s="5">
        <f t="shared" si="31"/>
        <v>0.89701492537313432</v>
      </c>
    </row>
    <row r="964" spans="1:7" ht="13">
      <c r="A964" s="4" t="s">
        <v>115</v>
      </c>
      <c r="B964" s="1">
        <v>8.4</v>
      </c>
      <c r="C964" s="1">
        <v>876</v>
      </c>
      <c r="D964" s="1" t="s">
        <v>11</v>
      </c>
      <c r="E964" s="1" t="s">
        <v>7</v>
      </c>
      <c r="F964" s="1">
        <f t="shared" si="30"/>
        <v>840</v>
      </c>
      <c r="G964" s="5">
        <f t="shared" si="31"/>
        <v>1.0428571428571429</v>
      </c>
    </row>
    <row r="965" spans="1:7" ht="13">
      <c r="A965" s="4" t="s">
        <v>115</v>
      </c>
      <c r="B965" s="1">
        <v>6.72</v>
      </c>
      <c r="C965" s="1">
        <v>550</v>
      </c>
      <c r="D965" s="1" t="s">
        <v>39</v>
      </c>
      <c r="E965" s="1" t="s">
        <v>25</v>
      </c>
      <c r="F965" s="1">
        <f t="shared" si="30"/>
        <v>672</v>
      </c>
      <c r="G965" s="5">
        <f t="shared" si="31"/>
        <v>0.81845238095238093</v>
      </c>
    </row>
    <row r="966" spans="1:7" ht="13">
      <c r="A966" s="4" t="s">
        <v>115</v>
      </c>
      <c r="B966" s="1">
        <v>7.9</v>
      </c>
      <c r="C966" s="1">
        <v>685</v>
      </c>
      <c r="D966" s="1" t="s">
        <v>33</v>
      </c>
      <c r="E966" s="1" t="s">
        <v>7</v>
      </c>
      <c r="F966" s="1">
        <f t="shared" si="30"/>
        <v>790</v>
      </c>
      <c r="G966" s="5">
        <f t="shared" si="31"/>
        <v>0.86708860759493667</v>
      </c>
    </row>
    <row r="967" spans="1:7" ht="13">
      <c r="A967" s="4" t="s">
        <v>115</v>
      </c>
      <c r="B967" s="1">
        <v>7.44</v>
      </c>
      <c r="C967" s="1">
        <v>631</v>
      </c>
      <c r="D967" s="1" t="s">
        <v>35</v>
      </c>
      <c r="E967" s="1" t="s">
        <v>18</v>
      </c>
      <c r="F967" s="1">
        <f t="shared" si="30"/>
        <v>744</v>
      </c>
      <c r="G967" s="5">
        <f t="shared" si="31"/>
        <v>0.8481182795698925</v>
      </c>
    </row>
    <row r="968" spans="1:7" ht="13">
      <c r="A968" s="4" t="s">
        <v>115</v>
      </c>
      <c r="B968" s="1">
        <v>7.29</v>
      </c>
      <c r="C968" s="1">
        <v>686</v>
      </c>
      <c r="D968" s="1" t="s">
        <v>53</v>
      </c>
      <c r="E968" s="1" t="s">
        <v>15</v>
      </c>
      <c r="F968" s="1">
        <f t="shared" si="30"/>
        <v>729</v>
      </c>
      <c r="G968" s="5">
        <f t="shared" si="31"/>
        <v>0.94101508916323728</v>
      </c>
    </row>
    <row r="969" spans="1:7" ht="13">
      <c r="A969" s="4" t="s">
        <v>115</v>
      </c>
      <c r="B969" s="1">
        <v>8.6</v>
      </c>
      <c r="C969" s="1">
        <v>755.93</v>
      </c>
      <c r="D969" s="1" t="s">
        <v>33</v>
      </c>
      <c r="E969" s="1" t="s">
        <v>26</v>
      </c>
      <c r="F969" s="1">
        <f t="shared" si="30"/>
        <v>860</v>
      </c>
      <c r="G969" s="5">
        <f t="shared" si="31"/>
        <v>0.87898837209302316</v>
      </c>
    </row>
    <row r="970" spans="1:7" ht="13">
      <c r="A970" s="4" t="s">
        <v>115</v>
      </c>
      <c r="B970" s="1">
        <v>6.02</v>
      </c>
      <c r="C970" s="1">
        <v>547</v>
      </c>
      <c r="D970" s="1" t="s">
        <v>33</v>
      </c>
      <c r="E970" s="1" t="s">
        <v>9</v>
      </c>
      <c r="F970" s="1">
        <f t="shared" si="30"/>
        <v>602</v>
      </c>
      <c r="G970" s="5">
        <f t="shared" si="31"/>
        <v>0.90863787375415284</v>
      </c>
    </row>
    <row r="971" spans="1:7" ht="13">
      <c r="A971" s="4" t="s">
        <v>115</v>
      </c>
      <c r="B971" s="1">
        <v>5.6</v>
      </c>
      <c r="C971" s="1">
        <v>409</v>
      </c>
      <c r="D971" s="1" t="s">
        <v>33</v>
      </c>
      <c r="E971" s="1" t="s">
        <v>7</v>
      </c>
      <c r="F971" s="1">
        <f t="shared" si="30"/>
        <v>560</v>
      </c>
      <c r="G971" s="5">
        <f t="shared" si="31"/>
        <v>0.73035714285714282</v>
      </c>
    </row>
    <row r="972" spans="1:7" ht="13">
      <c r="A972" s="4" t="s">
        <v>115</v>
      </c>
      <c r="B972" s="1">
        <v>5.81</v>
      </c>
      <c r="C972" s="1">
        <v>577</v>
      </c>
      <c r="D972" s="1" t="s">
        <v>38</v>
      </c>
      <c r="E972" s="1" t="s">
        <v>8</v>
      </c>
      <c r="F972" s="1">
        <f t="shared" si="30"/>
        <v>581</v>
      </c>
      <c r="G972" s="5">
        <f t="shared" si="31"/>
        <v>0.99311531841652323</v>
      </c>
    </row>
    <row r="973" spans="1:7" ht="13">
      <c r="A973" s="4" t="s">
        <v>115</v>
      </c>
      <c r="B973" s="1">
        <v>7.56</v>
      </c>
      <c r="C973" s="1">
        <v>714</v>
      </c>
      <c r="D973" s="1" t="s">
        <v>87</v>
      </c>
      <c r="E973" s="1" t="s">
        <v>15</v>
      </c>
      <c r="F973" s="1">
        <f t="shared" si="30"/>
        <v>756</v>
      </c>
      <c r="G973" s="5">
        <f t="shared" si="31"/>
        <v>0.94444444444444442</v>
      </c>
    </row>
    <row r="974" spans="1:7" ht="13">
      <c r="A974" s="4" t="s">
        <v>115</v>
      </c>
      <c r="B974" s="1">
        <v>6</v>
      </c>
      <c r="C974" s="1">
        <v>618</v>
      </c>
      <c r="D974" s="1" t="s">
        <v>52</v>
      </c>
      <c r="E974" s="1" t="s">
        <v>26</v>
      </c>
      <c r="F974" s="1">
        <f t="shared" si="30"/>
        <v>600</v>
      </c>
      <c r="G974" s="5">
        <f t="shared" si="31"/>
        <v>1.03</v>
      </c>
    </row>
    <row r="975" spans="1:7" ht="13">
      <c r="A975" s="4" t="s">
        <v>115</v>
      </c>
      <c r="B975" s="1">
        <v>6.72</v>
      </c>
      <c r="C975" s="1">
        <v>606</v>
      </c>
      <c r="D975" s="1" t="s">
        <v>33</v>
      </c>
      <c r="E975" s="1" t="s">
        <v>27</v>
      </c>
      <c r="F975" s="1">
        <f t="shared" si="30"/>
        <v>672</v>
      </c>
      <c r="G975" s="5">
        <f t="shared" si="31"/>
        <v>0.9017857142857143</v>
      </c>
    </row>
    <row r="976" spans="1:7" ht="13">
      <c r="A976" s="4" t="s">
        <v>115</v>
      </c>
      <c r="B976" s="1">
        <v>5.92</v>
      </c>
      <c r="C976" s="1">
        <v>620</v>
      </c>
      <c r="D976" s="1" t="s">
        <v>11</v>
      </c>
      <c r="E976" s="1" t="s">
        <v>17</v>
      </c>
      <c r="F976" s="1">
        <f t="shared" si="30"/>
        <v>592</v>
      </c>
      <c r="G976" s="5">
        <f t="shared" si="31"/>
        <v>1.0472972972972974</v>
      </c>
    </row>
    <row r="977" spans="1:7" ht="13">
      <c r="A977" s="4" t="s">
        <v>115</v>
      </c>
      <c r="B977" s="1">
        <v>5.5</v>
      </c>
      <c r="C977" s="1">
        <v>562</v>
      </c>
      <c r="D977" s="1" t="s">
        <v>11</v>
      </c>
      <c r="E977" s="1" t="s">
        <v>15</v>
      </c>
      <c r="F977" s="1">
        <f t="shared" si="30"/>
        <v>550</v>
      </c>
      <c r="G977" s="5">
        <f t="shared" si="31"/>
        <v>1.0218181818181817</v>
      </c>
    </row>
    <row r="978" spans="1:7" ht="13">
      <c r="A978" s="4" t="s">
        <v>115</v>
      </c>
      <c r="B978" s="1">
        <v>8.6999999999999993</v>
      </c>
      <c r="C978" s="1">
        <v>845</v>
      </c>
      <c r="D978" s="1" t="s">
        <v>11</v>
      </c>
      <c r="E978" s="1" t="s">
        <v>9</v>
      </c>
      <c r="F978" s="1">
        <f t="shared" si="30"/>
        <v>869.99999999999989</v>
      </c>
      <c r="G978" s="5">
        <f t="shared" si="31"/>
        <v>0.97126436781609204</v>
      </c>
    </row>
    <row r="979" spans="1:7" ht="13">
      <c r="A979" s="4" t="s">
        <v>115</v>
      </c>
      <c r="B979" s="1">
        <v>6.1</v>
      </c>
      <c r="C979" s="1">
        <v>551</v>
      </c>
      <c r="D979" s="1" t="s">
        <v>48</v>
      </c>
      <c r="E979" s="1" t="s">
        <v>23</v>
      </c>
      <c r="F979" s="1">
        <f t="shared" si="30"/>
        <v>610</v>
      </c>
      <c r="G979" s="5">
        <f t="shared" si="31"/>
        <v>0.90327868852459015</v>
      </c>
    </row>
    <row r="980" spans="1:7" ht="13">
      <c r="A980" s="4" t="s">
        <v>115</v>
      </c>
      <c r="B980" s="1">
        <v>8.6</v>
      </c>
      <c r="C980" s="1">
        <v>840</v>
      </c>
      <c r="D980" s="1" t="s">
        <v>33</v>
      </c>
      <c r="E980" s="1" t="s">
        <v>8</v>
      </c>
      <c r="F980" s="1">
        <f t="shared" si="30"/>
        <v>860</v>
      </c>
      <c r="G980" s="5">
        <f t="shared" si="31"/>
        <v>0.97674418604651159</v>
      </c>
    </row>
    <row r="981" spans="1:7" ht="13">
      <c r="A981" s="4" t="s">
        <v>115</v>
      </c>
      <c r="B981" s="1">
        <v>7.65</v>
      </c>
      <c r="C981" s="1">
        <v>761</v>
      </c>
      <c r="D981" s="1" t="s">
        <v>11</v>
      </c>
      <c r="E981" s="1" t="s">
        <v>16</v>
      </c>
      <c r="F981" s="1">
        <f t="shared" si="30"/>
        <v>765</v>
      </c>
      <c r="G981" s="5">
        <f t="shared" si="31"/>
        <v>0.99477124183006538</v>
      </c>
    </row>
    <row r="982" spans="1:7" ht="13">
      <c r="A982" s="4" t="s">
        <v>115</v>
      </c>
      <c r="B982" s="1">
        <v>4</v>
      </c>
      <c r="C982" s="1">
        <v>364</v>
      </c>
      <c r="D982" s="1" t="s">
        <v>11</v>
      </c>
      <c r="E982" s="1" t="s">
        <v>28</v>
      </c>
      <c r="F982" s="1">
        <f t="shared" si="30"/>
        <v>400</v>
      </c>
      <c r="G982" s="5">
        <f t="shared" si="31"/>
        <v>0.91</v>
      </c>
    </row>
    <row r="983" spans="1:7" ht="13">
      <c r="A983" s="4" t="s">
        <v>115</v>
      </c>
      <c r="B983" s="1">
        <v>7.6</v>
      </c>
      <c r="C983" s="1">
        <v>602</v>
      </c>
      <c r="D983" s="1" t="s">
        <v>33</v>
      </c>
      <c r="E983" s="1" t="s">
        <v>17</v>
      </c>
      <c r="F983" s="1">
        <f t="shared" si="30"/>
        <v>760</v>
      </c>
      <c r="G983" s="5">
        <f t="shared" si="31"/>
        <v>0.79210526315789476</v>
      </c>
    </row>
    <row r="984" spans="1:7" ht="13">
      <c r="A984" s="4" t="s">
        <v>115</v>
      </c>
      <c r="B984" s="1">
        <v>4</v>
      </c>
      <c r="C984" s="1">
        <v>426</v>
      </c>
      <c r="D984" s="1" t="s">
        <v>11</v>
      </c>
      <c r="E984" s="1" t="s">
        <v>9</v>
      </c>
      <c r="F984" s="1">
        <f t="shared" si="30"/>
        <v>400</v>
      </c>
      <c r="G984" s="5">
        <f t="shared" si="31"/>
        <v>1.0649999999999999</v>
      </c>
    </row>
    <row r="985" spans="1:7" ht="13">
      <c r="A985" s="4" t="s">
        <v>115</v>
      </c>
      <c r="B985" s="1">
        <v>6.15</v>
      </c>
      <c r="C985" s="1">
        <v>637</v>
      </c>
      <c r="D985" s="1" t="s">
        <v>11</v>
      </c>
      <c r="E985" s="1" t="s">
        <v>8</v>
      </c>
      <c r="F985" s="1">
        <f t="shared" si="30"/>
        <v>615</v>
      </c>
      <c r="G985" s="5">
        <f t="shared" si="31"/>
        <v>1.0357723577235773</v>
      </c>
    </row>
    <row r="986" spans="1:7" ht="13">
      <c r="A986" s="4" t="s">
        <v>115</v>
      </c>
      <c r="B986" s="1">
        <v>6.1</v>
      </c>
      <c r="C986" s="1">
        <v>693</v>
      </c>
      <c r="D986" s="1" t="s">
        <v>38</v>
      </c>
      <c r="E986" s="1" t="s">
        <v>25</v>
      </c>
      <c r="F986" s="1">
        <f t="shared" si="30"/>
        <v>610</v>
      </c>
      <c r="G986" s="5">
        <f t="shared" si="31"/>
        <v>1.1360655737704919</v>
      </c>
    </row>
    <row r="987" spans="1:7" ht="13">
      <c r="A987" s="4" t="s">
        <v>115</v>
      </c>
      <c r="B987" s="1">
        <v>6</v>
      </c>
      <c r="C987" s="1">
        <v>545</v>
      </c>
      <c r="D987" s="1" t="s">
        <v>88</v>
      </c>
      <c r="E987" s="1" t="s">
        <v>8</v>
      </c>
      <c r="F987" s="1">
        <f t="shared" si="30"/>
        <v>600</v>
      </c>
      <c r="G987" s="5">
        <f t="shared" si="31"/>
        <v>0.90833333333333333</v>
      </c>
    </row>
    <row r="988" spans="1:7" ht="13">
      <c r="A988" s="4" t="s">
        <v>115</v>
      </c>
      <c r="B988" s="1">
        <v>9.6</v>
      </c>
      <c r="C988" s="1">
        <v>917</v>
      </c>
      <c r="D988" s="1" t="s">
        <v>33</v>
      </c>
      <c r="E988" s="1" t="s">
        <v>12</v>
      </c>
      <c r="F988" s="1">
        <f t="shared" si="30"/>
        <v>960</v>
      </c>
      <c r="G988" s="5">
        <f t="shared" si="31"/>
        <v>0.95520833333333333</v>
      </c>
    </row>
    <row r="989" spans="1:7" ht="13">
      <c r="A989" s="4" t="s">
        <v>115</v>
      </c>
      <c r="B989" s="1">
        <v>5.6</v>
      </c>
      <c r="C989" s="1">
        <v>515.42999999999995</v>
      </c>
      <c r="D989" s="1" t="s">
        <v>11</v>
      </c>
      <c r="E989" s="1" t="s">
        <v>8</v>
      </c>
      <c r="F989" s="1">
        <f t="shared" si="30"/>
        <v>560</v>
      </c>
      <c r="G989" s="5">
        <f t="shared" si="31"/>
        <v>0.92041071428571419</v>
      </c>
    </row>
    <row r="990" spans="1:7" ht="13">
      <c r="A990" s="4" t="s">
        <v>115</v>
      </c>
      <c r="B990" s="1">
        <v>19.600000000000001</v>
      </c>
      <c r="C990" s="1">
        <v>2045</v>
      </c>
      <c r="D990" s="1" t="s">
        <v>43</v>
      </c>
      <c r="E990" s="1" t="s">
        <v>23</v>
      </c>
      <c r="F990" s="1">
        <f t="shared" si="30"/>
        <v>1960.0000000000002</v>
      </c>
      <c r="G990" s="5">
        <f t="shared" si="31"/>
        <v>1.0433673469387754</v>
      </c>
    </row>
    <row r="991" spans="1:7" ht="13">
      <c r="A991" s="4" t="s">
        <v>115</v>
      </c>
      <c r="B991" s="1">
        <v>5</v>
      </c>
      <c r="C991" s="1">
        <v>654</v>
      </c>
      <c r="D991" s="1" t="s">
        <v>33</v>
      </c>
      <c r="E991" s="1" t="s">
        <v>32</v>
      </c>
      <c r="F991" s="1">
        <f t="shared" si="30"/>
        <v>500</v>
      </c>
      <c r="G991" s="5">
        <f t="shared" si="31"/>
        <v>1.3080000000000001</v>
      </c>
    </row>
    <row r="992" spans="1:7" ht="13">
      <c r="A992" s="4" t="s">
        <v>115</v>
      </c>
      <c r="B992" s="1">
        <v>5.59</v>
      </c>
      <c r="C992" s="1">
        <v>528</v>
      </c>
      <c r="D992" s="1" t="s">
        <v>36</v>
      </c>
      <c r="E992" s="1" t="s">
        <v>9</v>
      </c>
      <c r="F992" s="1">
        <f t="shared" ref="F992:F1055" si="32">B992*100</f>
        <v>559</v>
      </c>
      <c r="G992" s="5">
        <f t="shared" si="31"/>
        <v>0.94454382826475847</v>
      </c>
    </row>
    <row r="993" spans="1:7" ht="13">
      <c r="A993" s="4" t="s">
        <v>115</v>
      </c>
      <c r="B993" s="1">
        <v>7.7</v>
      </c>
      <c r="C993" s="1">
        <v>769</v>
      </c>
      <c r="D993" s="1" t="s">
        <v>11</v>
      </c>
      <c r="E993" s="1" t="s">
        <v>22</v>
      </c>
      <c r="F993" s="1">
        <f t="shared" si="32"/>
        <v>770</v>
      </c>
      <c r="G993" s="5">
        <f t="shared" si="31"/>
        <v>0.99870129870129876</v>
      </c>
    </row>
    <row r="994" spans="1:7" ht="13">
      <c r="A994" s="4" t="s">
        <v>115</v>
      </c>
      <c r="B994" s="1">
        <v>5.2</v>
      </c>
      <c r="C994" s="1">
        <v>557</v>
      </c>
      <c r="D994" s="1" t="s">
        <v>42</v>
      </c>
      <c r="E994" s="1" t="s">
        <v>30</v>
      </c>
      <c r="F994" s="1">
        <f t="shared" si="32"/>
        <v>520</v>
      </c>
      <c r="G994" s="5">
        <f t="shared" si="31"/>
        <v>1.0711538461538461</v>
      </c>
    </row>
    <row r="995" spans="1:7" ht="13">
      <c r="A995" s="4" t="s">
        <v>115</v>
      </c>
      <c r="B995" s="1">
        <v>7.74</v>
      </c>
      <c r="C995" s="1">
        <v>840</v>
      </c>
      <c r="D995" s="1" t="s">
        <v>11</v>
      </c>
      <c r="E995" s="1" t="s">
        <v>20</v>
      </c>
      <c r="F995" s="1">
        <f t="shared" si="32"/>
        <v>774</v>
      </c>
      <c r="G995" s="5">
        <f t="shared" si="31"/>
        <v>1.0852713178294573</v>
      </c>
    </row>
    <row r="996" spans="1:7" ht="13">
      <c r="A996" s="4" t="s">
        <v>115</v>
      </c>
      <c r="B996" s="1">
        <v>7.74</v>
      </c>
      <c r="C996" s="1">
        <v>737</v>
      </c>
      <c r="D996" s="1" t="s">
        <v>33</v>
      </c>
      <c r="E996" s="1" t="s">
        <v>9</v>
      </c>
      <c r="F996" s="1">
        <f t="shared" si="32"/>
        <v>774</v>
      </c>
      <c r="G996" s="5">
        <f t="shared" si="31"/>
        <v>0.95219638242894056</v>
      </c>
    </row>
    <row r="997" spans="1:7" ht="13">
      <c r="A997" s="4" t="s">
        <v>115</v>
      </c>
      <c r="B997" s="1">
        <v>7.3</v>
      </c>
      <c r="C997" s="1">
        <v>696</v>
      </c>
      <c r="D997" s="1" t="s">
        <v>47</v>
      </c>
      <c r="E997" s="1" t="s">
        <v>28</v>
      </c>
      <c r="F997" s="1">
        <f t="shared" si="32"/>
        <v>730</v>
      </c>
      <c r="G997" s="5">
        <f t="shared" si="31"/>
        <v>0.95342465753424654</v>
      </c>
    </row>
    <row r="998" spans="1:7" ht="13">
      <c r="A998" s="4" t="s">
        <v>115</v>
      </c>
      <c r="B998" s="1">
        <v>7.7</v>
      </c>
      <c r="C998" s="1">
        <v>683</v>
      </c>
      <c r="D998" s="1" t="s">
        <v>35</v>
      </c>
      <c r="E998" s="1" t="s">
        <v>8</v>
      </c>
      <c r="F998" s="1">
        <f t="shared" si="32"/>
        <v>770</v>
      </c>
      <c r="G998" s="5">
        <f t="shared" si="31"/>
        <v>0.88701298701298703</v>
      </c>
    </row>
    <row r="999" spans="1:7" ht="13">
      <c r="A999" s="4" t="s">
        <v>115</v>
      </c>
      <c r="B999" s="1">
        <v>7.4</v>
      </c>
      <c r="C999" s="1">
        <v>430</v>
      </c>
      <c r="D999" s="1" t="s">
        <v>33</v>
      </c>
      <c r="E999" s="1" t="s">
        <v>17</v>
      </c>
      <c r="F999" s="1">
        <f t="shared" si="32"/>
        <v>740</v>
      </c>
      <c r="G999" s="5">
        <f t="shared" si="31"/>
        <v>0.58108108108108103</v>
      </c>
    </row>
    <row r="1000" spans="1:7" ht="13">
      <c r="A1000" s="4" t="s">
        <v>115</v>
      </c>
      <c r="B1000" s="1">
        <v>9.57</v>
      </c>
      <c r="C1000" s="1">
        <v>830</v>
      </c>
      <c r="D1000" s="1" t="s">
        <v>42</v>
      </c>
      <c r="E1000" s="1" t="s">
        <v>22</v>
      </c>
      <c r="F1000" s="1">
        <f t="shared" si="32"/>
        <v>957</v>
      </c>
      <c r="G1000" s="5">
        <f t="shared" si="31"/>
        <v>0.86729362591431558</v>
      </c>
    </row>
    <row r="1001" spans="1:7" ht="13">
      <c r="A1001" s="4" t="s">
        <v>115</v>
      </c>
      <c r="B1001" s="1">
        <v>8</v>
      </c>
      <c r="C1001" s="1">
        <v>630</v>
      </c>
      <c r="D1001" s="1" t="s">
        <v>11</v>
      </c>
      <c r="E1001" s="1" t="s">
        <v>68</v>
      </c>
      <c r="F1001" s="1">
        <f t="shared" si="32"/>
        <v>800</v>
      </c>
      <c r="G1001" s="5">
        <f t="shared" si="31"/>
        <v>0.78749999999999998</v>
      </c>
    </row>
    <row r="1002" spans="1:7" ht="13">
      <c r="A1002" s="4" t="s">
        <v>115</v>
      </c>
      <c r="B1002" s="1">
        <v>7.7</v>
      </c>
      <c r="C1002" s="1">
        <v>681</v>
      </c>
      <c r="D1002" s="1" t="s">
        <v>39</v>
      </c>
      <c r="E1002" s="1" t="s">
        <v>16</v>
      </c>
      <c r="F1002" s="1">
        <f t="shared" si="32"/>
        <v>770</v>
      </c>
      <c r="G1002" s="5">
        <f t="shared" si="31"/>
        <v>0.88441558441558443</v>
      </c>
    </row>
    <row r="1003" spans="1:7" ht="13">
      <c r="A1003" s="4" t="s">
        <v>115</v>
      </c>
      <c r="B1003" s="1">
        <v>4.3</v>
      </c>
      <c r="C1003" s="1">
        <v>456</v>
      </c>
      <c r="D1003" s="1" t="s">
        <v>11</v>
      </c>
      <c r="E1003" s="1" t="s">
        <v>9</v>
      </c>
      <c r="F1003" s="1">
        <f t="shared" si="32"/>
        <v>430</v>
      </c>
      <c r="G1003" s="5">
        <f t="shared" si="31"/>
        <v>1.0604651162790697</v>
      </c>
    </row>
    <row r="1004" spans="1:7" ht="13">
      <c r="A1004" s="4" t="s">
        <v>115</v>
      </c>
      <c r="B1004" s="1">
        <v>4.3499999999999996</v>
      </c>
      <c r="C1004" s="1">
        <v>448.38</v>
      </c>
      <c r="D1004" s="1" t="s">
        <v>11</v>
      </c>
      <c r="E1004" s="1" t="s">
        <v>15</v>
      </c>
      <c r="F1004" s="1">
        <f t="shared" si="32"/>
        <v>434.99999999999994</v>
      </c>
      <c r="G1004" s="5">
        <f t="shared" si="31"/>
        <v>1.0307586206896553</v>
      </c>
    </row>
    <row r="1005" spans="1:7" ht="13">
      <c r="A1005" s="4" t="s">
        <v>115</v>
      </c>
      <c r="B1005" s="1">
        <v>7.6</v>
      </c>
      <c r="C1005" s="1">
        <v>775</v>
      </c>
      <c r="D1005" s="1" t="s">
        <v>11</v>
      </c>
      <c r="E1005" s="1" t="s">
        <v>16</v>
      </c>
      <c r="F1005" s="1">
        <f t="shared" si="32"/>
        <v>760</v>
      </c>
      <c r="G1005" s="5">
        <f t="shared" si="31"/>
        <v>1.0197368421052631</v>
      </c>
    </row>
    <row r="1006" spans="1:7" ht="13">
      <c r="A1006" s="4" t="s">
        <v>115</v>
      </c>
      <c r="B1006" s="1">
        <v>4.3499999999999996</v>
      </c>
      <c r="C1006" s="1">
        <v>385</v>
      </c>
      <c r="D1006" s="1" t="s">
        <v>33</v>
      </c>
      <c r="E1006" s="1" t="s">
        <v>19</v>
      </c>
      <c r="F1006" s="1">
        <f t="shared" si="32"/>
        <v>434.99999999999994</v>
      </c>
      <c r="G1006" s="5">
        <f t="shared" si="31"/>
        <v>0.88505747126436796</v>
      </c>
    </row>
    <row r="1007" spans="1:7" ht="13">
      <c r="A1007" s="4" t="s">
        <v>115</v>
      </c>
      <c r="B1007" s="1">
        <v>6</v>
      </c>
      <c r="C1007" s="1">
        <v>630</v>
      </c>
      <c r="D1007" s="1" t="s">
        <v>39</v>
      </c>
      <c r="E1007" s="1" t="s">
        <v>9</v>
      </c>
      <c r="F1007" s="1">
        <f t="shared" si="32"/>
        <v>600</v>
      </c>
      <c r="G1007" s="5">
        <f t="shared" si="31"/>
        <v>1.05</v>
      </c>
    </row>
    <row r="1008" spans="1:7" ht="13">
      <c r="A1008" s="4" t="s">
        <v>115</v>
      </c>
      <c r="B1008" s="1">
        <v>5.5</v>
      </c>
      <c r="C1008" s="1">
        <v>620</v>
      </c>
      <c r="D1008" s="1" t="s">
        <v>11</v>
      </c>
      <c r="E1008" s="1" t="s">
        <v>10</v>
      </c>
      <c r="F1008" s="1">
        <f t="shared" si="32"/>
        <v>550</v>
      </c>
      <c r="G1008" s="5">
        <f t="shared" si="31"/>
        <v>1.1272727272727272</v>
      </c>
    </row>
    <row r="1009" spans="1:7" ht="13">
      <c r="A1009" s="4" t="s">
        <v>115</v>
      </c>
      <c r="B1009" s="1">
        <v>7.92</v>
      </c>
      <c r="C1009" s="1">
        <v>740</v>
      </c>
      <c r="D1009" s="1" t="s">
        <v>67</v>
      </c>
      <c r="E1009" s="1" t="s">
        <v>12</v>
      </c>
      <c r="F1009" s="1">
        <f t="shared" si="32"/>
        <v>792</v>
      </c>
      <c r="G1009" s="5">
        <f t="shared" si="31"/>
        <v>0.93434343434343436</v>
      </c>
    </row>
    <row r="1010" spans="1:7" ht="13">
      <c r="A1010" s="4" t="s">
        <v>115</v>
      </c>
      <c r="B1010" s="1">
        <v>6.5</v>
      </c>
      <c r="C1010" s="1">
        <v>728</v>
      </c>
      <c r="D1010" s="1" t="s">
        <v>11</v>
      </c>
      <c r="E1010" s="1" t="s">
        <v>18</v>
      </c>
      <c r="F1010" s="1">
        <f t="shared" si="32"/>
        <v>650</v>
      </c>
      <c r="G1010" s="5">
        <f t="shared" si="31"/>
        <v>1.1200000000000001</v>
      </c>
    </row>
    <row r="1011" spans="1:7" ht="13">
      <c r="A1011" s="4" t="s">
        <v>115</v>
      </c>
      <c r="B1011" s="1">
        <v>7.3</v>
      </c>
      <c r="C1011" s="1">
        <v>753</v>
      </c>
      <c r="D1011" s="1" t="s">
        <v>53</v>
      </c>
      <c r="E1011" s="1" t="s">
        <v>17</v>
      </c>
      <c r="F1011" s="1">
        <f t="shared" si="32"/>
        <v>730</v>
      </c>
      <c r="G1011" s="5">
        <f t="shared" si="31"/>
        <v>1.0315068493150685</v>
      </c>
    </row>
    <row r="1012" spans="1:7" ht="13">
      <c r="A1012" s="4" t="s">
        <v>115</v>
      </c>
      <c r="B1012" s="1">
        <v>7.6</v>
      </c>
      <c r="C1012" s="1">
        <v>758</v>
      </c>
      <c r="D1012" s="1" t="s">
        <v>33</v>
      </c>
      <c r="E1012" s="1" t="s">
        <v>12</v>
      </c>
      <c r="F1012" s="1">
        <f t="shared" si="32"/>
        <v>760</v>
      </c>
      <c r="G1012" s="5">
        <f t="shared" si="31"/>
        <v>0.99736842105263157</v>
      </c>
    </row>
    <row r="1013" spans="1:7" ht="13">
      <c r="A1013" s="4" t="s">
        <v>115</v>
      </c>
      <c r="B1013" s="1">
        <v>5.4</v>
      </c>
      <c r="C1013" s="1">
        <v>402</v>
      </c>
      <c r="D1013" s="1" t="s">
        <v>59</v>
      </c>
      <c r="E1013" s="1" t="s">
        <v>16</v>
      </c>
      <c r="F1013" s="1">
        <f t="shared" si="32"/>
        <v>540</v>
      </c>
      <c r="G1013" s="5">
        <f t="shared" si="31"/>
        <v>0.74444444444444446</v>
      </c>
    </row>
    <row r="1014" spans="1:7" ht="13">
      <c r="A1014" s="4" t="s">
        <v>115</v>
      </c>
      <c r="B1014" s="1">
        <v>8.4</v>
      </c>
      <c r="C1014" s="1">
        <v>780</v>
      </c>
      <c r="D1014" s="1" t="s">
        <v>33</v>
      </c>
      <c r="E1014" s="1" t="s">
        <v>25</v>
      </c>
      <c r="F1014" s="1">
        <f t="shared" si="32"/>
        <v>840</v>
      </c>
      <c r="G1014" s="5">
        <f t="shared" si="31"/>
        <v>0.9285714285714286</v>
      </c>
    </row>
    <row r="1015" spans="1:7" ht="13">
      <c r="A1015" s="4" t="s">
        <v>115</v>
      </c>
      <c r="B1015" s="1">
        <v>5</v>
      </c>
      <c r="C1015" s="1">
        <v>448</v>
      </c>
      <c r="D1015" s="1" t="s">
        <v>40</v>
      </c>
      <c r="E1015" s="1" t="s">
        <v>12</v>
      </c>
      <c r="F1015" s="1">
        <f t="shared" si="32"/>
        <v>500</v>
      </c>
      <c r="G1015" s="5">
        <f t="shared" si="31"/>
        <v>0.89600000000000002</v>
      </c>
    </row>
    <row r="1016" spans="1:7" ht="13">
      <c r="A1016" s="4" t="s">
        <v>115</v>
      </c>
      <c r="B1016" s="1">
        <v>6.7</v>
      </c>
      <c r="C1016" s="1">
        <v>676</v>
      </c>
      <c r="D1016" s="1" t="s">
        <v>11</v>
      </c>
      <c r="E1016" s="1" t="s">
        <v>16</v>
      </c>
      <c r="F1016" s="1">
        <f t="shared" si="32"/>
        <v>670</v>
      </c>
      <c r="G1016" s="5">
        <f t="shared" si="31"/>
        <v>1.008955223880597</v>
      </c>
    </row>
    <row r="1017" spans="1:7" ht="13">
      <c r="A1017" s="4" t="s">
        <v>115</v>
      </c>
      <c r="B1017" s="1">
        <v>6</v>
      </c>
      <c r="C1017" s="1">
        <v>632</v>
      </c>
      <c r="D1017" s="1" t="s">
        <v>33</v>
      </c>
      <c r="E1017" s="1" t="s">
        <v>7</v>
      </c>
      <c r="F1017" s="1">
        <f t="shared" si="32"/>
        <v>600</v>
      </c>
      <c r="G1017" s="5">
        <f t="shared" si="31"/>
        <v>1.0533333333333332</v>
      </c>
    </row>
    <row r="1018" spans="1:7" ht="13">
      <c r="A1018" s="4" t="s">
        <v>115</v>
      </c>
      <c r="B1018" s="1">
        <v>5.0999999999999996</v>
      </c>
      <c r="C1018" s="1">
        <v>429</v>
      </c>
      <c r="D1018" s="1" t="s">
        <v>33</v>
      </c>
      <c r="E1018" s="1" t="s">
        <v>15</v>
      </c>
      <c r="F1018" s="1">
        <f t="shared" si="32"/>
        <v>509.99999999999994</v>
      </c>
      <c r="G1018" s="5">
        <f t="shared" si="31"/>
        <v>0.84117647058823541</v>
      </c>
    </row>
    <row r="1019" spans="1:7" ht="13">
      <c r="A1019" s="4" t="s">
        <v>115</v>
      </c>
      <c r="B1019" s="1">
        <v>4.3499999999999996</v>
      </c>
      <c r="C1019" s="1">
        <v>469</v>
      </c>
      <c r="D1019" s="1" t="s">
        <v>47</v>
      </c>
      <c r="E1019" s="1" t="s">
        <v>9</v>
      </c>
      <c r="F1019" s="1">
        <f t="shared" si="32"/>
        <v>434.99999999999994</v>
      </c>
      <c r="G1019" s="5">
        <f t="shared" si="31"/>
        <v>1.07816091954023</v>
      </c>
    </row>
    <row r="1020" spans="1:7" ht="13">
      <c r="A1020" s="4" t="s">
        <v>115</v>
      </c>
      <c r="B1020" s="1">
        <v>8.3000000000000007</v>
      </c>
      <c r="C1020" s="1">
        <v>861</v>
      </c>
      <c r="D1020" s="1" t="s">
        <v>11</v>
      </c>
      <c r="E1020" s="1" t="s">
        <v>17</v>
      </c>
      <c r="F1020" s="1">
        <f t="shared" si="32"/>
        <v>830.00000000000011</v>
      </c>
      <c r="G1020" s="5">
        <f t="shared" si="31"/>
        <v>1.0373493975903614</v>
      </c>
    </row>
    <row r="1021" spans="1:7" ht="13">
      <c r="A1021" s="4" t="s">
        <v>115</v>
      </c>
      <c r="B1021" s="1">
        <v>7.3949999999999996</v>
      </c>
      <c r="C1021" s="1">
        <v>726</v>
      </c>
      <c r="D1021" s="1" t="s">
        <v>42</v>
      </c>
      <c r="E1021" s="1" t="s">
        <v>25</v>
      </c>
      <c r="F1021" s="1">
        <f t="shared" si="32"/>
        <v>739.5</v>
      </c>
      <c r="G1021" s="5">
        <f t="shared" si="31"/>
        <v>0.98174442190669375</v>
      </c>
    </row>
    <row r="1022" spans="1:7" ht="13">
      <c r="A1022" s="4" t="s">
        <v>115</v>
      </c>
      <c r="B1022" s="1">
        <v>4.5</v>
      </c>
      <c r="C1022" s="1">
        <v>431</v>
      </c>
      <c r="D1022" s="1" t="s">
        <v>33</v>
      </c>
      <c r="E1022" s="1" t="s">
        <v>17</v>
      </c>
      <c r="F1022" s="1">
        <f t="shared" si="32"/>
        <v>450</v>
      </c>
      <c r="G1022" s="5">
        <f t="shared" si="31"/>
        <v>0.95777777777777773</v>
      </c>
    </row>
    <row r="1023" spans="1:7" ht="13">
      <c r="A1023" s="4" t="s">
        <v>115</v>
      </c>
      <c r="B1023" s="1">
        <v>5.2</v>
      </c>
      <c r="C1023" s="1">
        <v>459</v>
      </c>
      <c r="D1023" s="1" t="s">
        <v>60</v>
      </c>
      <c r="E1023" s="1" t="s">
        <v>24</v>
      </c>
      <c r="F1023" s="1">
        <f t="shared" si="32"/>
        <v>520</v>
      </c>
      <c r="G1023" s="5">
        <f t="shared" si="31"/>
        <v>0.88269230769230766</v>
      </c>
    </row>
    <row r="1024" spans="1:7" ht="13">
      <c r="A1024" s="4" t="s">
        <v>115</v>
      </c>
      <c r="B1024" s="1">
        <v>4.5</v>
      </c>
      <c r="C1024" s="1">
        <v>447.3</v>
      </c>
      <c r="D1024" s="1" t="s">
        <v>43</v>
      </c>
      <c r="E1024" s="1" t="s">
        <v>15</v>
      </c>
      <c r="F1024" s="1">
        <f t="shared" si="32"/>
        <v>450</v>
      </c>
      <c r="G1024" s="5">
        <f t="shared" si="31"/>
        <v>0.99399999999999999</v>
      </c>
    </row>
    <row r="1025" spans="1:7" ht="13">
      <c r="A1025" s="4" t="s">
        <v>115</v>
      </c>
      <c r="B1025" s="1">
        <v>9.1300000000000008</v>
      </c>
      <c r="C1025" s="1">
        <v>1024</v>
      </c>
      <c r="D1025" s="1" t="s">
        <v>11</v>
      </c>
      <c r="E1025" s="1" t="s">
        <v>23</v>
      </c>
      <c r="F1025" s="1">
        <f t="shared" si="32"/>
        <v>913.00000000000011</v>
      </c>
      <c r="G1025" s="5">
        <f t="shared" si="31"/>
        <v>1.1215772179627599</v>
      </c>
    </row>
    <row r="1026" spans="1:7" ht="13">
      <c r="A1026" s="4" t="s">
        <v>115</v>
      </c>
      <c r="B1026" s="1">
        <v>4.8</v>
      </c>
      <c r="C1026" s="1">
        <v>360</v>
      </c>
      <c r="D1026" s="1" t="s">
        <v>43</v>
      </c>
      <c r="E1026" s="1" t="s">
        <v>22</v>
      </c>
      <c r="F1026" s="1">
        <f t="shared" si="32"/>
        <v>480</v>
      </c>
      <c r="G1026" s="5">
        <f t="shared" ref="G1026:G1089" si="33">C1026/F1026</f>
        <v>0.75</v>
      </c>
    </row>
    <row r="1027" spans="1:7" ht="13">
      <c r="A1027" s="4" t="s">
        <v>115</v>
      </c>
      <c r="B1027" s="1">
        <v>3.4</v>
      </c>
      <c r="C1027" s="1">
        <v>342</v>
      </c>
      <c r="D1027" s="1" t="s">
        <v>11</v>
      </c>
      <c r="E1027" s="1" t="s">
        <v>15</v>
      </c>
      <c r="F1027" s="1">
        <f t="shared" si="32"/>
        <v>340</v>
      </c>
      <c r="G1027" s="5">
        <f t="shared" si="33"/>
        <v>1.0058823529411764</v>
      </c>
    </row>
    <row r="1028" spans="1:7" ht="13">
      <c r="A1028" s="4" t="s">
        <v>115</v>
      </c>
      <c r="B1028" s="1">
        <v>7.5</v>
      </c>
      <c r="C1028" s="1">
        <v>658</v>
      </c>
      <c r="D1028" s="1" t="s">
        <v>34</v>
      </c>
      <c r="E1028" s="1" t="s">
        <v>22</v>
      </c>
      <c r="F1028" s="1">
        <f t="shared" si="32"/>
        <v>750</v>
      </c>
      <c r="G1028" s="5">
        <f t="shared" si="33"/>
        <v>0.8773333333333333</v>
      </c>
    </row>
    <row r="1029" spans="1:7" ht="13">
      <c r="A1029" s="4" t="s">
        <v>115</v>
      </c>
      <c r="B1029" s="1">
        <v>6.96</v>
      </c>
      <c r="C1029" s="1">
        <v>729</v>
      </c>
      <c r="D1029" s="1" t="s">
        <v>11</v>
      </c>
      <c r="E1029" s="1" t="s">
        <v>31</v>
      </c>
      <c r="F1029" s="1">
        <f t="shared" si="32"/>
        <v>696</v>
      </c>
      <c r="G1029" s="5">
        <f t="shared" si="33"/>
        <v>1.0474137931034482</v>
      </c>
    </row>
    <row r="1030" spans="1:7" ht="13">
      <c r="A1030" s="4" t="s">
        <v>115</v>
      </c>
      <c r="B1030" s="1">
        <v>7.78</v>
      </c>
      <c r="C1030" s="1">
        <v>761</v>
      </c>
      <c r="D1030" s="1" t="s">
        <v>47</v>
      </c>
      <c r="E1030" s="1" t="s">
        <v>23</v>
      </c>
      <c r="F1030" s="1">
        <f t="shared" si="32"/>
        <v>778</v>
      </c>
      <c r="G1030" s="5">
        <f t="shared" si="33"/>
        <v>0.97814910025706936</v>
      </c>
    </row>
    <row r="1031" spans="1:7" ht="13">
      <c r="A1031" s="4" t="s">
        <v>115</v>
      </c>
      <c r="B1031" s="1">
        <v>5.6</v>
      </c>
      <c r="C1031" s="1">
        <v>620</v>
      </c>
      <c r="D1031" s="1" t="s">
        <v>33</v>
      </c>
      <c r="E1031" s="1" t="s">
        <v>12</v>
      </c>
      <c r="F1031" s="1">
        <f t="shared" si="32"/>
        <v>560</v>
      </c>
      <c r="G1031" s="5">
        <f t="shared" si="33"/>
        <v>1.1071428571428572</v>
      </c>
    </row>
    <row r="1032" spans="1:7" ht="13">
      <c r="A1032" s="4" t="s">
        <v>115</v>
      </c>
      <c r="B1032" s="1">
        <v>5</v>
      </c>
      <c r="C1032" s="1">
        <v>446</v>
      </c>
      <c r="D1032" s="1" t="s">
        <v>50</v>
      </c>
      <c r="E1032" s="1" t="s">
        <v>22</v>
      </c>
      <c r="F1032" s="1">
        <f t="shared" si="32"/>
        <v>500</v>
      </c>
      <c r="G1032" s="5">
        <f t="shared" si="33"/>
        <v>0.89200000000000002</v>
      </c>
    </row>
    <row r="1033" spans="1:7" ht="13">
      <c r="A1033" s="4" t="s">
        <v>115</v>
      </c>
      <c r="B1033" s="1">
        <v>6.96</v>
      </c>
      <c r="C1033" s="1">
        <v>765</v>
      </c>
      <c r="D1033" s="1" t="s">
        <v>11</v>
      </c>
      <c r="E1033" s="1" t="s">
        <v>8</v>
      </c>
      <c r="F1033" s="1">
        <f t="shared" si="32"/>
        <v>696</v>
      </c>
      <c r="G1033" s="5">
        <f t="shared" si="33"/>
        <v>1.0991379310344827</v>
      </c>
    </row>
    <row r="1034" spans="1:7" ht="13">
      <c r="A1034" s="4" t="s">
        <v>115</v>
      </c>
      <c r="B1034" s="1">
        <v>6.9</v>
      </c>
      <c r="C1034" s="1">
        <v>464</v>
      </c>
      <c r="D1034" s="1" t="s">
        <v>36</v>
      </c>
      <c r="E1034" s="1" t="s">
        <v>26</v>
      </c>
      <c r="F1034" s="1">
        <f t="shared" si="32"/>
        <v>690</v>
      </c>
      <c r="G1034" s="5">
        <f t="shared" si="33"/>
        <v>0.672463768115942</v>
      </c>
    </row>
    <row r="1035" spans="1:7" ht="13">
      <c r="A1035" s="4" t="s">
        <v>115</v>
      </c>
      <c r="B1035" s="1">
        <v>7.56</v>
      </c>
      <c r="C1035" s="1">
        <v>852</v>
      </c>
      <c r="D1035" s="1" t="s">
        <v>11</v>
      </c>
      <c r="E1035" s="1" t="s">
        <v>9</v>
      </c>
      <c r="F1035" s="1">
        <f t="shared" si="32"/>
        <v>756</v>
      </c>
      <c r="G1035" s="5">
        <f t="shared" si="33"/>
        <v>1.126984126984127</v>
      </c>
    </row>
    <row r="1036" spans="1:7" ht="13">
      <c r="A1036" s="4" t="s">
        <v>115</v>
      </c>
      <c r="B1036" s="1">
        <v>6.3</v>
      </c>
      <c r="C1036" s="1">
        <v>594.95000000000005</v>
      </c>
      <c r="D1036" s="1" t="s">
        <v>43</v>
      </c>
      <c r="E1036" s="1" t="s">
        <v>29</v>
      </c>
      <c r="F1036" s="1">
        <f t="shared" si="32"/>
        <v>630</v>
      </c>
      <c r="G1036" s="5">
        <f t="shared" si="33"/>
        <v>0.94436507936507941</v>
      </c>
    </row>
    <row r="1037" spans="1:7" ht="13">
      <c r="A1037" s="4" t="s">
        <v>115</v>
      </c>
      <c r="B1037" s="1">
        <v>5.4</v>
      </c>
      <c r="C1037" s="1">
        <v>512</v>
      </c>
      <c r="D1037" s="1" t="s">
        <v>35</v>
      </c>
      <c r="E1037" s="1" t="s">
        <v>8</v>
      </c>
      <c r="F1037" s="1">
        <f t="shared" si="32"/>
        <v>540</v>
      </c>
      <c r="G1037" s="5">
        <f t="shared" si="33"/>
        <v>0.94814814814814818</v>
      </c>
    </row>
    <row r="1038" spans="1:7" ht="13">
      <c r="A1038" s="4" t="s">
        <v>115</v>
      </c>
      <c r="B1038" s="1">
        <v>4.05</v>
      </c>
      <c r="C1038" s="1">
        <v>381</v>
      </c>
      <c r="D1038" s="1" t="s">
        <v>34</v>
      </c>
      <c r="E1038" s="1" t="s">
        <v>30</v>
      </c>
      <c r="F1038" s="1">
        <f t="shared" si="32"/>
        <v>405</v>
      </c>
      <c r="G1038" s="5">
        <f t="shared" si="33"/>
        <v>0.94074074074074077</v>
      </c>
    </row>
    <row r="1039" spans="1:7" ht="13">
      <c r="A1039" s="4" t="s">
        <v>115</v>
      </c>
      <c r="B1039" s="1">
        <v>9</v>
      </c>
      <c r="C1039" s="1">
        <v>1036</v>
      </c>
      <c r="D1039" s="1" t="s">
        <v>11</v>
      </c>
      <c r="E1039" s="1" t="s">
        <v>12</v>
      </c>
      <c r="F1039" s="1">
        <f t="shared" si="32"/>
        <v>900</v>
      </c>
      <c r="G1039" s="5">
        <f t="shared" si="33"/>
        <v>1.1511111111111112</v>
      </c>
    </row>
    <row r="1040" spans="1:7" ht="13">
      <c r="A1040" s="4" t="s">
        <v>115</v>
      </c>
      <c r="B1040" s="1">
        <v>7.3</v>
      </c>
      <c r="C1040" s="1">
        <v>590</v>
      </c>
      <c r="D1040" s="1" t="s">
        <v>39</v>
      </c>
      <c r="E1040" s="1" t="s">
        <v>31</v>
      </c>
      <c r="F1040" s="1">
        <f t="shared" si="32"/>
        <v>730</v>
      </c>
      <c r="G1040" s="5">
        <f t="shared" si="33"/>
        <v>0.80821917808219179</v>
      </c>
    </row>
    <row r="1041" spans="1:7" ht="13">
      <c r="A1041" s="4" t="s">
        <v>115</v>
      </c>
      <c r="B1041" s="1">
        <v>6.4</v>
      </c>
      <c r="C1041" s="1">
        <v>610</v>
      </c>
      <c r="D1041" s="1" t="s">
        <v>11</v>
      </c>
      <c r="E1041" s="1" t="s">
        <v>17</v>
      </c>
      <c r="F1041" s="1">
        <f t="shared" si="32"/>
        <v>640</v>
      </c>
      <c r="G1041" s="5">
        <f t="shared" si="33"/>
        <v>0.953125</v>
      </c>
    </row>
    <row r="1042" spans="1:7" ht="13">
      <c r="A1042" s="4" t="s">
        <v>115</v>
      </c>
      <c r="B1042" s="1">
        <v>9.5</v>
      </c>
      <c r="C1042" s="1">
        <v>830</v>
      </c>
      <c r="D1042" s="1" t="s">
        <v>33</v>
      </c>
      <c r="E1042" s="1" t="s">
        <v>18</v>
      </c>
      <c r="F1042" s="1">
        <f t="shared" si="32"/>
        <v>950</v>
      </c>
      <c r="G1042" s="5">
        <f t="shared" si="33"/>
        <v>0.87368421052631584</v>
      </c>
    </row>
    <row r="1043" spans="1:7" ht="13">
      <c r="A1043" s="4" t="s">
        <v>115</v>
      </c>
      <c r="B1043" s="1">
        <v>7.29</v>
      </c>
      <c r="C1043" s="1">
        <v>475.5</v>
      </c>
      <c r="D1043" s="1" t="s">
        <v>43</v>
      </c>
      <c r="E1043" s="1" t="s">
        <v>24</v>
      </c>
      <c r="F1043" s="1">
        <f t="shared" si="32"/>
        <v>729</v>
      </c>
      <c r="G1043" s="5">
        <f t="shared" si="33"/>
        <v>0.65226337448559668</v>
      </c>
    </row>
    <row r="1044" spans="1:7" ht="13">
      <c r="A1044" s="4" t="s">
        <v>115</v>
      </c>
      <c r="B1044" s="1">
        <v>8.6999999999999993</v>
      </c>
      <c r="C1044" s="1">
        <v>856</v>
      </c>
      <c r="D1044" s="1" t="s">
        <v>11</v>
      </c>
      <c r="E1044" s="1" t="s">
        <v>26</v>
      </c>
      <c r="F1044" s="1">
        <f t="shared" si="32"/>
        <v>869.99999999999989</v>
      </c>
      <c r="G1044" s="5">
        <f t="shared" si="33"/>
        <v>0.98390804597701165</v>
      </c>
    </row>
    <row r="1045" spans="1:7" ht="13">
      <c r="A1045" s="4" t="s">
        <v>115</v>
      </c>
      <c r="B1045" s="1">
        <v>3.9</v>
      </c>
      <c r="C1045" s="1">
        <v>399</v>
      </c>
      <c r="D1045" s="1" t="s">
        <v>89</v>
      </c>
      <c r="E1045" s="1" t="s">
        <v>16</v>
      </c>
      <c r="F1045" s="1">
        <f t="shared" si="32"/>
        <v>390</v>
      </c>
      <c r="G1045" s="5">
        <f t="shared" si="33"/>
        <v>1.023076923076923</v>
      </c>
    </row>
    <row r="1046" spans="1:7" ht="13">
      <c r="A1046" s="4" t="s">
        <v>115</v>
      </c>
      <c r="B1046" s="1">
        <v>6.88</v>
      </c>
      <c r="C1046" s="1">
        <v>638</v>
      </c>
      <c r="D1046" s="1" t="s">
        <v>33</v>
      </c>
      <c r="E1046" s="1" t="s">
        <v>10</v>
      </c>
      <c r="F1046" s="1">
        <f t="shared" si="32"/>
        <v>688</v>
      </c>
      <c r="G1046" s="5">
        <f t="shared" si="33"/>
        <v>0.92732558139534882</v>
      </c>
    </row>
    <row r="1047" spans="1:7" ht="13">
      <c r="A1047" s="4" t="s">
        <v>115</v>
      </c>
      <c r="B1047" s="1">
        <v>7.4</v>
      </c>
      <c r="C1047" s="1">
        <v>686</v>
      </c>
      <c r="D1047" s="1" t="s">
        <v>47</v>
      </c>
      <c r="E1047" s="1" t="s">
        <v>26</v>
      </c>
      <c r="F1047" s="1">
        <f t="shared" si="32"/>
        <v>740</v>
      </c>
      <c r="G1047" s="5">
        <f t="shared" si="33"/>
        <v>0.927027027027027</v>
      </c>
    </row>
    <row r="1048" spans="1:7" ht="13">
      <c r="A1048" s="4" t="s">
        <v>115</v>
      </c>
      <c r="B1048" s="1">
        <v>5.88</v>
      </c>
      <c r="C1048" s="1">
        <v>587</v>
      </c>
      <c r="D1048" s="1" t="s">
        <v>11</v>
      </c>
      <c r="E1048" s="1" t="s">
        <v>15</v>
      </c>
      <c r="F1048" s="1">
        <f t="shared" si="32"/>
        <v>588</v>
      </c>
      <c r="G1048" s="5">
        <f t="shared" si="33"/>
        <v>0.99829931972789121</v>
      </c>
    </row>
    <row r="1049" spans="1:7" ht="13">
      <c r="A1049" s="4" t="s">
        <v>115</v>
      </c>
      <c r="B1049" s="1">
        <v>4.8</v>
      </c>
      <c r="C1049" s="1">
        <v>405</v>
      </c>
      <c r="D1049" s="1" t="s">
        <v>11</v>
      </c>
      <c r="E1049" s="1" t="s">
        <v>10</v>
      </c>
      <c r="F1049" s="1">
        <f t="shared" si="32"/>
        <v>480</v>
      </c>
      <c r="G1049" s="5">
        <f t="shared" si="33"/>
        <v>0.84375</v>
      </c>
    </row>
    <row r="1050" spans="1:7" ht="13">
      <c r="A1050" s="4" t="s">
        <v>115</v>
      </c>
      <c r="B1050" s="1">
        <v>7.74</v>
      </c>
      <c r="C1050" s="1">
        <v>689</v>
      </c>
      <c r="D1050" s="1" t="s">
        <v>37</v>
      </c>
      <c r="E1050" s="1" t="s">
        <v>16</v>
      </c>
      <c r="F1050" s="1">
        <f t="shared" si="32"/>
        <v>774</v>
      </c>
      <c r="G1050" s="5">
        <f t="shared" si="33"/>
        <v>0.89018087855297157</v>
      </c>
    </row>
    <row r="1051" spans="1:7" ht="13">
      <c r="A1051" s="4" t="s">
        <v>115</v>
      </c>
      <c r="B1051" s="1">
        <v>7.74</v>
      </c>
      <c r="C1051" s="1">
        <v>734</v>
      </c>
      <c r="D1051" s="1" t="s">
        <v>36</v>
      </c>
      <c r="E1051" s="1" t="s">
        <v>9</v>
      </c>
      <c r="F1051" s="1">
        <f t="shared" si="32"/>
        <v>774</v>
      </c>
      <c r="G1051" s="5">
        <f t="shared" si="33"/>
        <v>0.94832041343669249</v>
      </c>
    </row>
    <row r="1052" spans="1:7" ht="13">
      <c r="A1052" s="4" t="s">
        <v>115</v>
      </c>
      <c r="B1052" s="1">
        <v>8.1999999999999993</v>
      </c>
      <c r="C1052" s="1">
        <v>777</v>
      </c>
      <c r="D1052" s="1" t="s">
        <v>11</v>
      </c>
      <c r="E1052" s="1" t="s">
        <v>12</v>
      </c>
      <c r="F1052" s="1">
        <f t="shared" si="32"/>
        <v>819.99999999999989</v>
      </c>
      <c r="G1052" s="5">
        <f t="shared" si="33"/>
        <v>0.94756097560975627</v>
      </c>
    </row>
    <row r="1053" spans="1:7" ht="13">
      <c r="A1053" s="4" t="s">
        <v>115</v>
      </c>
      <c r="B1053" s="1">
        <v>4.3</v>
      </c>
      <c r="C1053" s="1">
        <v>461</v>
      </c>
      <c r="D1053" s="1" t="s">
        <v>39</v>
      </c>
      <c r="E1053" s="1" t="s">
        <v>15</v>
      </c>
      <c r="F1053" s="1">
        <f t="shared" si="32"/>
        <v>430</v>
      </c>
      <c r="G1053" s="5">
        <f t="shared" si="33"/>
        <v>1.0720930232558139</v>
      </c>
    </row>
    <row r="1054" spans="1:7" ht="13">
      <c r="A1054" s="4" t="s">
        <v>115</v>
      </c>
      <c r="B1054" s="1">
        <v>4</v>
      </c>
      <c r="C1054" s="1">
        <v>276</v>
      </c>
      <c r="D1054" s="1" t="s">
        <v>50</v>
      </c>
      <c r="E1054" s="1" t="s">
        <v>15</v>
      </c>
      <c r="F1054" s="1">
        <f t="shared" si="32"/>
        <v>400</v>
      </c>
      <c r="G1054" s="5">
        <f t="shared" si="33"/>
        <v>0.69</v>
      </c>
    </row>
    <row r="1055" spans="1:7" ht="13">
      <c r="A1055" s="4" t="s">
        <v>115</v>
      </c>
      <c r="B1055" s="1">
        <v>6375</v>
      </c>
      <c r="C1055" s="1">
        <v>661</v>
      </c>
      <c r="D1055" s="1" t="s">
        <v>11</v>
      </c>
      <c r="E1055" s="1" t="s">
        <v>12</v>
      </c>
      <c r="F1055" s="1">
        <f t="shared" si="32"/>
        <v>637500</v>
      </c>
      <c r="G1055" s="5">
        <f t="shared" si="33"/>
        <v>1.0368627450980392E-3</v>
      </c>
    </row>
    <row r="1056" spans="1:7" ht="13">
      <c r="A1056" s="4" t="s">
        <v>115</v>
      </c>
      <c r="B1056" s="1">
        <v>4.8</v>
      </c>
      <c r="C1056" s="1">
        <v>511</v>
      </c>
      <c r="D1056" s="1" t="s">
        <v>11</v>
      </c>
      <c r="E1056" s="1" t="s">
        <v>21</v>
      </c>
      <c r="F1056" s="1">
        <f t="shared" ref="F1056:F1119" si="34">B1056*100</f>
        <v>480</v>
      </c>
      <c r="G1056" s="5">
        <f t="shared" si="33"/>
        <v>1.0645833333333334</v>
      </c>
    </row>
    <row r="1057" spans="1:7" ht="13">
      <c r="A1057" s="4" t="s">
        <v>115</v>
      </c>
      <c r="B1057" s="1">
        <v>6.24</v>
      </c>
      <c r="C1057" s="1">
        <v>795</v>
      </c>
      <c r="D1057" s="1" t="s">
        <v>11</v>
      </c>
      <c r="E1057" s="1" t="s">
        <v>17</v>
      </c>
      <c r="F1057" s="1">
        <f t="shared" si="34"/>
        <v>624</v>
      </c>
      <c r="G1057" s="5">
        <f t="shared" si="33"/>
        <v>1.2740384615384615</v>
      </c>
    </row>
    <row r="1058" spans="1:7" ht="13">
      <c r="A1058" s="4" t="s">
        <v>115</v>
      </c>
      <c r="B1058" s="1">
        <v>5.85</v>
      </c>
      <c r="C1058" s="1">
        <v>540</v>
      </c>
      <c r="D1058" s="1" t="s">
        <v>45</v>
      </c>
      <c r="E1058" s="1" t="s">
        <v>15</v>
      </c>
      <c r="F1058" s="1">
        <f t="shared" si="34"/>
        <v>585</v>
      </c>
      <c r="G1058" s="5">
        <f t="shared" si="33"/>
        <v>0.92307692307692313</v>
      </c>
    </row>
    <row r="1059" spans="1:7" ht="13">
      <c r="A1059" s="4" t="s">
        <v>115</v>
      </c>
      <c r="B1059" s="1">
        <v>2.6</v>
      </c>
      <c r="C1059" s="1">
        <v>1741</v>
      </c>
      <c r="D1059" s="1" t="s">
        <v>43</v>
      </c>
      <c r="E1059" s="1" t="s">
        <v>22</v>
      </c>
      <c r="F1059" s="1">
        <f t="shared" si="34"/>
        <v>260</v>
      </c>
      <c r="G1059" s="5">
        <f t="shared" si="33"/>
        <v>6.6961538461538463</v>
      </c>
    </row>
    <row r="1060" spans="1:7" ht="13">
      <c r="A1060" s="4" t="s">
        <v>115</v>
      </c>
      <c r="B1060" s="1">
        <v>5.0999999999999996</v>
      </c>
      <c r="C1060" s="1">
        <v>523</v>
      </c>
      <c r="D1060" s="1" t="s">
        <v>59</v>
      </c>
      <c r="E1060" s="1" t="s">
        <v>18</v>
      </c>
      <c r="F1060" s="1">
        <f t="shared" si="34"/>
        <v>509.99999999999994</v>
      </c>
      <c r="G1060" s="5">
        <f t="shared" si="33"/>
        <v>1.0254901960784315</v>
      </c>
    </row>
    <row r="1061" spans="1:7" ht="13">
      <c r="A1061" s="4" t="s">
        <v>115</v>
      </c>
      <c r="B1061" s="1">
        <v>6.88</v>
      </c>
      <c r="C1061" s="1">
        <v>669</v>
      </c>
      <c r="D1061" s="1" t="s">
        <v>47</v>
      </c>
      <c r="E1061" s="1" t="s">
        <v>28</v>
      </c>
      <c r="F1061" s="1">
        <f t="shared" si="34"/>
        <v>688</v>
      </c>
      <c r="G1061" s="5">
        <f t="shared" si="33"/>
        <v>0.97238372093023251</v>
      </c>
    </row>
    <row r="1062" spans="1:7" ht="13">
      <c r="A1062" s="4" t="s">
        <v>115</v>
      </c>
      <c r="B1062" s="1">
        <v>8</v>
      </c>
      <c r="C1062" s="1">
        <v>635</v>
      </c>
      <c r="D1062" s="1" t="s">
        <v>52</v>
      </c>
      <c r="E1062" s="1" t="s">
        <v>16</v>
      </c>
      <c r="F1062" s="1">
        <f t="shared" si="34"/>
        <v>800</v>
      </c>
      <c r="G1062" s="5">
        <f t="shared" si="33"/>
        <v>0.79374999999999996</v>
      </c>
    </row>
    <row r="1063" spans="1:7" ht="13">
      <c r="A1063" s="4" t="s">
        <v>115</v>
      </c>
      <c r="B1063" s="1">
        <v>6</v>
      </c>
      <c r="C1063" s="1">
        <v>628</v>
      </c>
      <c r="D1063" s="1" t="s">
        <v>33</v>
      </c>
      <c r="E1063" s="1" t="s">
        <v>32</v>
      </c>
      <c r="F1063" s="1">
        <f t="shared" si="34"/>
        <v>600</v>
      </c>
      <c r="G1063" s="5">
        <f t="shared" si="33"/>
        <v>1.0466666666666666</v>
      </c>
    </row>
    <row r="1064" spans="1:7" ht="13">
      <c r="A1064" s="4" t="s">
        <v>115</v>
      </c>
      <c r="B1064" s="1">
        <v>6.7</v>
      </c>
      <c r="C1064" s="1">
        <v>674</v>
      </c>
      <c r="D1064" s="1" t="s">
        <v>11</v>
      </c>
      <c r="E1064" s="1" t="s">
        <v>17</v>
      </c>
      <c r="F1064" s="1">
        <f t="shared" si="34"/>
        <v>670</v>
      </c>
      <c r="G1064" s="5">
        <f t="shared" si="33"/>
        <v>1.0059701492537314</v>
      </c>
    </row>
    <row r="1065" spans="1:7" ht="13">
      <c r="A1065" s="4" t="s">
        <v>115</v>
      </c>
      <c r="B1065" s="1">
        <v>6.88</v>
      </c>
      <c r="C1065" s="1">
        <v>676</v>
      </c>
      <c r="D1065" s="1" t="s">
        <v>33</v>
      </c>
      <c r="E1065" s="1" t="s">
        <v>8</v>
      </c>
      <c r="F1065" s="1">
        <f t="shared" si="34"/>
        <v>688</v>
      </c>
      <c r="G1065" s="5">
        <f t="shared" si="33"/>
        <v>0.98255813953488369</v>
      </c>
    </row>
    <row r="1066" spans="1:7" ht="13">
      <c r="A1066" s="4" t="s">
        <v>115</v>
      </c>
      <c r="B1066" s="1">
        <v>7.8</v>
      </c>
      <c r="C1066" s="1">
        <v>750</v>
      </c>
      <c r="D1066" s="1" t="s">
        <v>47</v>
      </c>
      <c r="E1066" s="1" t="s">
        <v>21</v>
      </c>
      <c r="F1066" s="1">
        <f t="shared" si="34"/>
        <v>780</v>
      </c>
      <c r="G1066" s="5">
        <f t="shared" si="33"/>
        <v>0.96153846153846156</v>
      </c>
    </row>
    <row r="1067" spans="1:7" ht="13">
      <c r="A1067" s="4" t="s">
        <v>115</v>
      </c>
      <c r="B1067" s="1">
        <v>6.75</v>
      </c>
      <c r="C1067" s="1">
        <v>629</v>
      </c>
      <c r="D1067" s="1" t="s">
        <v>11</v>
      </c>
      <c r="E1067" s="1" t="s">
        <v>26</v>
      </c>
      <c r="F1067" s="1">
        <f t="shared" si="34"/>
        <v>675</v>
      </c>
      <c r="G1067" s="5">
        <f t="shared" si="33"/>
        <v>0.93185185185185182</v>
      </c>
    </row>
    <row r="1068" spans="1:7" ht="13">
      <c r="A1068" s="4" t="s">
        <v>115</v>
      </c>
      <c r="B1068" s="1">
        <v>5.46</v>
      </c>
      <c r="C1068" s="1">
        <v>561</v>
      </c>
      <c r="D1068" s="1" t="s">
        <v>43</v>
      </c>
      <c r="E1068" s="1" t="s">
        <v>15</v>
      </c>
      <c r="F1068" s="1">
        <f t="shared" si="34"/>
        <v>546</v>
      </c>
      <c r="G1068" s="5">
        <f t="shared" si="33"/>
        <v>1.0274725274725274</v>
      </c>
    </row>
    <row r="1069" spans="1:7" ht="13">
      <c r="A1069" s="4" t="s">
        <v>115</v>
      </c>
      <c r="B1069" s="1">
        <v>6.15</v>
      </c>
      <c r="C1069" s="1">
        <v>540</v>
      </c>
      <c r="D1069" s="1" t="s">
        <v>37</v>
      </c>
      <c r="E1069" s="1" t="s">
        <v>17</v>
      </c>
      <c r="F1069" s="1">
        <f t="shared" si="34"/>
        <v>615</v>
      </c>
      <c r="G1069" s="5">
        <f t="shared" si="33"/>
        <v>0.87804878048780488</v>
      </c>
    </row>
    <row r="1070" spans="1:7" ht="13">
      <c r="A1070" s="4" t="s">
        <v>115</v>
      </c>
      <c r="B1070" s="1">
        <v>5.22</v>
      </c>
      <c r="C1070" s="1">
        <v>592</v>
      </c>
      <c r="D1070" s="1" t="s">
        <v>11</v>
      </c>
      <c r="E1070" s="1" t="s">
        <v>8</v>
      </c>
      <c r="F1070" s="1">
        <f t="shared" si="34"/>
        <v>522</v>
      </c>
      <c r="G1070" s="5">
        <f t="shared" si="33"/>
        <v>1.1340996168582376</v>
      </c>
    </row>
    <row r="1071" spans="1:7" ht="13">
      <c r="A1071" s="4" t="s">
        <v>115</v>
      </c>
      <c r="B1071" s="1">
        <v>8.6999999999999993</v>
      </c>
      <c r="C1071" s="1">
        <v>888</v>
      </c>
      <c r="D1071" s="1" t="s">
        <v>11</v>
      </c>
      <c r="E1071" s="1" t="s">
        <v>10</v>
      </c>
      <c r="F1071" s="1">
        <f t="shared" si="34"/>
        <v>869.99999999999989</v>
      </c>
      <c r="G1071" s="5">
        <f t="shared" si="33"/>
        <v>1.0206896551724138</v>
      </c>
    </row>
    <row r="1072" spans="1:7" ht="13">
      <c r="A1072" s="4" t="s">
        <v>115</v>
      </c>
      <c r="B1072" s="1">
        <v>8.4</v>
      </c>
      <c r="C1072" s="1">
        <v>763</v>
      </c>
      <c r="D1072" s="1" t="s">
        <v>11</v>
      </c>
      <c r="E1072" s="1" t="s">
        <v>24</v>
      </c>
      <c r="F1072" s="1">
        <f t="shared" si="34"/>
        <v>840</v>
      </c>
      <c r="G1072" s="5">
        <f t="shared" si="33"/>
        <v>0.90833333333333333</v>
      </c>
    </row>
    <row r="1073" spans="1:7" ht="13">
      <c r="A1073" s="4" t="s">
        <v>115</v>
      </c>
      <c r="B1073" s="1">
        <v>6.4</v>
      </c>
      <c r="C1073" s="1">
        <v>644</v>
      </c>
      <c r="D1073" s="1" t="s">
        <v>38</v>
      </c>
      <c r="E1073" s="1" t="s">
        <v>9</v>
      </c>
      <c r="F1073" s="1">
        <f t="shared" si="34"/>
        <v>640</v>
      </c>
      <c r="G1073" s="5">
        <f t="shared" si="33"/>
        <v>1.0062500000000001</v>
      </c>
    </row>
    <row r="1074" spans="1:7" ht="13">
      <c r="A1074" s="4" t="s">
        <v>115</v>
      </c>
      <c r="B1074" s="1">
        <v>4</v>
      </c>
      <c r="C1074" s="1">
        <v>404</v>
      </c>
      <c r="D1074" s="1" t="s">
        <v>11</v>
      </c>
      <c r="E1074" s="1" t="s">
        <v>8</v>
      </c>
      <c r="F1074" s="1">
        <f t="shared" si="34"/>
        <v>400</v>
      </c>
      <c r="G1074" s="5">
        <f t="shared" si="33"/>
        <v>1.01</v>
      </c>
    </row>
    <row r="1075" spans="1:7" ht="13">
      <c r="A1075" s="4" t="s">
        <v>115</v>
      </c>
      <c r="B1075" s="1">
        <v>6.96</v>
      </c>
      <c r="C1075" s="1">
        <v>643</v>
      </c>
      <c r="D1075" s="1" t="s">
        <v>78</v>
      </c>
      <c r="E1075" s="1" t="s">
        <v>15</v>
      </c>
      <c r="F1075" s="1">
        <f t="shared" si="34"/>
        <v>696</v>
      </c>
      <c r="G1075" s="5">
        <f t="shared" si="33"/>
        <v>0.92385057471264365</v>
      </c>
    </row>
    <row r="1076" spans="1:7" ht="13">
      <c r="A1076" s="4" t="s">
        <v>115</v>
      </c>
      <c r="B1076" s="1">
        <v>5.67</v>
      </c>
      <c r="C1076" s="1">
        <v>520</v>
      </c>
      <c r="D1076" s="1" t="s">
        <v>33</v>
      </c>
      <c r="E1076" s="1" t="s">
        <v>14</v>
      </c>
      <c r="F1076" s="1">
        <f t="shared" si="34"/>
        <v>567</v>
      </c>
      <c r="G1076" s="5">
        <f t="shared" si="33"/>
        <v>0.91710758377425039</v>
      </c>
    </row>
    <row r="1077" spans="1:7" ht="13">
      <c r="A1077" s="4" t="s">
        <v>115</v>
      </c>
      <c r="B1077" s="1">
        <v>8.6</v>
      </c>
      <c r="C1077" s="1">
        <v>771</v>
      </c>
      <c r="D1077" s="1" t="s">
        <v>11</v>
      </c>
      <c r="E1077" s="1" t="s">
        <v>68</v>
      </c>
      <c r="F1077" s="1">
        <f t="shared" si="34"/>
        <v>860</v>
      </c>
      <c r="G1077" s="5">
        <f t="shared" si="33"/>
        <v>0.89651162790697669</v>
      </c>
    </row>
    <row r="1078" spans="1:7" ht="13">
      <c r="A1078" s="4" t="s">
        <v>115</v>
      </c>
      <c r="B1078" s="1">
        <v>7.2</v>
      </c>
      <c r="C1078" s="1">
        <v>956</v>
      </c>
      <c r="D1078" s="1" t="s">
        <v>38</v>
      </c>
      <c r="E1078" s="1" t="s">
        <v>8</v>
      </c>
      <c r="F1078" s="1">
        <f t="shared" si="34"/>
        <v>720</v>
      </c>
      <c r="G1078" s="5">
        <f t="shared" si="33"/>
        <v>1.3277777777777777</v>
      </c>
    </row>
    <row r="1079" spans="1:7" ht="13">
      <c r="A1079" s="4" t="s">
        <v>115</v>
      </c>
      <c r="B1079" s="1">
        <v>5.6</v>
      </c>
      <c r="C1079" s="1">
        <v>492</v>
      </c>
      <c r="D1079" s="1" t="s">
        <v>33</v>
      </c>
      <c r="E1079" s="1" t="s">
        <v>16</v>
      </c>
      <c r="F1079" s="1">
        <f t="shared" si="34"/>
        <v>560</v>
      </c>
      <c r="G1079" s="5">
        <f t="shared" si="33"/>
        <v>0.87857142857142856</v>
      </c>
    </row>
    <row r="1080" spans="1:7" ht="13">
      <c r="A1080" s="4" t="s">
        <v>115</v>
      </c>
      <c r="B1080" s="1">
        <v>7.38</v>
      </c>
      <c r="C1080" s="1">
        <v>675</v>
      </c>
      <c r="D1080" s="1" t="s">
        <v>33</v>
      </c>
      <c r="E1080" s="1" t="s">
        <v>8</v>
      </c>
      <c r="F1080" s="1">
        <f t="shared" si="34"/>
        <v>738</v>
      </c>
      <c r="G1080" s="5">
        <f t="shared" si="33"/>
        <v>0.91463414634146345</v>
      </c>
    </row>
    <row r="1081" spans="1:7" ht="13">
      <c r="A1081" s="4" t="s">
        <v>115</v>
      </c>
      <c r="B1081" s="1">
        <v>3.6</v>
      </c>
      <c r="C1081" s="1">
        <v>365</v>
      </c>
      <c r="D1081" s="1" t="s">
        <v>47</v>
      </c>
      <c r="E1081" s="1" t="s">
        <v>28</v>
      </c>
      <c r="F1081" s="1">
        <f t="shared" si="34"/>
        <v>360</v>
      </c>
      <c r="G1081" s="5">
        <f t="shared" si="33"/>
        <v>1.0138888888888888</v>
      </c>
    </row>
    <row r="1082" spans="1:7" ht="13">
      <c r="A1082" s="4" t="s">
        <v>115</v>
      </c>
      <c r="B1082" s="1">
        <v>4.5</v>
      </c>
      <c r="C1082" s="1">
        <v>438</v>
      </c>
      <c r="D1082" s="1" t="s">
        <v>39</v>
      </c>
      <c r="E1082" s="1" t="s">
        <v>15</v>
      </c>
      <c r="F1082" s="1">
        <f t="shared" si="34"/>
        <v>450</v>
      </c>
      <c r="G1082" s="5">
        <f t="shared" si="33"/>
        <v>0.97333333333333338</v>
      </c>
    </row>
    <row r="1083" spans="1:7" ht="13">
      <c r="A1083" s="4" t="s">
        <v>115</v>
      </c>
      <c r="B1083" s="1">
        <v>4.8</v>
      </c>
      <c r="C1083" s="1">
        <v>416</v>
      </c>
      <c r="D1083" s="1" t="s">
        <v>33</v>
      </c>
      <c r="E1083" s="1" t="s">
        <v>10</v>
      </c>
      <c r="F1083" s="1">
        <f t="shared" si="34"/>
        <v>480</v>
      </c>
      <c r="G1083" s="5">
        <f t="shared" si="33"/>
        <v>0.8666666666666667</v>
      </c>
    </row>
    <row r="1084" spans="1:7" ht="13">
      <c r="A1084" s="4" t="s">
        <v>115</v>
      </c>
      <c r="B1084" s="1">
        <v>6</v>
      </c>
      <c r="C1084" s="1">
        <v>594</v>
      </c>
      <c r="D1084" s="1" t="s">
        <v>11</v>
      </c>
      <c r="E1084" s="1" t="s">
        <v>14</v>
      </c>
      <c r="F1084" s="1">
        <f t="shared" si="34"/>
        <v>600</v>
      </c>
      <c r="G1084" s="5">
        <f t="shared" si="33"/>
        <v>0.99</v>
      </c>
    </row>
    <row r="1085" spans="1:7" ht="13">
      <c r="A1085" s="4" t="s">
        <v>115</v>
      </c>
      <c r="B1085" s="1">
        <v>6.88</v>
      </c>
      <c r="C1085" s="1">
        <v>579</v>
      </c>
      <c r="D1085" s="1" t="s">
        <v>43</v>
      </c>
      <c r="E1085" s="1" t="s">
        <v>16</v>
      </c>
      <c r="F1085" s="1">
        <f t="shared" si="34"/>
        <v>688</v>
      </c>
      <c r="G1085" s="5">
        <f t="shared" si="33"/>
        <v>0.84156976744186052</v>
      </c>
    </row>
    <row r="1086" spans="1:7" ht="13">
      <c r="A1086" s="4" t="s">
        <v>115</v>
      </c>
      <c r="B1086" s="1">
        <v>6</v>
      </c>
      <c r="C1086" s="1">
        <v>612</v>
      </c>
      <c r="D1086" s="1" t="s">
        <v>47</v>
      </c>
      <c r="E1086" s="1" t="s">
        <v>29</v>
      </c>
      <c r="F1086" s="1">
        <f t="shared" si="34"/>
        <v>600</v>
      </c>
      <c r="G1086" s="5">
        <f t="shared" si="33"/>
        <v>1.02</v>
      </c>
    </row>
    <row r="1087" spans="1:7" ht="13">
      <c r="A1087" s="4" t="s">
        <v>115</v>
      </c>
      <c r="B1087" s="1">
        <v>5</v>
      </c>
      <c r="C1087" s="1">
        <v>596</v>
      </c>
      <c r="D1087" s="1" t="s">
        <v>42</v>
      </c>
      <c r="E1087" s="1" t="s">
        <v>24</v>
      </c>
      <c r="F1087" s="1">
        <f t="shared" si="34"/>
        <v>500</v>
      </c>
      <c r="G1087" s="5">
        <f t="shared" si="33"/>
        <v>1.1919999999999999</v>
      </c>
    </row>
    <row r="1088" spans="1:7" ht="13">
      <c r="A1088" s="4" t="s">
        <v>115</v>
      </c>
      <c r="B1088" s="1">
        <v>4</v>
      </c>
      <c r="C1088" s="1">
        <v>372</v>
      </c>
      <c r="D1088" s="1" t="s">
        <v>43</v>
      </c>
      <c r="E1088" s="1" t="s">
        <v>68</v>
      </c>
      <c r="F1088" s="1">
        <f t="shared" si="34"/>
        <v>400</v>
      </c>
      <c r="G1088" s="5">
        <f t="shared" si="33"/>
        <v>0.93</v>
      </c>
    </row>
    <row r="1089" spans="1:7" ht="13">
      <c r="A1089" s="4" t="s">
        <v>115</v>
      </c>
      <c r="B1089" s="1">
        <v>6</v>
      </c>
      <c r="C1089" s="1">
        <v>596</v>
      </c>
      <c r="D1089" s="1" t="s">
        <v>47</v>
      </c>
      <c r="E1089" s="1" t="s">
        <v>20</v>
      </c>
      <c r="F1089" s="1">
        <f t="shared" si="34"/>
        <v>600</v>
      </c>
      <c r="G1089" s="5">
        <f t="shared" si="33"/>
        <v>0.99333333333333329</v>
      </c>
    </row>
    <row r="1090" spans="1:7" ht="13">
      <c r="A1090" s="4" t="s">
        <v>115</v>
      </c>
      <c r="B1090" s="1">
        <v>6.7</v>
      </c>
      <c r="C1090" s="1">
        <v>604</v>
      </c>
      <c r="D1090" s="1" t="s">
        <v>33</v>
      </c>
      <c r="E1090" s="1" t="s">
        <v>15</v>
      </c>
      <c r="F1090" s="1">
        <f t="shared" si="34"/>
        <v>670</v>
      </c>
      <c r="G1090" s="5">
        <f t="shared" ref="G1090:G1153" si="35">C1090/F1090</f>
        <v>0.90149253731343282</v>
      </c>
    </row>
    <row r="1091" spans="1:7" ht="13">
      <c r="A1091" s="4" t="s">
        <v>115</v>
      </c>
      <c r="B1091" s="1">
        <v>5.16</v>
      </c>
      <c r="C1091" s="1">
        <v>492</v>
      </c>
      <c r="D1091" s="1" t="s">
        <v>42</v>
      </c>
      <c r="E1091" s="1" t="s">
        <v>22</v>
      </c>
      <c r="F1091" s="1">
        <f t="shared" si="34"/>
        <v>516</v>
      </c>
      <c r="G1091" s="5">
        <f t="shared" si="35"/>
        <v>0.95348837209302328</v>
      </c>
    </row>
    <row r="1092" spans="1:7" ht="13">
      <c r="A1092" s="4" t="s">
        <v>115</v>
      </c>
      <c r="B1092" s="1">
        <v>10</v>
      </c>
      <c r="C1092" s="1">
        <v>800.51</v>
      </c>
      <c r="D1092" s="1" t="s">
        <v>47</v>
      </c>
      <c r="E1092" s="1" t="s">
        <v>22</v>
      </c>
      <c r="F1092" s="1">
        <f t="shared" si="34"/>
        <v>1000</v>
      </c>
      <c r="G1092" s="5">
        <f t="shared" si="35"/>
        <v>0.80050999999999994</v>
      </c>
    </row>
    <row r="1093" spans="1:7" ht="13">
      <c r="A1093" s="4" t="s">
        <v>115</v>
      </c>
      <c r="B1093" s="1">
        <v>6</v>
      </c>
      <c r="C1093" s="1">
        <v>786</v>
      </c>
      <c r="D1093" s="1" t="s">
        <v>43</v>
      </c>
      <c r="E1093" s="1" t="s">
        <v>32</v>
      </c>
      <c r="F1093" s="1">
        <f t="shared" si="34"/>
        <v>600</v>
      </c>
      <c r="G1093" s="5">
        <f t="shared" si="35"/>
        <v>1.31</v>
      </c>
    </row>
    <row r="1094" spans="1:7" ht="13">
      <c r="A1094" s="4" t="s">
        <v>115</v>
      </c>
      <c r="B1094" s="1">
        <v>5.0999999999999996</v>
      </c>
      <c r="C1094" s="1">
        <v>526</v>
      </c>
      <c r="D1094" s="1" t="s">
        <v>79</v>
      </c>
      <c r="E1094" s="1" t="s">
        <v>69</v>
      </c>
      <c r="F1094" s="1">
        <f t="shared" si="34"/>
        <v>509.99999999999994</v>
      </c>
      <c r="G1094" s="5">
        <f t="shared" si="35"/>
        <v>1.031372549019608</v>
      </c>
    </row>
    <row r="1095" spans="1:7" ht="13">
      <c r="A1095" s="4" t="s">
        <v>116</v>
      </c>
      <c r="B1095" s="1">
        <v>7.74</v>
      </c>
      <c r="C1095" s="1">
        <v>760</v>
      </c>
      <c r="D1095" s="1" t="s">
        <v>11</v>
      </c>
      <c r="E1095" s="1" t="s">
        <v>17</v>
      </c>
      <c r="F1095" s="1">
        <f t="shared" si="34"/>
        <v>774</v>
      </c>
      <c r="G1095" s="5">
        <f t="shared" si="35"/>
        <v>0.98191214470284238</v>
      </c>
    </row>
    <row r="1096" spans="1:7" ht="13">
      <c r="A1096" s="4" t="s">
        <v>116</v>
      </c>
      <c r="B1096" s="1">
        <v>6.8</v>
      </c>
      <c r="C1096" s="1">
        <v>769</v>
      </c>
      <c r="D1096" s="1" t="s">
        <v>11</v>
      </c>
      <c r="E1096" s="1" t="s">
        <v>23</v>
      </c>
      <c r="F1096" s="1">
        <f t="shared" si="34"/>
        <v>680</v>
      </c>
      <c r="G1096" s="5">
        <f t="shared" si="35"/>
        <v>1.1308823529411764</v>
      </c>
    </row>
    <row r="1097" spans="1:7" ht="13">
      <c r="A1097" s="4" t="s">
        <v>116</v>
      </c>
      <c r="B1097" s="1">
        <v>8.6</v>
      </c>
      <c r="C1097" s="1">
        <v>781</v>
      </c>
      <c r="D1097" s="1" t="s">
        <v>79</v>
      </c>
      <c r="E1097" s="1" t="s">
        <v>22</v>
      </c>
      <c r="F1097" s="1">
        <f t="shared" si="34"/>
        <v>860</v>
      </c>
      <c r="G1097" s="5">
        <f t="shared" si="35"/>
        <v>0.9081395348837209</v>
      </c>
    </row>
    <row r="1098" spans="1:7" ht="13">
      <c r="A1098" s="4" t="s">
        <v>116</v>
      </c>
      <c r="B1098" s="1">
        <v>7.3949999999999996</v>
      </c>
      <c r="C1098" s="1">
        <v>822</v>
      </c>
      <c r="D1098" s="1" t="s">
        <v>43</v>
      </c>
      <c r="E1098" s="1" t="s">
        <v>20</v>
      </c>
      <c r="F1098" s="1">
        <f t="shared" si="34"/>
        <v>739.5</v>
      </c>
      <c r="G1098" s="5">
        <f t="shared" si="35"/>
        <v>1.1115618661257607</v>
      </c>
    </row>
    <row r="1099" spans="1:7" ht="13">
      <c r="A1099" s="4" t="s">
        <v>116</v>
      </c>
      <c r="B1099" s="1">
        <v>9.5</v>
      </c>
      <c r="C1099" s="1">
        <v>998</v>
      </c>
      <c r="D1099" s="1" t="s">
        <v>11</v>
      </c>
      <c r="E1099" s="1" t="s">
        <v>31</v>
      </c>
      <c r="F1099" s="1">
        <f t="shared" si="34"/>
        <v>950</v>
      </c>
      <c r="G1099" s="5">
        <f t="shared" si="35"/>
        <v>1.0505263157894738</v>
      </c>
    </row>
    <row r="1100" spans="1:7" ht="13">
      <c r="A1100" s="4" t="s">
        <v>116</v>
      </c>
      <c r="B1100" s="1">
        <v>5.4</v>
      </c>
      <c r="C1100" s="1">
        <v>677</v>
      </c>
      <c r="D1100" s="1" t="s">
        <v>11</v>
      </c>
      <c r="E1100" s="1" t="s">
        <v>8</v>
      </c>
      <c r="F1100" s="1">
        <f t="shared" si="34"/>
        <v>540</v>
      </c>
      <c r="G1100" s="5">
        <f t="shared" si="35"/>
        <v>1.2537037037037038</v>
      </c>
    </row>
    <row r="1101" spans="1:7" ht="13">
      <c r="A1101" s="4" t="s">
        <v>116</v>
      </c>
      <c r="B1101" s="1">
        <v>5.915</v>
      </c>
      <c r="C1101" s="1">
        <v>637</v>
      </c>
      <c r="D1101" s="1" t="s">
        <v>44</v>
      </c>
      <c r="E1101" s="1" t="s">
        <v>24</v>
      </c>
      <c r="F1101" s="1">
        <f t="shared" si="34"/>
        <v>591.5</v>
      </c>
      <c r="G1101" s="5">
        <f t="shared" si="35"/>
        <v>1.0769230769230769</v>
      </c>
    </row>
    <row r="1102" spans="1:7" ht="13">
      <c r="A1102" s="4" t="s">
        <v>116</v>
      </c>
      <c r="B1102" s="1">
        <v>10.3</v>
      </c>
      <c r="C1102" s="1">
        <v>1140</v>
      </c>
      <c r="D1102" s="1" t="s">
        <v>37</v>
      </c>
      <c r="E1102" s="1" t="s">
        <v>26</v>
      </c>
      <c r="F1102" s="1">
        <f t="shared" si="34"/>
        <v>1030</v>
      </c>
      <c r="G1102" s="5">
        <f t="shared" si="35"/>
        <v>1.1067961165048543</v>
      </c>
    </row>
    <row r="1103" spans="1:7" ht="13">
      <c r="A1103" s="4" t="s">
        <v>116</v>
      </c>
      <c r="B1103" s="1">
        <v>6.5250000000000004</v>
      </c>
      <c r="C1103" s="1">
        <v>681</v>
      </c>
      <c r="D1103" s="1" t="s">
        <v>11</v>
      </c>
      <c r="E1103" s="1" t="s">
        <v>17</v>
      </c>
      <c r="F1103" s="1">
        <f t="shared" si="34"/>
        <v>652.5</v>
      </c>
      <c r="G1103" s="5">
        <f t="shared" si="35"/>
        <v>1.0436781609195402</v>
      </c>
    </row>
    <row r="1104" spans="1:7" ht="13">
      <c r="A1104" s="4" t="s">
        <v>116</v>
      </c>
      <c r="B1104" s="1">
        <v>6.09</v>
      </c>
      <c r="C1104" s="1">
        <v>732</v>
      </c>
      <c r="D1104" s="1" t="s">
        <v>11</v>
      </c>
      <c r="E1104" s="1" t="s">
        <v>26</v>
      </c>
      <c r="F1104" s="1">
        <f t="shared" si="34"/>
        <v>609</v>
      </c>
      <c r="G1104" s="5">
        <f t="shared" si="35"/>
        <v>1.2019704433497538</v>
      </c>
    </row>
    <row r="1105" spans="1:7" ht="13">
      <c r="A1105" s="4" t="s">
        <v>116</v>
      </c>
      <c r="B1105" s="1">
        <v>5.2</v>
      </c>
      <c r="C1105" s="1">
        <v>583</v>
      </c>
      <c r="D1105" s="1" t="s">
        <v>45</v>
      </c>
      <c r="E1105" s="1" t="s">
        <v>15</v>
      </c>
      <c r="F1105" s="1">
        <f t="shared" si="34"/>
        <v>520</v>
      </c>
      <c r="G1105" s="5">
        <f t="shared" si="35"/>
        <v>1.1211538461538462</v>
      </c>
    </row>
    <row r="1106" spans="1:7" ht="13">
      <c r="A1106" s="4" t="s">
        <v>116</v>
      </c>
      <c r="B1106" s="1">
        <v>6.8</v>
      </c>
      <c r="C1106" s="1">
        <v>638</v>
      </c>
      <c r="D1106" s="1" t="s">
        <v>33</v>
      </c>
      <c r="E1106" s="1" t="s">
        <v>20</v>
      </c>
      <c r="F1106" s="1">
        <f t="shared" si="34"/>
        <v>680</v>
      </c>
      <c r="G1106" s="5">
        <f t="shared" si="35"/>
        <v>0.93823529411764706</v>
      </c>
    </row>
    <row r="1107" spans="1:7" ht="13">
      <c r="A1107" s="4" t="s">
        <v>116</v>
      </c>
      <c r="B1107" s="1">
        <v>6.4</v>
      </c>
      <c r="C1107" s="1">
        <v>723.4</v>
      </c>
      <c r="D1107" s="1" t="s">
        <v>33</v>
      </c>
      <c r="E1107" s="1" t="s">
        <v>15</v>
      </c>
      <c r="F1107" s="1">
        <f t="shared" si="34"/>
        <v>640</v>
      </c>
      <c r="G1107" s="5">
        <f t="shared" si="35"/>
        <v>1.1303125000000001</v>
      </c>
    </row>
    <row r="1108" spans="1:7" ht="13">
      <c r="A1108" s="4" t="s">
        <v>116</v>
      </c>
      <c r="B1108" s="1">
        <v>7.5</v>
      </c>
      <c r="C1108" s="1">
        <v>902</v>
      </c>
      <c r="D1108" s="1" t="s">
        <v>11</v>
      </c>
      <c r="E1108" s="1" t="s">
        <v>10</v>
      </c>
      <c r="F1108" s="1">
        <f t="shared" si="34"/>
        <v>750</v>
      </c>
      <c r="G1108" s="5">
        <f t="shared" si="35"/>
        <v>1.2026666666666668</v>
      </c>
    </row>
    <row r="1109" spans="1:7" ht="13">
      <c r="A1109" s="4" t="s">
        <v>116</v>
      </c>
      <c r="B1109" s="1">
        <v>3.2</v>
      </c>
      <c r="C1109" s="1">
        <v>361</v>
      </c>
      <c r="D1109" s="1" t="s">
        <v>11</v>
      </c>
      <c r="E1109" s="1" t="s">
        <v>9</v>
      </c>
      <c r="F1109" s="1">
        <f t="shared" si="34"/>
        <v>320</v>
      </c>
      <c r="G1109" s="5">
        <f t="shared" si="35"/>
        <v>1.128125</v>
      </c>
    </row>
    <row r="1110" spans="1:7" ht="13">
      <c r="A1110" s="4" t="s">
        <v>116</v>
      </c>
      <c r="B1110" s="1">
        <v>6.5</v>
      </c>
      <c r="C1110" s="1">
        <v>823</v>
      </c>
      <c r="D1110" s="1" t="s">
        <v>11</v>
      </c>
      <c r="E1110" s="1" t="s">
        <v>18</v>
      </c>
      <c r="F1110" s="1">
        <f t="shared" si="34"/>
        <v>650</v>
      </c>
      <c r="G1110" s="5">
        <f t="shared" si="35"/>
        <v>1.2661538461538462</v>
      </c>
    </row>
    <row r="1111" spans="1:7" ht="13">
      <c r="A1111" s="4" t="s">
        <v>116</v>
      </c>
      <c r="B1111" s="1">
        <v>7.3</v>
      </c>
      <c r="C1111" s="1">
        <v>898</v>
      </c>
      <c r="D1111" s="1" t="s">
        <v>47</v>
      </c>
      <c r="E1111" s="1" t="s">
        <v>10</v>
      </c>
      <c r="F1111" s="1">
        <f t="shared" si="34"/>
        <v>730</v>
      </c>
      <c r="G1111" s="5">
        <f t="shared" si="35"/>
        <v>1.2301369863013698</v>
      </c>
    </row>
    <row r="1112" spans="1:7" ht="13">
      <c r="A1112" s="4" t="s">
        <v>116</v>
      </c>
      <c r="B1112" s="1">
        <v>5.6</v>
      </c>
      <c r="C1112" s="1">
        <v>584</v>
      </c>
      <c r="D1112" s="1" t="s">
        <v>11</v>
      </c>
      <c r="E1112" s="1" t="s">
        <v>21</v>
      </c>
      <c r="F1112" s="1">
        <f t="shared" si="34"/>
        <v>560</v>
      </c>
      <c r="G1112" s="5">
        <f t="shared" si="35"/>
        <v>1.0428571428571429</v>
      </c>
    </row>
    <row r="1113" spans="1:7" ht="13">
      <c r="A1113" s="4" t="s">
        <v>116</v>
      </c>
      <c r="B1113" s="1">
        <v>6.4</v>
      </c>
      <c r="C1113" s="1">
        <v>755</v>
      </c>
      <c r="D1113" s="1" t="s">
        <v>85</v>
      </c>
      <c r="E1113" s="1" t="s">
        <v>8</v>
      </c>
      <c r="F1113" s="1">
        <f t="shared" si="34"/>
        <v>640</v>
      </c>
      <c r="G1113" s="5">
        <f t="shared" si="35"/>
        <v>1.1796875</v>
      </c>
    </row>
    <row r="1114" spans="1:7" ht="13">
      <c r="A1114" s="4" t="s">
        <v>116</v>
      </c>
      <c r="B1114" s="1">
        <v>8.1</v>
      </c>
      <c r="C1114" s="1">
        <v>1040</v>
      </c>
      <c r="D1114" s="1" t="s">
        <v>42</v>
      </c>
      <c r="E1114" s="1" t="s">
        <v>10</v>
      </c>
      <c r="F1114" s="1">
        <f t="shared" si="34"/>
        <v>810</v>
      </c>
      <c r="G1114" s="5">
        <f t="shared" si="35"/>
        <v>1.2839506172839505</v>
      </c>
    </row>
    <row r="1115" spans="1:7" ht="13">
      <c r="A1115" s="4" t="s">
        <v>116</v>
      </c>
      <c r="B1115" s="1">
        <v>9.3000000000000007</v>
      </c>
      <c r="C1115" s="1">
        <v>1095</v>
      </c>
      <c r="D1115" s="1" t="s">
        <v>45</v>
      </c>
      <c r="E1115" s="1" t="s">
        <v>10</v>
      </c>
      <c r="F1115" s="1">
        <f t="shared" si="34"/>
        <v>930.00000000000011</v>
      </c>
      <c r="G1115" s="5">
        <f t="shared" si="35"/>
        <v>1.1774193548387095</v>
      </c>
    </row>
    <row r="1116" spans="1:7" ht="13">
      <c r="A1116" s="4" t="s">
        <v>116</v>
      </c>
      <c r="B1116" s="1">
        <v>8.1</v>
      </c>
      <c r="C1116" s="1">
        <v>863</v>
      </c>
      <c r="D1116" s="1" t="s">
        <v>35</v>
      </c>
      <c r="E1116" s="1" t="s">
        <v>7</v>
      </c>
      <c r="F1116" s="1">
        <f t="shared" si="34"/>
        <v>810</v>
      </c>
      <c r="G1116" s="5">
        <f t="shared" si="35"/>
        <v>1.065432098765432</v>
      </c>
    </row>
    <row r="1117" spans="1:7" ht="13">
      <c r="A1117" s="4" t="s">
        <v>116</v>
      </c>
      <c r="B1117" s="1">
        <v>7.8</v>
      </c>
      <c r="C1117" s="1">
        <v>835</v>
      </c>
      <c r="D1117" s="1" t="s">
        <v>47</v>
      </c>
      <c r="E1117" s="1" t="s">
        <v>23</v>
      </c>
      <c r="F1117" s="1">
        <f t="shared" si="34"/>
        <v>780</v>
      </c>
      <c r="G1117" s="5">
        <f t="shared" si="35"/>
        <v>1.0705128205128205</v>
      </c>
    </row>
    <row r="1118" spans="1:7" ht="13">
      <c r="A1118" s="4" t="s">
        <v>116</v>
      </c>
      <c r="B1118" s="1">
        <v>5.6</v>
      </c>
      <c r="C1118" s="1">
        <v>564</v>
      </c>
      <c r="D1118" s="1" t="s">
        <v>53</v>
      </c>
      <c r="E1118" s="1" t="s">
        <v>8</v>
      </c>
      <c r="F1118" s="1">
        <f t="shared" si="34"/>
        <v>560</v>
      </c>
      <c r="G1118" s="5">
        <f t="shared" si="35"/>
        <v>1.0071428571428571</v>
      </c>
    </row>
    <row r="1119" spans="1:7" ht="13">
      <c r="A1119" s="4" t="s">
        <v>116</v>
      </c>
      <c r="B1119" s="1">
        <v>5.1100000000000003</v>
      </c>
      <c r="C1119" s="1">
        <v>569</v>
      </c>
      <c r="D1119" s="1" t="s">
        <v>43</v>
      </c>
      <c r="E1119" s="1" t="s">
        <v>8</v>
      </c>
      <c r="F1119" s="1">
        <f t="shared" si="34"/>
        <v>511.00000000000006</v>
      </c>
      <c r="G1119" s="5">
        <f t="shared" si="35"/>
        <v>1.1135029354207435</v>
      </c>
    </row>
    <row r="1120" spans="1:7" ht="13">
      <c r="A1120" s="4" t="s">
        <v>116</v>
      </c>
      <c r="B1120" s="1">
        <v>6.96</v>
      </c>
      <c r="C1120" s="1">
        <v>973</v>
      </c>
      <c r="D1120" s="1" t="s">
        <v>38</v>
      </c>
      <c r="E1120" s="1" t="s">
        <v>8</v>
      </c>
      <c r="F1120" s="1">
        <f t="shared" ref="F1120:F1183" si="36">B1120*100</f>
        <v>696</v>
      </c>
      <c r="G1120" s="5">
        <f t="shared" si="35"/>
        <v>1.3979885057471264</v>
      </c>
    </row>
    <row r="1121" spans="1:7" ht="13">
      <c r="A1121" s="4" t="s">
        <v>116</v>
      </c>
      <c r="B1121" s="1">
        <v>9.1999999999999993</v>
      </c>
      <c r="C1121" s="1">
        <v>1080</v>
      </c>
      <c r="D1121" s="1" t="s">
        <v>33</v>
      </c>
      <c r="E1121" s="1" t="s">
        <v>20</v>
      </c>
      <c r="F1121" s="1">
        <f t="shared" si="36"/>
        <v>919.99999999999989</v>
      </c>
      <c r="G1121" s="5">
        <f t="shared" si="35"/>
        <v>1.173913043478261</v>
      </c>
    </row>
    <row r="1122" spans="1:7" ht="13">
      <c r="A1122" s="4" t="s">
        <v>116</v>
      </c>
      <c r="B1122" s="1">
        <v>4.8</v>
      </c>
      <c r="C1122" s="1">
        <v>430</v>
      </c>
      <c r="D1122" s="1" t="s">
        <v>43</v>
      </c>
      <c r="E1122" s="1" t="s">
        <v>22</v>
      </c>
      <c r="F1122" s="1">
        <f t="shared" si="36"/>
        <v>480</v>
      </c>
      <c r="G1122" s="5">
        <f t="shared" si="35"/>
        <v>0.89583333333333337</v>
      </c>
    </row>
    <row r="1123" spans="1:7" ht="13">
      <c r="A1123" s="4" t="s">
        <v>116</v>
      </c>
      <c r="B1123" s="1">
        <v>9.1999999999999993</v>
      </c>
      <c r="C1123" s="1">
        <v>1080</v>
      </c>
      <c r="D1123" s="1" t="s">
        <v>33</v>
      </c>
      <c r="E1123" s="1" t="s">
        <v>20</v>
      </c>
      <c r="F1123" s="1">
        <f t="shared" si="36"/>
        <v>919.99999999999989</v>
      </c>
      <c r="G1123" s="5">
        <f t="shared" si="35"/>
        <v>1.173913043478261</v>
      </c>
    </row>
    <row r="1124" spans="1:7" ht="13">
      <c r="A1124" s="4" t="s">
        <v>116</v>
      </c>
      <c r="B1124" s="1">
        <v>9.5</v>
      </c>
      <c r="C1124" s="1">
        <v>1113</v>
      </c>
      <c r="D1124" s="1" t="s">
        <v>90</v>
      </c>
      <c r="E1124" s="1" t="s">
        <v>26</v>
      </c>
      <c r="F1124" s="1">
        <f t="shared" si="36"/>
        <v>950</v>
      </c>
      <c r="G1124" s="5">
        <f t="shared" si="35"/>
        <v>1.1715789473684211</v>
      </c>
    </row>
    <row r="1125" spans="1:7" ht="13">
      <c r="A1125" s="4" t="s">
        <v>116</v>
      </c>
      <c r="B1125" s="1">
        <v>8.6</v>
      </c>
      <c r="C1125" s="1">
        <v>954</v>
      </c>
      <c r="D1125" s="1" t="s">
        <v>40</v>
      </c>
      <c r="E1125" s="1" t="s">
        <v>9</v>
      </c>
      <c r="F1125" s="1">
        <f t="shared" si="36"/>
        <v>860</v>
      </c>
      <c r="G1125" s="5">
        <f t="shared" si="35"/>
        <v>1.1093023255813954</v>
      </c>
    </row>
    <row r="1126" spans="1:7" ht="13">
      <c r="A1126" s="4" t="s">
        <v>116</v>
      </c>
      <c r="B1126" s="1">
        <v>7.36</v>
      </c>
      <c r="C1126" s="1">
        <v>770</v>
      </c>
      <c r="D1126" s="1" t="s">
        <v>37</v>
      </c>
      <c r="E1126" s="1" t="s">
        <v>15</v>
      </c>
      <c r="F1126" s="1">
        <f t="shared" si="36"/>
        <v>736</v>
      </c>
      <c r="G1126" s="5">
        <f t="shared" si="35"/>
        <v>1.0461956521739131</v>
      </c>
    </row>
    <row r="1127" spans="1:7" ht="13">
      <c r="A1127" s="4" t="s">
        <v>116</v>
      </c>
      <c r="B1127" s="1">
        <v>6.24</v>
      </c>
      <c r="C1127" s="1">
        <v>592</v>
      </c>
      <c r="D1127" s="1" t="s">
        <v>33</v>
      </c>
      <c r="E1127" s="1" t="s">
        <v>15</v>
      </c>
      <c r="F1127" s="1">
        <f t="shared" si="36"/>
        <v>624</v>
      </c>
      <c r="G1127" s="5">
        <f t="shared" si="35"/>
        <v>0.94871794871794868</v>
      </c>
    </row>
    <row r="1128" spans="1:7" ht="13">
      <c r="A1128" s="4" t="s">
        <v>116</v>
      </c>
      <c r="B1128" s="1">
        <v>5.25</v>
      </c>
      <c r="C1128" s="1">
        <v>640</v>
      </c>
      <c r="D1128" s="1" t="s">
        <v>47</v>
      </c>
      <c r="E1128" s="1" t="s">
        <v>26</v>
      </c>
      <c r="F1128" s="1">
        <f t="shared" si="36"/>
        <v>525</v>
      </c>
      <c r="G1128" s="5">
        <f t="shared" si="35"/>
        <v>1.2190476190476192</v>
      </c>
    </row>
    <row r="1129" spans="1:7" ht="13">
      <c r="A1129" s="4" t="s">
        <v>116</v>
      </c>
      <c r="B1129" s="1">
        <v>4.5599999999999996</v>
      </c>
      <c r="C1129" s="1">
        <v>533</v>
      </c>
      <c r="D1129" s="1" t="s">
        <v>33</v>
      </c>
      <c r="E1129" s="1" t="s">
        <v>17</v>
      </c>
      <c r="F1129" s="1">
        <f t="shared" si="36"/>
        <v>455.99999999999994</v>
      </c>
      <c r="G1129" s="5">
        <f t="shared" si="35"/>
        <v>1.1688596491228072</v>
      </c>
    </row>
    <row r="1130" spans="1:7" ht="13">
      <c r="A1130" s="4" t="s">
        <v>116</v>
      </c>
      <c r="B1130" s="1">
        <v>7.94</v>
      </c>
      <c r="C1130" s="1">
        <v>877</v>
      </c>
      <c r="D1130" s="1" t="s">
        <v>42</v>
      </c>
      <c r="E1130" s="1" t="s">
        <v>17</v>
      </c>
      <c r="F1130" s="1">
        <f t="shared" si="36"/>
        <v>794</v>
      </c>
      <c r="G1130" s="5">
        <f t="shared" si="35"/>
        <v>1.1045340050377834</v>
      </c>
    </row>
    <row r="1131" spans="1:7" ht="13">
      <c r="A1131" s="4" t="s">
        <v>116</v>
      </c>
      <c r="B1131" s="1">
        <v>9.6</v>
      </c>
      <c r="C1131" s="1">
        <v>939</v>
      </c>
      <c r="D1131" s="1" t="s">
        <v>88</v>
      </c>
      <c r="E1131" s="1" t="s">
        <v>26</v>
      </c>
      <c r="F1131" s="1">
        <f t="shared" si="36"/>
        <v>960</v>
      </c>
      <c r="G1131" s="5">
        <f t="shared" si="35"/>
        <v>0.97812500000000002</v>
      </c>
    </row>
    <row r="1132" spans="1:7" ht="13">
      <c r="A1132" s="4" t="s">
        <v>116</v>
      </c>
      <c r="B1132" s="1">
        <v>6.56</v>
      </c>
      <c r="C1132" s="1">
        <v>768</v>
      </c>
      <c r="D1132" s="1" t="s">
        <v>11</v>
      </c>
      <c r="E1132" s="1" t="s">
        <v>18</v>
      </c>
      <c r="F1132" s="1">
        <f t="shared" si="36"/>
        <v>656</v>
      </c>
      <c r="G1132" s="5">
        <f t="shared" si="35"/>
        <v>1.1707317073170731</v>
      </c>
    </row>
    <row r="1133" spans="1:7" ht="13">
      <c r="A1133" s="4" t="s">
        <v>116</v>
      </c>
      <c r="B1133" s="1">
        <v>8.6</v>
      </c>
      <c r="C1133" s="1">
        <v>917.37</v>
      </c>
      <c r="D1133" s="1" t="s">
        <v>39</v>
      </c>
      <c r="E1133" s="1" t="s">
        <v>17</v>
      </c>
      <c r="F1133" s="1">
        <f t="shared" si="36"/>
        <v>860</v>
      </c>
      <c r="G1133" s="5">
        <f t="shared" si="35"/>
        <v>1.0667093023255814</v>
      </c>
    </row>
    <row r="1134" spans="1:7" ht="13">
      <c r="A1134" s="4" t="s">
        <v>116</v>
      </c>
      <c r="B1134" s="1">
        <v>5.0999999999999996</v>
      </c>
      <c r="C1134" s="1">
        <v>524</v>
      </c>
      <c r="D1134" s="1" t="s">
        <v>33</v>
      </c>
      <c r="E1134" s="1" t="s">
        <v>15</v>
      </c>
      <c r="F1134" s="1">
        <f t="shared" si="36"/>
        <v>509.99999999999994</v>
      </c>
      <c r="G1134" s="5">
        <f t="shared" si="35"/>
        <v>1.027450980392157</v>
      </c>
    </row>
    <row r="1135" spans="1:7" ht="13">
      <c r="A1135" s="4" t="s">
        <v>116</v>
      </c>
      <c r="B1135" s="1">
        <v>6</v>
      </c>
      <c r="C1135" s="1">
        <v>701</v>
      </c>
      <c r="D1135" s="1" t="s">
        <v>11</v>
      </c>
      <c r="E1135" s="1" t="s">
        <v>28</v>
      </c>
      <c r="F1135" s="1">
        <f t="shared" si="36"/>
        <v>600</v>
      </c>
      <c r="G1135" s="5">
        <f t="shared" si="35"/>
        <v>1.1683333333333332</v>
      </c>
    </row>
    <row r="1136" spans="1:7" ht="13">
      <c r="A1136" s="4" t="s">
        <v>116</v>
      </c>
      <c r="B1136" s="1">
        <v>6</v>
      </c>
      <c r="C1136" s="1">
        <v>608</v>
      </c>
      <c r="D1136" s="1" t="s">
        <v>39</v>
      </c>
      <c r="E1136" s="1" t="s">
        <v>30</v>
      </c>
      <c r="F1136" s="1">
        <f t="shared" si="36"/>
        <v>600</v>
      </c>
      <c r="G1136" s="5">
        <f t="shared" si="35"/>
        <v>1.0133333333333334</v>
      </c>
    </row>
    <row r="1137" spans="1:7" ht="13">
      <c r="A1137" s="4" t="s">
        <v>116</v>
      </c>
      <c r="B1137" s="1">
        <v>4.8</v>
      </c>
      <c r="C1137" s="1">
        <v>526</v>
      </c>
      <c r="D1137" s="1" t="s">
        <v>39</v>
      </c>
      <c r="E1137" s="1" t="s">
        <v>16</v>
      </c>
      <c r="F1137" s="1">
        <f t="shared" si="36"/>
        <v>480</v>
      </c>
      <c r="G1137" s="5">
        <f t="shared" si="35"/>
        <v>1.0958333333333334</v>
      </c>
    </row>
    <row r="1138" spans="1:7" ht="13">
      <c r="A1138" s="4" t="s">
        <v>116</v>
      </c>
      <c r="B1138" s="1">
        <v>8.6999999999999993</v>
      </c>
      <c r="C1138" s="1">
        <v>756</v>
      </c>
      <c r="D1138" s="1" t="s">
        <v>39</v>
      </c>
      <c r="E1138" s="1" t="s">
        <v>15</v>
      </c>
      <c r="F1138" s="1">
        <f t="shared" si="36"/>
        <v>869.99999999999989</v>
      </c>
      <c r="G1138" s="5">
        <f t="shared" si="35"/>
        <v>0.86896551724137938</v>
      </c>
    </row>
    <row r="1139" spans="1:7" ht="13">
      <c r="A1139" s="4" t="s">
        <v>116</v>
      </c>
      <c r="B1139" s="1">
        <v>6.09</v>
      </c>
      <c r="C1139" s="1">
        <v>500</v>
      </c>
      <c r="D1139" s="1" t="s">
        <v>42</v>
      </c>
      <c r="E1139" s="1" t="s">
        <v>15</v>
      </c>
      <c r="F1139" s="1">
        <f t="shared" si="36"/>
        <v>609</v>
      </c>
      <c r="G1139" s="5">
        <f t="shared" si="35"/>
        <v>0.82101806239737274</v>
      </c>
    </row>
    <row r="1140" spans="1:7" ht="13">
      <c r="A1140" s="4" t="s">
        <v>116</v>
      </c>
      <c r="B1140" s="1">
        <v>6</v>
      </c>
      <c r="C1140" s="1">
        <v>720</v>
      </c>
      <c r="D1140" s="1" t="s">
        <v>39</v>
      </c>
      <c r="E1140" s="1" t="s">
        <v>9</v>
      </c>
      <c r="F1140" s="1">
        <f t="shared" si="36"/>
        <v>600</v>
      </c>
      <c r="G1140" s="5">
        <f t="shared" si="35"/>
        <v>1.2</v>
      </c>
    </row>
    <row r="1141" spans="1:7" ht="13">
      <c r="A1141" s="4" t="s">
        <v>116</v>
      </c>
      <c r="B1141" s="1">
        <v>7.4</v>
      </c>
      <c r="C1141" s="1">
        <v>820</v>
      </c>
      <c r="D1141" s="1" t="s">
        <v>11</v>
      </c>
      <c r="E1141" s="1" t="s">
        <v>20</v>
      </c>
      <c r="F1141" s="1">
        <f t="shared" si="36"/>
        <v>740</v>
      </c>
      <c r="G1141" s="5">
        <f t="shared" si="35"/>
        <v>1.1081081081081081</v>
      </c>
    </row>
    <row r="1142" spans="1:7" ht="13">
      <c r="A1142" s="4" t="s">
        <v>116</v>
      </c>
      <c r="B1142" s="1">
        <v>7.74</v>
      </c>
      <c r="C1142" s="1">
        <v>840</v>
      </c>
      <c r="D1142" s="1" t="s">
        <v>91</v>
      </c>
      <c r="E1142" s="1" t="s">
        <v>8</v>
      </c>
      <c r="F1142" s="1">
        <f t="shared" si="36"/>
        <v>774</v>
      </c>
      <c r="G1142" s="5">
        <f t="shared" si="35"/>
        <v>1.0852713178294573</v>
      </c>
    </row>
    <row r="1143" spans="1:7" ht="13">
      <c r="A1143" s="4" t="s">
        <v>116</v>
      </c>
      <c r="B1143" s="1">
        <v>7.2</v>
      </c>
      <c r="C1143" s="1">
        <v>911</v>
      </c>
      <c r="D1143" s="1" t="s">
        <v>42</v>
      </c>
      <c r="E1143" s="1" t="s">
        <v>26</v>
      </c>
      <c r="F1143" s="1">
        <f t="shared" si="36"/>
        <v>720</v>
      </c>
      <c r="G1143" s="5">
        <f t="shared" si="35"/>
        <v>1.2652777777777777</v>
      </c>
    </row>
    <row r="1144" spans="1:7" ht="13">
      <c r="A1144" s="4" t="s">
        <v>116</v>
      </c>
      <c r="B1144" s="1">
        <v>3.44</v>
      </c>
      <c r="C1144" s="1">
        <v>478</v>
      </c>
      <c r="D1144" s="1" t="s">
        <v>43</v>
      </c>
      <c r="E1144" s="1" t="s">
        <v>8</v>
      </c>
      <c r="F1144" s="1">
        <f t="shared" si="36"/>
        <v>344</v>
      </c>
      <c r="G1144" s="5">
        <f t="shared" si="35"/>
        <v>1.3895348837209303</v>
      </c>
    </row>
    <row r="1145" spans="1:7" ht="13">
      <c r="A1145" s="4" t="s">
        <v>116</v>
      </c>
      <c r="B1145" s="1">
        <v>8.5</v>
      </c>
      <c r="C1145" s="1">
        <v>1080</v>
      </c>
      <c r="D1145" s="1" t="s">
        <v>58</v>
      </c>
      <c r="E1145" s="1" t="s">
        <v>20</v>
      </c>
      <c r="F1145" s="1">
        <f t="shared" si="36"/>
        <v>850</v>
      </c>
      <c r="G1145" s="5">
        <f t="shared" si="35"/>
        <v>1.2705882352941176</v>
      </c>
    </row>
    <row r="1146" spans="1:7" ht="13">
      <c r="A1146" s="4" t="s">
        <v>116</v>
      </c>
      <c r="B1146" s="1">
        <v>7.5</v>
      </c>
      <c r="C1146" s="1">
        <v>758.7</v>
      </c>
      <c r="D1146" s="1" t="s">
        <v>34</v>
      </c>
      <c r="E1146" s="1" t="s">
        <v>22</v>
      </c>
      <c r="F1146" s="1">
        <f t="shared" si="36"/>
        <v>750</v>
      </c>
      <c r="G1146" s="5">
        <f t="shared" si="35"/>
        <v>1.0116000000000001</v>
      </c>
    </row>
    <row r="1147" spans="1:7" ht="13">
      <c r="A1147" s="4" t="s">
        <v>116</v>
      </c>
      <c r="B1147" s="1">
        <v>10.199999999999999</v>
      </c>
      <c r="C1147" s="1">
        <v>860</v>
      </c>
      <c r="D1147" s="1" t="s">
        <v>47</v>
      </c>
      <c r="E1147" s="1" t="s">
        <v>7</v>
      </c>
      <c r="F1147" s="1">
        <f t="shared" si="36"/>
        <v>1019.9999999999999</v>
      </c>
      <c r="G1147" s="5">
        <f t="shared" si="35"/>
        <v>0.8431372549019609</v>
      </c>
    </row>
    <row r="1148" spans="1:7" ht="13">
      <c r="A1148" s="4" t="s">
        <v>116</v>
      </c>
      <c r="B1148" s="1">
        <v>4.3</v>
      </c>
      <c r="C1148" s="1">
        <v>551</v>
      </c>
      <c r="D1148" s="1" t="s">
        <v>33</v>
      </c>
      <c r="E1148" s="1" t="s">
        <v>16</v>
      </c>
      <c r="F1148" s="1">
        <f t="shared" si="36"/>
        <v>430</v>
      </c>
      <c r="G1148" s="5">
        <f t="shared" si="35"/>
        <v>1.2813953488372094</v>
      </c>
    </row>
    <row r="1149" spans="1:7" ht="13">
      <c r="A1149" s="4" t="s">
        <v>116</v>
      </c>
      <c r="B1149" s="1">
        <v>6.7</v>
      </c>
      <c r="C1149" s="1">
        <v>781</v>
      </c>
      <c r="D1149" s="1" t="s">
        <v>11</v>
      </c>
      <c r="E1149" s="1" t="s">
        <v>16</v>
      </c>
      <c r="F1149" s="1">
        <f t="shared" si="36"/>
        <v>670</v>
      </c>
      <c r="G1149" s="5">
        <f t="shared" si="35"/>
        <v>1.1656716417910449</v>
      </c>
    </row>
    <row r="1150" spans="1:7" ht="13">
      <c r="A1150" s="4" t="s">
        <v>116</v>
      </c>
      <c r="B1150" s="1">
        <v>5.8</v>
      </c>
      <c r="C1150" s="1">
        <v>618</v>
      </c>
      <c r="D1150" s="1" t="s">
        <v>53</v>
      </c>
      <c r="E1150" s="1" t="s">
        <v>10</v>
      </c>
      <c r="F1150" s="1">
        <f t="shared" si="36"/>
        <v>580</v>
      </c>
      <c r="G1150" s="5">
        <f t="shared" si="35"/>
        <v>1.0655172413793104</v>
      </c>
    </row>
    <row r="1151" spans="1:7" ht="13">
      <c r="A1151" s="4" t="s">
        <v>116</v>
      </c>
      <c r="B1151" s="1">
        <v>6.4</v>
      </c>
      <c r="C1151" s="1">
        <v>750</v>
      </c>
      <c r="D1151" s="1" t="s">
        <v>38</v>
      </c>
      <c r="E1151" s="1" t="s">
        <v>24</v>
      </c>
      <c r="F1151" s="1">
        <f t="shared" si="36"/>
        <v>640</v>
      </c>
      <c r="G1151" s="5">
        <f t="shared" si="35"/>
        <v>1.171875</v>
      </c>
    </row>
    <row r="1152" spans="1:7" ht="13">
      <c r="A1152" s="4" t="s">
        <v>116</v>
      </c>
      <c r="B1152" s="1">
        <v>6.4</v>
      </c>
      <c r="C1152" s="1">
        <v>630</v>
      </c>
      <c r="D1152" s="1" t="s">
        <v>37</v>
      </c>
      <c r="E1152" s="1" t="s">
        <v>20</v>
      </c>
      <c r="F1152" s="1">
        <f t="shared" si="36"/>
        <v>640</v>
      </c>
      <c r="G1152" s="5">
        <f t="shared" si="35"/>
        <v>0.984375</v>
      </c>
    </row>
    <row r="1153" spans="1:7" ht="13">
      <c r="A1153" s="4" t="s">
        <v>116</v>
      </c>
      <c r="B1153" s="1">
        <v>6</v>
      </c>
      <c r="C1153" s="1">
        <v>662</v>
      </c>
      <c r="D1153" s="1" t="s">
        <v>33</v>
      </c>
      <c r="E1153" s="1" t="s">
        <v>16</v>
      </c>
      <c r="F1153" s="1">
        <f t="shared" si="36"/>
        <v>600</v>
      </c>
      <c r="G1153" s="5">
        <f t="shared" si="35"/>
        <v>1.1033333333333333</v>
      </c>
    </row>
    <row r="1154" spans="1:7" ht="13">
      <c r="A1154" s="4" t="s">
        <v>116</v>
      </c>
      <c r="B1154" s="1">
        <v>7</v>
      </c>
      <c r="C1154" s="1">
        <v>887</v>
      </c>
      <c r="D1154" s="1" t="s">
        <v>11</v>
      </c>
      <c r="E1154" s="1" t="s">
        <v>8</v>
      </c>
      <c r="F1154" s="1">
        <f t="shared" si="36"/>
        <v>700</v>
      </c>
      <c r="G1154" s="5">
        <f t="shared" ref="G1154:G1217" si="37">C1154/F1154</f>
        <v>1.2671428571428571</v>
      </c>
    </row>
    <row r="1155" spans="1:7" ht="13">
      <c r="A1155" s="4" t="s">
        <v>116</v>
      </c>
      <c r="B1155" s="1">
        <v>5.2</v>
      </c>
      <c r="C1155" s="1">
        <v>559</v>
      </c>
      <c r="D1155" s="1" t="s">
        <v>39</v>
      </c>
      <c r="E1155" s="1" t="s">
        <v>25</v>
      </c>
      <c r="F1155" s="1">
        <f t="shared" si="36"/>
        <v>520</v>
      </c>
      <c r="G1155" s="5">
        <f t="shared" si="37"/>
        <v>1.075</v>
      </c>
    </row>
    <row r="1156" spans="1:7" ht="13">
      <c r="A1156" s="4" t="s">
        <v>116</v>
      </c>
      <c r="B1156" s="1">
        <v>8.1999999999999993</v>
      </c>
      <c r="C1156" s="1">
        <v>868</v>
      </c>
      <c r="D1156" s="1" t="s">
        <v>67</v>
      </c>
      <c r="E1156" s="1" t="s">
        <v>16</v>
      </c>
      <c r="F1156" s="1">
        <f t="shared" si="36"/>
        <v>819.99999999999989</v>
      </c>
      <c r="G1156" s="5">
        <f t="shared" si="37"/>
        <v>1.0585365853658537</v>
      </c>
    </row>
    <row r="1157" spans="1:7" ht="13">
      <c r="A1157" s="4" t="s">
        <v>116</v>
      </c>
      <c r="B1157" s="1">
        <v>7.74</v>
      </c>
      <c r="C1157" s="1">
        <v>860</v>
      </c>
      <c r="D1157" s="1" t="s">
        <v>33</v>
      </c>
      <c r="E1157" s="1" t="s">
        <v>16</v>
      </c>
      <c r="F1157" s="1">
        <f t="shared" si="36"/>
        <v>774</v>
      </c>
      <c r="G1157" s="5">
        <f t="shared" si="37"/>
        <v>1.1111111111111112</v>
      </c>
    </row>
    <row r="1158" spans="1:7" ht="13">
      <c r="A1158" s="4" t="s">
        <v>116</v>
      </c>
      <c r="B1158" s="1">
        <v>7</v>
      </c>
      <c r="C1158" s="1">
        <v>745</v>
      </c>
      <c r="D1158" s="1" t="s">
        <v>33</v>
      </c>
      <c r="E1158" s="1" t="s">
        <v>20</v>
      </c>
      <c r="F1158" s="1">
        <f t="shared" si="36"/>
        <v>700</v>
      </c>
      <c r="G1158" s="5">
        <f t="shared" si="37"/>
        <v>1.0642857142857143</v>
      </c>
    </row>
    <row r="1159" spans="1:7" ht="13">
      <c r="A1159" s="4" t="s">
        <v>116</v>
      </c>
      <c r="B1159" s="1">
        <v>5</v>
      </c>
      <c r="C1159" s="1">
        <v>605</v>
      </c>
      <c r="D1159" s="1" t="s">
        <v>11</v>
      </c>
      <c r="E1159" s="1" t="s">
        <v>22</v>
      </c>
      <c r="F1159" s="1">
        <f t="shared" si="36"/>
        <v>500</v>
      </c>
      <c r="G1159" s="5">
        <f t="shared" si="37"/>
        <v>1.21</v>
      </c>
    </row>
    <row r="1160" spans="1:7" ht="13">
      <c r="A1160" s="4" t="s">
        <v>116</v>
      </c>
      <c r="B1160" s="1">
        <v>6</v>
      </c>
      <c r="C1160" s="1">
        <v>673</v>
      </c>
      <c r="D1160" s="1" t="s">
        <v>11</v>
      </c>
      <c r="E1160" s="1" t="s">
        <v>17</v>
      </c>
      <c r="F1160" s="1">
        <f t="shared" si="36"/>
        <v>600</v>
      </c>
      <c r="G1160" s="5">
        <f t="shared" si="37"/>
        <v>1.1216666666666666</v>
      </c>
    </row>
    <row r="1161" spans="1:7" ht="13">
      <c r="A1161" s="4" t="s">
        <v>116</v>
      </c>
      <c r="B1161" s="1">
        <v>6.88</v>
      </c>
      <c r="C1161" s="1">
        <v>867</v>
      </c>
      <c r="D1161" s="1" t="s">
        <v>11</v>
      </c>
      <c r="E1161" s="1" t="s">
        <v>8</v>
      </c>
      <c r="F1161" s="1">
        <f t="shared" si="36"/>
        <v>688</v>
      </c>
      <c r="G1161" s="5">
        <f t="shared" si="37"/>
        <v>1.2601744186046511</v>
      </c>
    </row>
    <row r="1162" spans="1:7" ht="13">
      <c r="A1162" s="4" t="s">
        <v>116</v>
      </c>
      <c r="B1162" s="1">
        <v>10</v>
      </c>
      <c r="C1162" s="1">
        <v>934</v>
      </c>
      <c r="D1162" s="1" t="s">
        <v>43</v>
      </c>
      <c r="E1162" s="1" t="s">
        <v>20</v>
      </c>
      <c r="F1162" s="1">
        <f t="shared" si="36"/>
        <v>1000</v>
      </c>
      <c r="G1162" s="5">
        <f t="shared" si="37"/>
        <v>0.93400000000000005</v>
      </c>
    </row>
    <row r="1163" spans="1:7" ht="13">
      <c r="A1163" s="4" t="s">
        <v>116</v>
      </c>
      <c r="B1163" s="1">
        <v>6.4</v>
      </c>
      <c r="C1163" s="1">
        <v>707.62</v>
      </c>
      <c r="D1163" s="1" t="s">
        <v>33</v>
      </c>
      <c r="E1163" s="1" t="s">
        <v>15</v>
      </c>
      <c r="F1163" s="1">
        <f t="shared" si="36"/>
        <v>640</v>
      </c>
      <c r="G1163" s="5">
        <f t="shared" si="37"/>
        <v>1.10565625</v>
      </c>
    </row>
    <row r="1164" spans="1:7" ht="13">
      <c r="A1164" s="4" t="s">
        <v>116</v>
      </c>
      <c r="B1164" s="1">
        <v>6.72</v>
      </c>
      <c r="C1164" s="1">
        <v>677</v>
      </c>
      <c r="D1164" s="1" t="s">
        <v>33</v>
      </c>
      <c r="E1164" s="1" t="s">
        <v>27</v>
      </c>
      <c r="F1164" s="1">
        <f t="shared" si="36"/>
        <v>672</v>
      </c>
      <c r="G1164" s="5">
        <f t="shared" si="37"/>
        <v>1.0074404761904763</v>
      </c>
    </row>
    <row r="1165" spans="1:7" ht="13">
      <c r="A1165" s="4" t="s">
        <v>116</v>
      </c>
      <c r="B1165" s="1">
        <v>8.6</v>
      </c>
      <c r="C1165" s="1">
        <v>915</v>
      </c>
      <c r="D1165" s="1" t="s">
        <v>11</v>
      </c>
      <c r="E1165" s="1" t="s">
        <v>68</v>
      </c>
      <c r="F1165" s="1">
        <f t="shared" si="36"/>
        <v>860</v>
      </c>
      <c r="G1165" s="5">
        <f t="shared" si="37"/>
        <v>1.0639534883720929</v>
      </c>
    </row>
    <row r="1166" spans="1:7" ht="13">
      <c r="A1166" s="4" t="s">
        <v>116</v>
      </c>
      <c r="B1166" s="1">
        <v>4.3</v>
      </c>
      <c r="C1166" s="1">
        <v>482</v>
      </c>
      <c r="D1166" s="1" t="s">
        <v>35</v>
      </c>
      <c r="E1166" s="1" t="s">
        <v>31</v>
      </c>
      <c r="F1166" s="1">
        <f t="shared" si="36"/>
        <v>430</v>
      </c>
      <c r="G1166" s="5">
        <f t="shared" si="37"/>
        <v>1.1209302325581396</v>
      </c>
    </row>
    <row r="1167" spans="1:7" ht="13">
      <c r="A1167" s="4" t="s">
        <v>116</v>
      </c>
      <c r="B1167" s="1">
        <v>7.8</v>
      </c>
      <c r="C1167" s="1">
        <v>823</v>
      </c>
      <c r="D1167" s="1" t="s">
        <v>42</v>
      </c>
      <c r="E1167" s="1" t="s">
        <v>49</v>
      </c>
      <c r="F1167" s="1">
        <f t="shared" si="36"/>
        <v>780</v>
      </c>
      <c r="G1167" s="5">
        <f t="shared" si="37"/>
        <v>1.0551282051282052</v>
      </c>
    </row>
    <row r="1168" spans="1:7" ht="13">
      <c r="A1168" s="4" t="s">
        <v>116</v>
      </c>
      <c r="B1168" s="1">
        <v>5.2</v>
      </c>
      <c r="C1168" s="1">
        <v>716</v>
      </c>
      <c r="D1168" s="1" t="s">
        <v>38</v>
      </c>
      <c r="E1168" s="1" t="s">
        <v>15</v>
      </c>
      <c r="F1168" s="1">
        <f t="shared" si="36"/>
        <v>520</v>
      </c>
      <c r="G1168" s="5">
        <f t="shared" si="37"/>
        <v>1.3769230769230769</v>
      </c>
    </row>
    <row r="1169" spans="1:7" ht="13">
      <c r="A1169" s="4" t="s">
        <v>116</v>
      </c>
      <c r="B1169" s="1">
        <v>2.9</v>
      </c>
      <c r="C1169" s="1">
        <v>370</v>
      </c>
      <c r="D1169" s="1" t="s">
        <v>40</v>
      </c>
      <c r="E1169" s="1" t="s">
        <v>16</v>
      </c>
      <c r="F1169" s="1">
        <f t="shared" si="36"/>
        <v>290</v>
      </c>
      <c r="G1169" s="5">
        <f t="shared" si="37"/>
        <v>1.2758620689655173</v>
      </c>
    </row>
    <row r="1170" spans="1:7" ht="13">
      <c r="A1170" s="4" t="s">
        <v>116</v>
      </c>
      <c r="B1170" s="1">
        <v>6.3</v>
      </c>
      <c r="C1170" s="1">
        <v>714</v>
      </c>
      <c r="D1170" s="1" t="s">
        <v>59</v>
      </c>
      <c r="E1170" s="1" t="s">
        <v>8</v>
      </c>
      <c r="F1170" s="1">
        <f t="shared" si="36"/>
        <v>630</v>
      </c>
      <c r="G1170" s="5">
        <f t="shared" si="37"/>
        <v>1.1333333333333333</v>
      </c>
    </row>
    <row r="1171" spans="1:7" ht="13">
      <c r="A1171" s="4" t="s">
        <v>116</v>
      </c>
      <c r="B1171" s="1">
        <v>6.72</v>
      </c>
      <c r="C1171" s="1">
        <v>843</v>
      </c>
      <c r="D1171" s="1" t="s">
        <v>11</v>
      </c>
      <c r="E1171" s="1" t="s">
        <v>15</v>
      </c>
      <c r="F1171" s="1">
        <f t="shared" si="36"/>
        <v>672</v>
      </c>
      <c r="G1171" s="5">
        <f t="shared" si="37"/>
        <v>1.2544642857142858</v>
      </c>
    </row>
    <row r="1172" spans="1:7" ht="13">
      <c r="A1172" s="4" t="s">
        <v>116</v>
      </c>
      <c r="B1172" s="1">
        <v>6</v>
      </c>
      <c r="C1172" s="1">
        <v>930</v>
      </c>
      <c r="D1172" s="1" t="s">
        <v>43</v>
      </c>
      <c r="E1172" s="1" t="s">
        <v>17</v>
      </c>
      <c r="F1172" s="1">
        <f t="shared" si="36"/>
        <v>600</v>
      </c>
      <c r="G1172" s="5">
        <f t="shared" si="37"/>
        <v>1.55</v>
      </c>
    </row>
    <row r="1173" spans="1:7" ht="13">
      <c r="A1173" s="4" t="s">
        <v>116</v>
      </c>
      <c r="B1173" s="1">
        <v>7.56</v>
      </c>
      <c r="C1173" s="1">
        <v>1006</v>
      </c>
      <c r="D1173" s="1" t="s">
        <v>11</v>
      </c>
      <c r="E1173" s="1" t="s">
        <v>9</v>
      </c>
      <c r="F1173" s="1">
        <f t="shared" si="36"/>
        <v>756</v>
      </c>
      <c r="G1173" s="5">
        <f t="shared" si="37"/>
        <v>1.3306878306878307</v>
      </c>
    </row>
    <row r="1174" spans="1:7" ht="13">
      <c r="A1174" s="4" t="s">
        <v>116</v>
      </c>
      <c r="B1174" s="1">
        <v>2.87</v>
      </c>
      <c r="C1174" s="1">
        <v>387</v>
      </c>
      <c r="D1174" s="1" t="s">
        <v>11</v>
      </c>
      <c r="E1174" s="1" t="s">
        <v>8</v>
      </c>
      <c r="F1174" s="1">
        <f t="shared" si="36"/>
        <v>287</v>
      </c>
      <c r="G1174" s="5">
        <f t="shared" si="37"/>
        <v>1.3484320557491289</v>
      </c>
    </row>
    <row r="1175" spans="1:7" ht="13">
      <c r="A1175" s="4" t="s">
        <v>116</v>
      </c>
      <c r="B1175" s="1">
        <v>6.7</v>
      </c>
      <c r="C1175" s="1">
        <v>934</v>
      </c>
      <c r="D1175" s="1" t="s">
        <v>11</v>
      </c>
      <c r="E1175" s="1" t="s">
        <v>8</v>
      </c>
      <c r="F1175" s="1">
        <f t="shared" si="36"/>
        <v>670</v>
      </c>
      <c r="G1175" s="5">
        <f t="shared" si="37"/>
        <v>1.3940298507462687</v>
      </c>
    </row>
    <row r="1176" spans="1:7" ht="13">
      <c r="A1176" s="4" t="s">
        <v>116</v>
      </c>
      <c r="B1176" s="1">
        <v>6.2</v>
      </c>
      <c r="C1176" s="1">
        <v>673</v>
      </c>
      <c r="D1176" s="1" t="s">
        <v>11</v>
      </c>
      <c r="E1176" s="1" t="s">
        <v>7</v>
      </c>
      <c r="F1176" s="1">
        <f t="shared" si="36"/>
        <v>620</v>
      </c>
      <c r="G1176" s="5">
        <f t="shared" si="37"/>
        <v>1.0854838709677419</v>
      </c>
    </row>
    <row r="1177" spans="1:7" ht="13">
      <c r="A1177" s="4" t="s">
        <v>116</v>
      </c>
      <c r="B1177" s="1">
        <v>8.9</v>
      </c>
      <c r="C1177" s="1">
        <v>805</v>
      </c>
      <c r="D1177" s="1" t="s">
        <v>43</v>
      </c>
      <c r="E1177" s="1" t="s">
        <v>25</v>
      </c>
      <c r="F1177" s="1">
        <f t="shared" si="36"/>
        <v>890</v>
      </c>
      <c r="G1177" s="5">
        <f t="shared" si="37"/>
        <v>0.9044943820224719</v>
      </c>
    </row>
    <row r="1178" spans="1:7" ht="13">
      <c r="A1178" s="4" t="s">
        <v>116</v>
      </c>
      <c r="B1178" s="1">
        <v>5.4</v>
      </c>
      <c r="C1178" s="1">
        <v>628</v>
      </c>
      <c r="D1178" s="1" t="s">
        <v>35</v>
      </c>
      <c r="E1178" s="1" t="s">
        <v>8</v>
      </c>
      <c r="F1178" s="1">
        <f t="shared" si="36"/>
        <v>540</v>
      </c>
      <c r="G1178" s="5">
        <f t="shared" si="37"/>
        <v>1.162962962962963</v>
      </c>
    </row>
    <row r="1179" spans="1:7" ht="13">
      <c r="A1179" s="4" t="s">
        <v>116</v>
      </c>
      <c r="B1179" s="1">
        <v>6.22</v>
      </c>
      <c r="C1179" s="1">
        <v>755</v>
      </c>
      <c r="D1179" s="1" t="s">
        <v>11</v>
      </c>
      <c r="E1179" s="1" t="s">
        <v>16</v>
      </c>
      <c r="F1179" s="1">
        <f t="shared" si="36"/>
        <v>622</v>
      </c>
      <c r="G1179" s="5">
        <f t="shared" si="37"/>
        <v>1.2138263665594855</v>
      </c>
    </row>
    <row r="1180" spans="1:7" ht="13">
      <c r="A1180" s="4" t="s">
        <v>116</v>
      </c>
      <c r="B1180" s="1">
        <v>4.51</v>
      </c>
      <c r="C1180" s="1">
        <v>451</v>
      </c>
      <c r="D1180" s="1" t="s">
        <v>43</v>
      </c>
      <c r="E1180" s="1" t="s">
        <v>16</v>
      </c>
      <c r="F1180" s="1">
        <f t="shared" si="36"/>
        <v>451</v>
      </c>
      <c r="G1180" s="5">
        <f t="shared" si="37"/>
        <v>1</v>
      </c>
    </row>
    <row r="1181" spans="1:7" ht="13">
      <c r="A1181" s="4" t="s">
        <v>116</v>
      </c>
      <c r="B1181" s="1">
        <v>8.4</v>
      </c>
      <c r="C1181" s="1">
        <v>931</v>
      </c>
      <c r="D1181" s="1" t="s">
        <v>33</v>
      </c>
      <c r="E1181" s="1" t="s">
        <v>10</v>
      </c>
      <c r="F1181" s="1">
        <f t="shared" si="36"/>
        <v>840</v>
      </c>
      <c r="G1181" s="5">
        <f t="shared" si="37"/>
        <v>1.1083333333333334</v>
      </c>
    </row>
    <row r="1182" spans="1:7" ht="13">
      <c r="A1182" s="4" t="s">
        <v>116</v>
      </c>
      <c r="B1182" s="1">
        <v>6.88</v>
      </c>
      <c r="C1182" s="1">
        <v>766</v>
      </c>
      <c r="D1182" s="1" t="s">
        <v>53</v>
      </c>
      <c r="E1182" s="1" t="s">
        <v>16</v>
      </c>
      <c r="F1182" s="1">
        <f t="shared" si="36"/>
        <v>688</v>
      </c>
      <c r="G1182" s="5">
        <f t="shared" si="37"/>
        <v>1.1133720930232558</v>
      </c>
    </row>
    <row r="1183" spans="1:7" ht="13">
      <c r="A1183" s="4" t="s">
        <v>116</v>
      </c>
      <c r="B1183" s="1">
        <v>6.96</v>
      </c>
      <c r="C1183" s="1">
        <v>794</v>
      </c>
      <c r="D1183" s="1" t="s">
        <v>92</v>
      </c>
      <c r="E1183" s="1" t="s">
        <v>9</v>
      </c>
      <c r="F1183" s="1">
        <f t="shared" si="36"/>
        <v>696</v>
      </c>
      <c r="G1183" s="5">
        <f t="shared" si="37"/>
        <v>1.1408045977011494</v>
      </c>
    </row>
    <row r="1184" spans="1:7" ht="13">
      <c r="A1184" s="4" t="s">
        <v>116</v>
      </c>
      <c r="B1184" s="1">
        <v>7.8</v>
      </c>
      <c r="C1184" s="1">
        <v>845</v>
      </c>
      <c r="D1184" s="1" t="s">
        <v>40</v>
      </c>
      <c r="E1184" s="1" t="s">
        <v>15</v>
      </c>
      <c r="F1184" s="1">
        <f t="shared" ref="F1184:F1247" si="38">B1184*100</f>
        <v>780</v>
      </c>
      <c r="G1184" s="5">
        <f t="shared" si="37"/>
        <v>1.0833333333333333</v>
      </c>
    </row>
    <row r="1185" spans="1:7" ht="13">
      <c r="A1185" s="4" t="s">
        <v>116</v>
      </c>
      <c r="B1185" s="1">
        <v>7.3949999999999996</v>
      </c>
      <c r="C1185" s="1">
        <v>828</v>
      </c>
      <c r="D1185" s="1" t="s">
        <v>11</v>
      </c>
      <c r="E1185" s="1" t="s">
        <v>20</v>
      </c>
      <c r="F1185" s="1">
        <f t="shared" si="38"/>
        <v>739.5</v>
      </c>
      <c r="G1185" s="5">
        <f t="shared" si="37"/>
        <v>1.1196754563894524</v>
      </c>
    </row>
    <row r="1186" spans="1:7" ht="13">
      <c r="A1186" s="4" t="s">
        <v>116</v>
      </c>
      <c r="B1186" s="1">
        <v>5.6</v>
      </c>
      <c r="C1186" s="1">
        <v>680</v>
      </c>
      <c r="D1186" s="1" t="s">
        <v>33</v>
      </c>
      <c r="E1186" s="1" t="s">
        <v>12</v>
      </c>
      <c r="F1186" s="1">
        <f t="shared" si="38"/>
        <v>560</v>
      </c>
      <c r="G1186" s="5">
        <f t="shared" si="37"/>
        <v>1.2142857142857142</v>
      </c>
    </row>
    <row r="1187" spans="1:7" ht="13">
      <c r="A1187" s="4" t="s">
        <v>116</v>
      </c>
      <c r="B1187" s="1">
        <v>6.96</v>
      </c>
      <c r="C1187" s="1">
        <v>775</v>
      </c>
      <c r="D1187" s="1" t="s">
        <v>11</v>
      </c>
      <c r="E1187" s="1" t="s">
        <v>26</v>
      </c>
      <c r="F1187" s="1">
        <f t="shared" si="38"/>
        <v>696</v>
      </c>
      <c r="G1187" s="5">
        <f t="shared" si="37"/>
        <v>1.1135057471264367</v>
      </c>
    </row>
    <row r="1188" spans="1:7" ht="13">
      <c r="A1188" s="4" t="s">
        <v>116</v>
      </c>
      <c r="B1188" s="1">
        <v>7.4</v>
      </c>
      <c r="C1188" s="1">
        <v>794</v>
      </c>
      <c r="D1188" s="1" t="s">
        <v>47</v>
      </c>
      <c r="E1188" s="1" t="s">
        <v>17</v>
      </c>
      <c r="F1188" s="1">
        <f t="shared" si="38"/>
        <v>740</v>
      </c>
      <c r="G1188" s="5">
        <f t="shared" si="37"/>
        <v>1.0729729729729729</v>
      </c>
    </row>
    <row r="1189" spans="1:7" ht="13">
      <c r="A1189" s="4" t="s">
        <v>116</v>
      </c>
      <c r="B1189" s="1">
        <v>5.6</v>
      </c>
      <c r="C1189" s="1">
        <v>648</v>
      </c>
      <c r="D1189" s="1" t="s">
        <v>11</v>
      </c>
      <c r="E1189" s="1" t="s">
        <v>68</v>
      </c>
      <c r="F1189" s="1">
        <f t="shared" si="38"/>
        <v>560</v>
      </c>
      <c r="G1189" s="5">
        <f t="shared" si="37"/>
        <v>1.1571428571428573</v>
      </c>
    </row>
    <row r="1190" spans="1:7" ht="13">
      <c r="A1190" s="4" t="s">
        <v>116</v>
      </c>
      <c r="B1190" s="1">
        <v>4</v>
      </c>
      <c r="C1190" s="1">
        <v>492</v>
      </c>
      <c r="D1190" s="1" t="s">
        <v>11</v>
      </c>
      <c r="E1190" s="1" t="s">
        <v>9</v>
      </c>
      <c r="F1190" s="1">
        <f t="shared" si="38"/>
        <v>400</v>
      </c>
      <c r="G1190" s="5">
        <f t="shared" si="37"/>
        <v>1.23</v>
      </c>
    </row>
    <row r="1191" spans="1:7" ht="13">
      <c r="A1191" s="4" t="s">
        <v>116</v>
      </c>
      <c r="B1191" s="1">
        <v>6.3</v>
      </c>
      <c r="C1191" s="1">
        <v>635</v>
      </c>
      <c r="D1191" s="1" t="s">
        <v>43</v>
      </c>
      <c r="E1191" s="1" t="s">
        <v>15</v>
      </c>
      <c r="F1191" s="1">
        <f t="shared" si="38"/>
        <v>630</v>
      </c>
      <c r="G1191" s="5">
        <f t="shared" si="37"/>
        <v>1.0079365079365079</v>
      </c>
    </row>
    <row r="1192" spans="1:7" ht="13">
      <c r="A1192" s="4" t="s">
        <v>116</v>
      </c>
      <c r="B1192" s="1">
        <v>13.76</v>
      </c>
      <c r="C1192" s="1">
        <v>1349</v>
      </c>
      <c r="D1192" s="1" t="s">
        <v>33</v>
      </c>
      <c r="E1192" s="1" t="s">
        <v>23</v>
      </c>
      <c r="F1192" s="1">
        <f t="shared" si="38"/>
        <v>1376</v>
      </c>
      <c r="G1192" s="5">
        <f t="shared" si="37"/>
        <v>0.98037790697674421</v>
      </c>
    </row>
    <row r="1193" spans="1:7" ht="13">
      <c r="A1193" s="4" t="s">
        <v>116</v>
      </c>
      <c r="B1193" s="1">
        <v>6.96</v>
      </c>
      <c r="C1193" s="1">
        <v>779</v>
      </c>
      <c r="D1193" s="1" t="s">
        <v>38</v>
      </c>
      <c r="E1193" s="1" t="s">
        <v>8</v>
      </c>
      <c r="F1193" s="1">
        <f t="shared" si="38"/>
        <v>696</v>
      </c>
      <c r="G1193" s="5">
        <f t="shared" si="37"/>
        <v>1.1192528735632183</v>
      </c>
    </row>
    <row r="1194" spans="1:7" ht="13">
      <c r="A1194" s="4" t="s">
        <v>116</v>
      </c>
      <c r="B1194" s="1">
        <v>6.8</v>
      </c>
      <c r="C1194" s="1">
        <v>759</v>
      </c>
      <c r="D1194" s="1" t="s">
        <v>38</v>
      </c>
      <c r="E1194" s="1" t="s">
        <v>41</v>
      </c>
      <c r="F1194" s="1">
        <f t="shared" si="38"/>
        <v>680</v>
      </c>
      <c r="G1194" s="5">
        <f t="shared" si="37"/>
        <v>1.1161764705882353</v>
      </c>
    </row>
    <row r="1195" spans="1:7" ht="13">
      <c r="A1195" s="4" t="s">
        <v>116</v>
      </c>
      <c r="B1195" s="1">
        <v>4.3</v>
      </c>
      <c r="C1195" s="1">
        <v>539</v>
      </c>
      <c r="D1195" s="1" t="s">
        <v>11</v>
      </c>
      <c r="E1195" s="1" t="s">
        <v>15</v>
      </c>
      <c r="F1195" s="1">
        <f t="shared" si="38"/>
        <v>430</v>
      </c>
      <c r="G1195" s="5">
        <f t="shared" si="37"/>
        <v>1.2534883720930232</v>
      </c>
    </row>
    <row r="1196" spans="1:7" ht="13">
      <c r="A1196" s="4" t="s">
        <v>116</v>
      </c>
      <c r="B1196" s="1">
        <v>6</v>
      </c>
      <c r="C1196" s="1">
        <v>42.28</v>
      </c>
      <c r="D1196" s="1" t="s">
        <v>11</v>
      </c>
      <c r="E1196" s="1" t="s">
        <v>27</v>
      </c>
      <c r="F1196" s="1">
        <f t="shared" si="38"/>
        <v>600</v>
      </c>
      <c r="G1196" s="5">
        <f t="shared" si="37"/>
        <v>7.0466666666666664E-2</v>
      </c>
    </row>
    <row r="1197" spans="1:7" ht="13">
      <c r="A1197" s="4" t="s">
        <v>116</v>
      </c>
      <c r="B1197" s="1">
        <v>5.6</v>
      </c>
      <c r="C1197" s="1">
        <v>586</v>
      </c>
      <c r="D1197" s="1" t="s">
        <v>33</v>
      </c>
      <c r="E1197" s="1" t="s">
        <v>8</v>
      </c>
      <c r="F1197" s="1">
        <f t="shared" si="38"/>
        <v>560</v>
      </c>
      <c r="G1197" s="5">
        <f t="shared" si="37"/>
        <v>1.0464285714285715</v>
      </c>
    </row>
    <row r="1198" spans="1:7" ht="13">
      <c r="A1198" s="4" t="s">
        <v>116</v>
      </c>
      <c r="B1198" s="1">
        <v>8.8000000000000007</v>
      </c>
      <c r="C1198" s="1">
        <v>796</v>
      </c>
      <c r="D1198" s="1" t="s">
        <v>47</v>
      </c>
      <c r="E1198" s="1" t="s">
        <v>30</v>
      </c>
      <c r="F1198" s="1">
        <f t="shared" si="38"/>
        <v>880.00000000000011</v>
      </c>
      <c r="G1198" s="5">
        <f t="shared" si="37"/>
        <v>0.90454545454545443</v>
      </c>
    </row>
    <row r="1199" spans="1:7" ht="13">
      <c r="A1199" s="4" t="s">
        <v>116</v>
      </c>
      <c r="B1199" s="1">
        <v>6</v>
      </c>
      <c r="C1199" s="1">
        <v>713</v>
      </c>
      <c r="D1199" s="1" t="s">
        <v>11</v>
      </c>
      <c r="E1199" s="1" t="s">
        <v>27</v>
      </c>
      <c r="F1199" s="1">
        <f t="shared" si="38"/>
        <v>600</v>
      </c>
      <c r="G1199" s="5">
        <f t="shared" si="37"/>
        <v>1.1883333333333332</v>
      </c>
    </row>
    <row r="1200" spans="1:7" ht="13">
      <c r="A1200" s="4" t="s">
        <v>116</v>
      </c>
      <c r="B1200" s="1">
        <v>7.56</v>
      </c>
      <c r="C1200" s="1">
        <v>899</v>
      </c>
      <c r="D1200" s="1" t="s">
        <v>11</v>
      </c>
      <c r="E1200" s="1" t="s">
        <v>7</v>
      </c>
      <c r="F1200" s="1">
        <f t="shared" si="38"/>
        <v>756</v>
      </c>
      <c r="G1200" s="5">
        <f t="shared" si="37"/>
        <v>1.1891534391534391</v>
      </c>
    </row>
    <row r="1201" spans="1:7" ht="13">
      <c r="A1201" s="4" t="s">
        <v>116</v>
      </c>
      <c r="B1201" s="1">
        <v>4.2</v>
      </c>
      <c r="C1201" s="1">
        <v>520</v>
      </c>
      <c r="D1201" s="1" t="s">
        <v>11</v>
      </c>
      <c r="E1201" s="1" t="s">
        <v>15</v>
      </c>
      <c r="F1201" s="1">
        <f t="shared" si="38"/>
        <v>420</v>
      </c>
      <c r="G1201" s="5">
        <f t="shared" si="37"/>
        <v>1.2380952380952381</v>
      </c>
    </row>
    <row r="1202" spans="1:7" ht="13">
      <c r="A1202" s="4" t="s">
        <v>116</v>
      </c>
      <c r="B1202" s="1">
        <v>5.2</v>
      </c>
      <c r="C1202" s="1">
        <v>671</v>
      </c>
      <c r="D1202" s="1" t="s">
        <v>39</v>
      </c>
      <c r="E1202" s="1" t="s">
        <v>8</v>
      </c>
      <c r="F1202" s="1">
        <f t="shared" si="38"/>
        <v>520</v>
      </c>
      <c r="G1202" s="5">
        <f t="shared" si="37"/>
        <v>1.2903846153846155</v>
      </c>
    </row>
    <row r="1203" spans="1:7" ht="13">
      <c r="A1203" s="4" t="s">
        <v>116</v>
      </c>
      <c r="B1203" s="1">
        <v>5</v>
      </c>
      <c r="C1203" s="1">
        <v>645</v>
      </c>
      <c r="D1203" s="1" t="s">
        <v>38</v>
      </c>
      <c r="E1203" s="1" t="s">
        <v>8</v>
      </c>
      <c r="F1203" s="1">
        <f t="shared" si="38"/>
        <v>500</v>
      </c>
      <c r="G1203" s="5">
        <f t="shared" si="37"/>
        <v>1.29</v>
      </c>
    </row>
    <row r="1204" spans="1:7" ht="13">
      <c r="A1204" s="4" t="s">
        <v>116</v>
      </c>
      <c r="B1204" s="1">
        <v>7.74</v>
      </c>
      <c r="C1204" s="1">
        <v>829</v>
      </c>
      <c r="D1204" s="1" t="s">
        <v>11</v>
      </c>
      <c r="E1204" s="1" t="s">
        <v>30</v>
      </c>
      <c r="F1204" s="1">
        <f t="shared" si="38"/>
        <v>774</v>
      </c>
      <c r="G1204" s="5">
        <f t="shared" si="37"/>
        <v>1.0710594315245479</v>
      </c>
    </row>
    <row r="1205" spans="1:7" ht="13">
      <c r="A1205" s="4" t="s">
        <v>116</v>
      </c>
      <c r="B1205" s="1">
        <v>5.92</v>
      </c>
      <c r="C1205" s="1">
        <v>670</v>
      </c>
      <c r="D1205" s="1" t="s">
        <v>11</v>
      </c>
      <c r="E1205" s="1" t="s">
        <v>17</v>
      </c>
      <c r="F1205" s="1">
        <f t="shared" si="38"/>
        <v>592</v>
      </c>
      <c r="G1205" s="5">
        <f t="shared" si="37"/>
        <v>1.1317567567567568</v>
      </c>
    </row>
    <row r="1206" spans="1:7" ht="13">
      <c r="A1206" s="4" t="s">
        <v>116</v>
      </c>
      <c r="B1206" s="1">
        <v>16.5</v>
      </c>
      <c r="C1206" s="1">
        <v>1403</v>
      </c>
      <c r="D1206" s="1" t="s">
        <v>45</v>
      </c>
      <c r="E1206" s="1" t="s">
        <v>25</v>
      </c>
      <c r="F1206" s="1">
        <f t="shared" si="38"/>
        <v>1650</v>
      </c>
      <c r="G1206" s="5">
        <f t="shared" si="37"/>
        <v>0.85030303030303034</v>
      </c>
    </row>
    <row r="1207" spans="1:7" ht="13">
      <c r="A1207" s="4" t="s">
        <v>116</v>
      </c>
      <c r="B1207" s="1">
        <v>5.0999999999999996</v>
      </c>
      <c r="C1207" s="1">
        <v>647</v>
      </c>
      <c r="D1207" s="1" t="s">
        <v>11</v>
      </c>
      <c r="E1207" s="1" t="s">
        <v>26</v>
      </c>
      <c r="F1207" s="1">
        <f t="shared" si="38"/>
        <v>509.99999999999994</v>
      </c>
      <c r="G1207" s="5">
        <f t="shared" si="37"/>
        <v>1.2686274509803923</v>
      </c>
    </row>
    <row r="1208" spans="1:7" ht="13">
      <c r="A1208" s="4" t="s">
        <v>116</v>
      </c>
      <c r="B1208" s="1">
        <v>4.32</v>
      </c>
      <c r="C1208" s="1">
        <v>424</v>
      </c>
      <c r="D1208" s="1" t="s">
        <v>11</v>
      </c>
      <c r="E1208" s="1" t="s">
        <v>12</v>
      </c>
      <c r="F1208" s="1">
        <f t="shared" si="38"/>
        <v>432</v>
      </c>
      <c r="G1208" s="5">
        <f t="shared" si="37"/>
        <v>0.98148148148148151</v>
      </c>
    </row>
    <row r="1209" spans="1:7" ht="13">
      <c r="A1209" s="4" t="s">
        <v>116</v>
      </c>
      <c r="B1209" s="1">
        <v>5</v>
      </c>
      <c r="C1209" s="1">
        <v>798</v>
      </c>
      <c r="D1209" s="1" t="s">
        <v>33</v>
      </c>
      <c r="E1209" s="1" t="s">
        <v>32</v>
      </c>
      <c r="F1209" s="1">
        <f t="shared" si="38"/>
        <v>500</v>
      </c>
      <c r="G1209" s="5">
        <f t="shared" si="37"/>
        <v>1.5960000000000001</v>
      </c>
    </row>
    <row r="1210" spans="1:7" ht="13">
      <c r="A1210" s="4" t="s">
        <v>116</v>
      </c>
      <c r="B1210" s="1">
        <v>4.7</v>
      </c>
      <c r="C1210" s="1">
        <v>564</v>
      </c>
      <c r="D1210" s="1" t="s">
        <v>40</v>
      </c>
      <c r="E1210" s="1" t="s">
        <v>26</v>
      </c>
      <c r="F1210" s="1">
        <f t="shared" si="38"/>
        <v>470</v>
      </c>
      <c r="G1210" s="5">
        <f t="shared" si="37"/>
        <v>1.2</v>
      </c>
    </row>
    <row r="1211" spans="1:7" ht="13">
      <c r="A1211" s="4" t="s">
        <v>116</v>
      </c>
      <c r="B1211" s="1">
        <v>7.5</v>
      </c>
      <c r="C1211" s="1">
        <v>793</v>
      </c>
      <c r="D1211" s="1" t="s">
        <v>11</v>
      </c>
      <c r="E1211" s="1" t="s">
        <v>27</v>
      </c>
      <c r="F1211" s="1">
        <f t="shared" si="38"/>
        <v>750</v>
      </c>
      <c r="G1211" s="5">
        <f t="shared" si="37"/>
        <v>1.0573333333333332</v>
      </c>
    </row>
    <row r="1212" spans="1:7" ht="13">
      <c r="A1212" s="4" t="s">
        <v>116</v>
      </c>
      <c r="B1212" s="1">
        <v>6.88</v>
      </c>
      <c r="C1212" s="1">
        <v>784</v>
      </c>
      <c r="D1212" s="1" t="s">
        <v>11</v>
      </c>
      <c r="E1212" s="1" t="s">
        <v>8</v>
      </c>
      <c r="F1212" s="1">
        <f t="shared" si="38"/>
        <v>688</v>
      </c>
      <c r="G1212" s="5">
        <f t="shared" si="37"/>
        <v>1.1395348837209303</v>
      </c>
    </row>
    <row r="1213" spans="1:7" ht="13">
      <c r="A1213" s="4" t="s">
        <v>116</v>
      </c>
      <c r="B1213" s="1">
        <v>7.7</v>
      </c>
      <c r="C1213" s="1">
        <v>850</v>
      </c>
      <c r="D1213" s="1" t="s">
        <v>11</v>
      </c>
      <c r="E1213" s="1" t="s">
        <v>25</v>
      </c>
      <c r="F1213" s="1">
        <f t="shared" si="38"/>
        <v>770</v>
      </c>
      <c r="G1213" s="5">
        <f t="shared" si="37"/>
        <v>1.1038961038961039</v>
      </c>
    </row>
    <row r="1214" spans="1:7" ht="13">
      <c r="A1214" s="4" t="s">
        <v>116</v>
      </c>
      <c r="B1214" s="1">
        <v>7.56</v>
      </c>
      <c r="C1214" s="1">
        <v>776</v>
      </c>
      <c r="D1214" s="1" t="s">
        <v>77</v>
      </c>
      <c r="E1214" s="1" t="s">
        <v>17</v>
      </c>
      <c r="F1214" s="1">
        <f t="shared" si="38"/>
        <v>756</v>
      </c>
      <c r="G1214" s="5">
        <f t="shared" si="37"/>
        <v>1.0264550264550265</v>
      </c>
    </row>
    <row r="1215" spans="1:7" ht="13">
      <c r="A1215" s="4" t="s">
        <v>116</v>
      </c>
      <c r="B1215" s="1">
        <v>19.600000000000001</v>
      </c>
      <c r="C1215" s="1">
        <v>2205</v>
      </c>
      <c r="D1215" s="1" t="s">
        <v>11</v>
      </c>
      <c r="E1215" s="1" t="s">
        <v>23</v>
      </c>
      <c r="F1215" s="1">
        <f t="shared" si="38"/>
        <v>1960.0000000000002</v>
      </c>
      <c r="G1215" s="5">
        <f t="shared" si="37"/>
        <v>1.1249999999999998</v>
      </c>
    </row>
    <row r="1216" spans="1:7" ht="13">
      <c r="A1216" s="4" t="s">
        <v>116</v>
      </c>
      <c r="B1216" s="1">
        <v>2.7</v>
      </c>
      <c r="C1216" s="1">
        <v>326</v>
      </c>
      <c r="D1216" s="1" t="s">
        <v>11</v>
      </c>
      <c r="E1216" s="1" t="s">
        <v>8</v>
      </c>
      <c r="F1216" s="1">
        <f t="shared" si="38"/>
        <v>270</v>
      </c>
      <c r="G1216" s="5">
        <f t="shared" si="37"/>
        <v>1.2074074074074075</v>
      </c>
    </row>
    <row r="1217" spans="1:7" ht="13">
      <c r="A1217" s="4" t="s">
        <v>116</v>
      </c>
      <c r="B1217" s="1">
        <v>7.15</v>
      </c>
      <c r="C1217" s="1">
        <v>827</v>
      </c>
      <c r="D1217" s="1" t="s">
        <v>45</v>
      </c>
      <c r="E1217" s="1" t="s">
        <v>26</v>
      </c>
      <c r="F1217" s="1">
        <f t="shared" si="38"/>
        <v>715</v>
      </c>
      <c r="G1217" s="5">
        <f t="shared" si="37"/>
        <v>1.1566433566433567</v>
      </c>
    </row>
    <row r="1218" spans="1:7" ht="13">
      <c r="A1218" s="4" t="s">
        <v>116</v>
      </c>
      <c r="B1218" s="1">
        <v>7.4</v>
      </c>
      <c r="C1218" s="1">
        <v>820</v>
      </c>
      <c r="D1218" s="1" t="s">
        <v>33</v>
      </c>
      <c r="E1218" s="1" t="s">
        <v>23</v>
      </c>
      <c r="F1218" s="1">
        <f t="shared" si="38"/>
        <v>740</v>
      </c>
      <c r="G1218" s="5">
        <f t="shared" ref="G1218:G1281" si="39">C1218/F1218</f>
        <v>1.1081081081081081</v>
      </c>
    </row>
    <row r="1219" spans="1:7" ht="13">
      <c r="A1219" s="4" t="s">
        <v>116</v>
      </c>
      <c r="B1219" s="1">
        <v>6</v>
      </c>
      <c r="C1219" s="1">
        <v>686</v>
      </c>
      <c r="D1219" s="1" t="s">
        <v>11</v>
      </c>
      <c r="E1219" s="1" t="s">
        <v>19</v>
      </c>
      <c r="F1219" s="1">
        <f t="shared" si="38"/>
        <v>600</v>
      </c>
      <c r="G1219" s="5">
        <f t="shared" si="39"/>
        <v>1.1433333333333333</v>
      </c>
    </row>
    <row r="1220" spans="1:7" ht="13">
      <c r="A1220" s="4" t="s">
        <v>116</v>
      </c>
      <c r="B1220" s="1">
        <v>6</v>
      </c>
      <c r="C1220" s="1">
        <v>734</v>
      </c>
      <c r="D1220" s="1" t="s">
        <v>42</v>
      </c>
      <c r="E1220" s="1" t="s">
        <v>9</v>
      </c>
      <c r="F1220" s="1">
        <f t="shared" si="38"/>
        <v>600</v>
      </c>
      <c r="G1220" s="5">
        <f t="shared" si="39"/>
        <v>1.2233333333333334</v>
      </c>
    </row>
    <row r="1221" spans="1:7" ht="13">
      <c r="A1221" s="4" t="s">
        <v>116</v>
      </c>
      <c r="B1221" s="1">
        <v>4.3</v>
      </c>
      <c r="C1221" s="1">
        <v>436</v>
      </c>
      <c r="D1221" s="1" t="s">
        <v>44</v>
      </c>
      <c r="E1221" s="1" t="s">
        <v>15</v>
      </c>
      <c r="F1221" s="1">
        <f t="shared" si="38"/>
        <v>430</v>
      </c>
      <c r="G1221" s="5">
        <f t="shared" si="39"/>
        <v>1.0139534883720931</v>
      </c>
    </row>
    <row r="1222" spans="1:7" ht="13">
      <c r="A1222" s="4" t="s">
        <v>116</v>
      </c>
      <c r="B1222" s="1">
        <v>6</v>
      </c>
      <c r="C1222" s="1">
        <v>710</v>
      </c>
      <c r="D1222" s="1" t="s">
        <v>33</v>
      </c>
      <c r="E1222" s="1" t="s">
        <v>9</v>
      </c>
      <c r="F1222" s="1">
        <f t="shared" si="38"/>
        <v>600</v>
      </c>
      <c r="G1222" s="5">
        <f t="shared" si="39"/>
        <v>1.1833333333333333</v>
      </c>
    </row>
    <row r="1223" spans="1:7" ht="13">
      <c r="A1223" s="4" t="s">
        <v>116</v>
      </c>
      <c r="B1223" s="1">
        <v>5</v>
      </c>
      <c r="C1223" s="1">
        <v>554</v>
      </c>
      <c r="D1223" s="1" t="s">
        <v>66</v>
      </c>
      <c r="E1223" s="1" t="s">
        <v>17</v>
      </c>
      <c r="F1223" s="1">
        <f t="shared" si="38"/>
        <v>500</v>
      </c>
      <c r="G1223" s="5">
        <f t="shared" si="39"/>
        <v>1.1080000000000001</v>
      </c>
    </row>
    <row r="1224" spans="1:7" ht="13">
      <c r="A1224" s="4" t="s">
        <v>116</v>
      </c>
      <c r="B1224" s="1">
        <v>3.48</v>
      </c>
      <c r="C1224" s="1">
        <v>392</v>
      </c>
      <c r="D1224" s="1" t="s">
        <v>38</v>
      </c>
      <c r="E1224" s="1" t="s">
        <v>7</v>
      </c>
      <c r="F1224" s="1">
        <f t="shared" si="38"/>
        <v>348</v>
      </c>
      <c r="G1224" s="5">
        <f t="shared" si="39"/>
        <v>1.1264367816091954</v>
      </c>
    </row>
    <row r="1225" spans="1:7" ht="13">
      <c r="A1225" s="4" t="s">
        <v>116</v>
      </c>
      <c r="B1225" s="1">
        <v>7.39</v>
      </c>
      <c r="C1225" s="1">
        <v>714</v>
      </c>
      <c r="D1225" s="1" t="s">
        <v>42</v>
      </c>
      <c r="E1225" s="1" t="s">
        <v>25</v>
      </c>
      <c r="F1225" s="1">
        <f t="shared" si="38"/>
        <v>739</v>
      </c>
      <c r="G1225" s="5">
        <f t="shared" si="39"/>
        <v>0.96617050067658994</v>
      </c>
    </row>
    <row r="1226" spans="1:7" ht="13">
      <c r="A1226" s="4" t="s">
        <v>116</v>
      </c>
      <c r="B1226" s="1">
        <v>7.76</v>
      </c>
      <c r="C1226" s="1">
        <v>914</v>
      </c>
      <c r="D1226" s="1" t="s">
        <v>11</v>
      </c>
      <c r="E1226" s="1" t="s">
        <v>16</v>
      </c>
      <c r="F1226" s="1">
        <f t="shared" si="38"/>
        <v>776</v>
      </c>
      <c r="G1226" s="5">
        <f t="shared" si="39"/>
        <v>1.1778350515463918</v>
      </c>
    </row>
    <row r="1227" spans="1:7" ht="13">
      <c r="A1227" s="4" t="s">
        <v>116</v>
      </c>
      <c r="B1227" s="1">
        <v>5.12</v>
      </c>
      <c r="C1227" s="1">
        <v>563</v>
      </c>
      <c r="D1227" s="1" t="s">
        <v>11</v>
      </c>
      <c r="E1227" s="1" t="s">
        <v>16</v>
      </c>
      <c r="F1227" s="1">
        <f t="shared" si="38"/>
        <v>512</v>
      </c>
      <c r="G1227" s="5">
        <f t="shared" si="39"/>
        <v>1.099609375</v>
      </c>
    </row>
    <row r="1228" spans="1:7" ht="13">
      <c r="A1228" s="4" t="s">
        <v>116</v>
      </c>
      <c r="B1228" s="1">
        <v>6.5</v>
      </c>
      <c r="C1228" s="1">
        <v>820</v>
      </c>
      <c r="D1228" s="1" t="s">
        <v>11</v>
      </c>
      <c r="E1228" s="1" t="s">
        <v>24</v>
      </c>
      <c r="F1228" s="1">
        <f t="shared" si="38"/>
        <v>650</v>
      </c>
      <c r="G1228" s="5">
        <f t="shared" si="39"/>
        <v>1.2615384615384615</v>
      </c>
    </row>
    <row r="1229" spans="1:7" ht="13">
      <c r="A1229" s="4" t="s">
        <v>116</v>
      </c>
      <c r="B1229" s="1">
        <v>6.5</v>
      </c>
      <c r="C1229" s="1">
        <v>677</v>
      </c>
      <c r="D1229" s="1" t="s">
        <v>39</v>
      </c>
      <c r="E1229" s="1" t="s">
        <v>30</v>
      </c>
      <c r="F1229" s="1">
        <f t="shared" si="38"/>
        <v>650</v>
      </c>
      <c r="G1229" s="5">
        <f t="shared" si="39"/>
        <v>1.0415384615384615</v>
      </c>
    </row>
    <row r="1230" spans="1:7" ht="13">
      <c r="A1230" s="4" t="s">
        <v>116</v>
      </c>
      <c r="B1230" s="1">
        <v>4</v>
      </c>
      <c r="C1230" s="1">
        <v>443</v>
      </c>
      <c r="D1230" s="1" t="s">
        <v>43</v>
      </c>
      <c r="E1230" s="1" t="s">
        <v>20</v>
      </c>
      <c r="F1230" s="1">
        <f t="shared" si="38"/>
        <v>400</v>
      </c>
      <c r="G1230" s="5">
        <f t="shared" si="39"/>
        <v>1.1074999999999999</v>
      </c>
    </row>
    <row r="1231" spans="1:7" ht="13">
      <c r="A1231" s="4" t="s">
        <v>116</v>
      </c>
      <c r="B1231" s="1">
        <v>5.5</v>
      </c>
      <c r="C1231" s="1">
        <v>738.3</v>
      </c>
      <c r="D1231" s="1" t="s">
        <v>11</v>
      </c>
      <c r="E1231" s="1" t="s">
        <v>22</v>
      </c>
      <c r="F1231" s="1">
        <f t="shared" si="38"/>
        <v>550</v>
      </c>
      <c r="G1231" s="5">
        <f t="shared" si="39"/>
        <v>1.3423636363636362</v>
      </c>
    </row>
    <row r="1232" spans="1:7" ht="13">
      <c r="A1232" s="4" t="s">
        <v>116</v>
      </c>
      <c r="B1232" s="1">
        <v>4.9000000000000004</v>
      </c>
      <c r="C1232" s="1">
        <v>552</v>
      </c>
      <c r="D1232" s="1" t="s">
        <v>44</v>
      </c>
      <c r="E1232" s="1" t="s">
        <v>15</v>
      </c>
      <c r="F1232" s="1">
        <f t="shared" si="38"/>
        <v>490.00000000000006</v>
      </c>
      <c r="G1232" s="5">
        <f t="shared" si="39"/>
        <v>1.1265306122448979</v>
      </c>
    </row>
    <row r="1233" spans="1:7" ht="13">
      <c r="A1233" s="4" t="s">
        <v>116</v>
      </c>
      <c r="B1233" s="1">
        <v>6.1</v>
      </c>
      <c r="C1233" s="1">
        <v>657</v>
      </c>
      <c r="D1233" s="1" t="s">
        <v>39</v>
      </c>
      <c r="E1233" s="1" t="s">
        <v>17</v>
      </c>
      <c r="F1233" s="1">
        <f t="shared" si="38"/>
        <v>610</v>
      </c>
      <c r="G1233" s="5">
        <f t="shared" si="39"/>
        <v>1.0770491803278688</v>
      </c>
    </row>
    <row r="1234" spans="1:7" ht="13">
      <c r="A1234" s="4" t="s">
        <v>116</v>
      </c>
      <c r="B1234" s="1">
        <v>5.8</v>
      </c>
      <c r="C1234" s="1">
        <v>731</v>
      </c>
      <c r="D1234" s="1" t="s">
        <v>11</v>
      </c>
      <c r="E1234" s="1" t="s">
        <v>8</v>
      </c>
      <c r="F1234" s="1">
        <f t="shared" si="38"/>
        <v>580</v>
      </c>
      <c r="G1234" s="5">
        <f t="shared" si="39"/>
        <v>1.2603448275862068</v>
      </c>
    </row>
    <row r="1235" spans="1:7" ht="13">
      <c r="A1235" s="4" t="s">
        <v>116</v>
      </c>
      <c r="B1235" s="1">
        <v>6.88</v>
      </c>
      <c r="C1235" s="1">
        <v>834</v>
      </c>
      <c r="D1235" s="1" t="s">
        <v>53</v>
      </c>
      <c r="E1235" s="1" t="s">
        <v>20</v>
      </c>
      <c r="F1235" s="1">
        <f t="shared" si="38"/>
        <v>688</v>
      </c>
      <c r="G1235" s="5">
        <f t="shared" si="39"/>
        <v>1.2122093023255813</v>
      </c>
    </row>
    <row r="1236" spans="1:7" ht="13">
      <c r="A1236" s="4" t="s">
        <v>116</v>
      </c>
      <c r="B1236" s="1">
        <v>6.4</v>
      </c>
      <c r="C1236" s="1">
        <v>720</v>
      </c>
      <c r="D1236" s="1" t="s">
        <v>42</v>
      </c>
      <c r="E1236" s="1" t="s">
        <v>18</v>
      </c>
      <c r="F1236" s="1">
        <f t="shared" si="38"/>
        <v>640</v>
      </c>
      <c r="G1236" s="5">
        <f t="shared" si="39"/>
        <v>1.125</v>
      </c>
    </row>
    <row r="1237" spans="1:7" ht="13">
      <c r="A1237" s="4" t="s">
        <v>116</v>
      </c>
      <c r="B1237" s="1">
        <v>9.1</v>
      </c>
      <c r="C1237" s="1">
        <v>843</v>
      </c>
      <c r="D1237" s="1" t="s">
        <v>37</v>
      </c>
      <c r="E1237" s="1" t="s">
        <v>18</v>
      </c>
      <c r="F1237" s="1">
        <f t="shared" si="38"/>
        <v>910</v>
      </c>
      <c r="G1237" s="5">
        <f t="shared" si="39"/>
        <v>0.92637362637362641</v>
      </c>
    </row>
    <row r="1238" spans="1:7" ht="13">
      <c r="A1238" s="4" t="s">
        <v>116</v>
      </c>
      <c r="B1238" s="1">
        <v>6</v>
      </c>
      <c r="C1238" s="1">
        <v>683</v>
      </c>
      <c r="D1238" s="1" t="s">
        <v>11</v>
      </c>
      <c r="E1238" s="1" t="s">
        <v>22</v>
      </c>
      <c r="F1238" s="1">
        <f t="shared" si="38"/>
        <v>600</v>
      </c>
      <c r="G1238" s="5">
        <f t="shared" si="39"/>
        <v>1.1383333333333334</v>
      </c>
    </row>
    <row r="1239" spans="1:7" ht="13">
      <c r="A1239" s="4" t="s">
        <v>116</v>
      </c>
      <c r="B1239" s="1">
        <v>4</v>
      </c>
      <c r="C1239" s="1">
        <v>384</v>
      </c>
      <c r="D1239" s="1" t="s">
        <v>11</v>
      </c>
      <c r="E1239" s="1" t="s">
        <v>28</v>
      </c>
      <c r="F1239" s="1">
        <f t="shared" si="38"/>
        <v>400</v>
      </c>
      <c r="G1239" s="5">
        <f t="shared" si="39"/>
        <v>0.96</v>
      </c>
    </row>
    <row r="1240" spans="1:7" ht="13">
      <c r="A1240" s="4" t="s">
        <v>116</v>
      </c>
      <c r="B1240" s="1">
        <v>4</v>
      </c>
      <c r="C1240" s="1">
        <v>465</v>
      </c>
      <c r="D1240" s="1" t="s">
        <v>11</v>
      </c>
      <c r="E1240" s="1" t="s">
        <v>20</v>
      </c>
      <c r="F1240" s="1">
        <f t="shared" si="38"/>
        <v>400</v>
      </c>
      <c r="G1240" s="5">
        <f t="shared" si="39"/>
        <v>1.1625000000000001</v>
      </c>
    </row>
    <row r="1241" spans="1:7" ht="13">
      <c r="A1241" s="4" t="s">
        <v>116</v>
      </c>
      <c r="B1241" s="1">
        <v>6.88</v>
      </c>
      <c r="C1241" s="1">
        <v>809</v>
      </c>
      <c r="D1241" s="1" t="s">
        <v>33</v>
      </c>
      <c r="E1241" s="1" t="s">
        <v>10</v>
      </c>
      <c r="F1241" s="1">
        <f t="shared" si="38"/>
        <v>688</v>
      </c>
      <c r="G1241" s="5">
        <f t="shared" si="39"/>
        <v>1.1758720930232558</v>
      </c>
    </row>
    <row r="1242" spans="1:7" ht="13">
      <c r="A1242" s="4" t="s">
        <v>116</v>
      </c>
      <c r="B1242" s="1">
        <v>6.33</v>
      </c>
      <c r="C1242" s="1">
        <v>714</v>
      </c>
      <c r="D1242" s="1" t="s">
        <v>67</v>
      </c>
      <c r="E1242" s="1" t="s">
        <v>62</v>
      </c>
      <c r="F1242" s="1">
        <f t="shared" si="38"/>
        <v>633</v>
      </c>
      <c r="G1242" s="5">
        <f t="shared" si="39"/>
        <v>1.127962085308057</v>
      </c>
    </row>
    <row r="1243" spans="1:7" ht="13">
      <c r="A1243" s="4" t="s">
        <v>116</v>
      </c>
      <c r="B1243" s="1">
        <v>6</v>
      </c>
      <c r="C1243" s="1">
        <v>756</v>
      </c>
      <c r="D1243" s="1" t="s">
        <v>11</v>
      </c>
      <c r="E1243" s="1" t="s">
        <v>23</v>
      </c>
      <c r="F1243" s="1">
        <f t="shared" si="38"/>
        <v>600</v>
      </c>
      <c r="G1243" s="5">
        <f t="shared" si="39"/>
        <v>1.26</v>
      </c>
    </row>
    <row r="1244" spans="1:7" ht="13">
      <c r="A1244" s="4" t="s">
        <v>116</v>
      </c>
      <c r="B1244" s="1">
        <v>4.3499999999999996</v>
      </c>
      <c r="C1244" s="1">
        <v>550</v>
      </c>
      <c r="D1244" s="1" t="s">
        <v>11</v>
      </c>
      <c r="E1244" s="1" t="s">
        <v>16</v>
      </c>
      <c r="F1244" s="1">
        <f t="shared" si="38"/>
        <v>434.99999999999994</v>
      </c>
      <c r="G1244" s="5">
        <f t="shared" si="39"/>
        <v>1.2643678160919543</v>
      </c>
    </row>
    <row r="1245" spans="1:7" ht="13">
      <c r="A1245" s="4" t="s">
        <v>116</v>
      </c>
      <c r="B1245" s="1">
        <v>6</v>
      </c>
      <c r="C1245" s="1">
        <v>645</v>
      </c>
      <c r="D1245" s="1" t="s">
        <v>11</v>
      </c>
      <c r="E1245" s="1" t="s">
        <v>23</v>
      </c>
      <c r="F1245" s="1">
        <f t="shared" si="38"/>
        <v>600</v>
      </c>
      <c r="G1245" s="5">
        <f t="shared" si="39"/>
        <v>1.075</v>
      </c>
    </row>
    <row r="1246" spans="1:7" ht="13">
      <c r="A1246" s="4" t="s">
        <v>116</v>
      </c>
      <c r="B1246" s="1">
        <v>8</v>
      </c>
      <c r="C1246" s="1">
        <v>857</v>
      </c>
      <c r="D1246" s="1" t="s">
        <v>11</v>
      </c>
      <c r="E1246" s="1" t="s">
        <v>28</v>
      </c>
      <c r="F1246" s="1">
        <f t="shared" si="38"/>
        <v>800</v>
      </c>
      <c r="G1246" s="5">
        <f t="shared" si="39"/>
        <v>1.07125</v>
      </c>
    </row>
    <row r="1247" spans="1:7" ht="13">
      <c r="A1247" s="4" t="s">
        <v>116</v>
      </c>
      <c r="B1247" s="1">
        <v>4.9800000000000004</v>
      </c>
      <c r="C1247" s="1">
        <v>456</v>
      </c>
      <c r="D1247" s="1" t="s">
        <v>43</v>
      </c>
      <c r="E1247" s="1" t="s">
        <v>25</v>
      </c>
      <c r="F1247" s="1">
        <f t="shared" si="38"/>
        <v>498.00000000000006</v>
      </c>
      <c r="G1247" s="5">
        <f t="shared" si="39"/>
        <v>0.91566265060240959</v>
      </c>
    </row>
    <row r="1248" spans="1:7" ht="13">
      <c r="A1248" s="4" t="s">
        <v>116</v>
      </c>
      <c r="B1248" s="1">
        <v>7.29</v>
      </c>
      <c r="C1248" s="1">
        <v>824</v>
      </c>
      <c r="D1248" s="1" t="s">
        <v>33</v>
      </c>
      <c r="E1248" s="1" t="s">
        <v>17</v>
      </c>
      <c r="F1248" s="1">
        <f t="shared" ref="F1248:F1311" si="40">B1248*100</f>
        <v>729</v>
      </c>
      <c r="G1248" s="5">
        <f t="shared" si="39"/>
        <v>1.1303155006858712</v>
      </c>
    </row>
    <row r="1249" spans="1:7" ht="13">
      <c r="A1249" s="4" t="s">
        <v>116</v>
      </c>
      <c r="B1249" s="1">
        <v>5.6</v>
      </c>
      <c r="C1249" s="1">
        <v>497</v>
      </c>
      <c r="D1249" s="1" t="s">
        <v>33</v>
      </c>
      <c r="E1249" s="1" t="s">
        <v>29</v>
      </c>
      <c r="F1249" s="1">
        <f t="shared" si="40"/>
        <v>560</v>
      </c>
      <c r="G1249" s="5">
        <f t="shared" si="39"/>
        <v>0.88749999999999996</v>
      </c>
    </row>
    <row r="1250" spans="1:7" ht="13">
      <c r="A1250" s="4" t="s">
        <v>116</v>
      </c>
      <c r="B1250" s="1">
        <v>7.2</v>
      </c>
      <c r="C1250" s="1">
        <v>862</v>
      </c>
      <c r="D1250" s="1" t="s">
        <v>11</v>
      </c>
      <c r="E1250" s="1" t="s">
        <v>10</v>
      </c>
      <c r="F1250" s="1">
        <f t="shared" si="40"/>
        <v>720</v>
      </c>
      <c r="G1250" s="5">
        <f t="shared" si="39"/>
        <v>1.1972222222222222</v>
      </c>
    </row>
    <row r="1251" spans="1:7" ht="13">
      <c r="A1251" s="4" t="s">
        <v>116</v>
      </c>
      <c r="B1251" s="1">
        <v>7.2</v>
      </c>
      <c r="C1251" s="1">
        <v>818</v>
      </c>
      <c r="D1251" s="1" t="s">
        <v>33</v>
      </c>
      <c r="E1251" s="1" t="s">
        <v>8</v>
      </c>
      <c r="F1251" s="1">
        <f t="shared" si="40"/>
        <v>720</v>
      </c>
      <c r="G1251" s="5">
        <f t="shared" si="39"/>
        <v>1.1361111111111111</v>
      </c>
    </row>
    <row r="1252" spans="1:7" ht="13">
      <c r="A1252" s="4" t="s">
        <v>116</v>
      </c>
      <c r="B1252" s="1">
        <v>8.6999999999999993</v>
      </c>
      <c r="C1252" s="1">
        <v>1031</v>
      </c>
      <c r="D1252" s="1" t="s">
        <v>34</v>
      </c>
      <c r="E1252" s="1" t="s">
        <v>10</v>
      </c>
      <c r="F1252" s="1">
        <f t="shared" si="40"/>
        <v>869.99999999999989</v>
      </c>
      <c r="G1252" s="5">
        <f t="shared" si="39"/>
        <v>1.185057471264368</v>
      </c>
    </row>
    <row r="1253" spans="1:7" ht="13">
      <c r="A1253" s="4" t="s">
        <v>116</v>
      </c>
      <c r="B1253" s="1">
        <v>5.5</v>
      </c>
      <c r="C1253" s="1">
        <v>730</v>
      </c>
      <c r="D1253" s="1" t="s">
        <v>11</v>
      </c>
      <c r="E1253" s="1" t="s">
        <v>10</v>
      </c>
      <c r="F1253" s="1">
        <f t="shared" si="40"/>
        <v>550</v>
      </c>
      <c r="G1253" s="5">
        <f t="shared" si="39"/>
        <v>1.3272727272727274</v>
      </c>
    </row>
    <row r="1254" spans="1:7" ht="13">
      <c r="A1254" s="4" t="s">
        <v>116</v>
      </c>
      <c r="B1254" s="1">
        <v>8</v>
      </c>
      <c r="C1254" s="1">
        <v>807</v>
      </c>
      <c r="D1254" s="1" t="s">
        <v>39</v>
      </c>
      <c r="E1254" s="1" t="s">
        <v>32</v>
      </c>
      <c r="F1254" s="1">
        <f t="shared" si="40"/>
        <v>800</v>
      </c>
      <c r="G1254" s="5">
        <f t="shared" si="39"/>
        <v>1.00875</v>
      </c>
    </row>
    <row r="1255" spans="1:7" ht="13">
      <c r="A1255" s="4" t="s">
        <v>116</v>
      </c>
      <c r="B1255" s="1">
        <v>8.6</v>
      </c>
      <c r="C1255" s="1">
        <v>1119</v>
      </c>
      <c r="D1255" s="1" t="s">
        <v>42</v>
      </c>
      <c r="E1255" s="1" t="s">
        <v>8</v>
      </c>
      <c r="F1255" s="1">
        <f t="shared" si="40"/>
        <v>860</v>
      </c>
      <c r="G1255" s="5">
        <f t="shared" si="39"/>
        <v>1.3011627906976744</v>
      </c>
    </row>
    <row r="1256" spans="1:7" ht="13">
      <c r="A1256" s="4" t="s">
        <v>116</v>
      </c>
      <c r="B1256" s="1">
        <v>3</v>
      </c>
      <c r="C1256" s="1">
        <v>328</v>
      </c>
      <c r="D1256" s="1" t="s">
        <v>11</v>
      </c>
      <c r="E1256" s="1" t="s">
        <v>25</v>
      </c>
      <c r="F1256" s="1">
        <f t="shared" si="40"/>
        <v>300</v>
      </c>
      <c r="G1256" s="5">
        <f t="shared" si="39"/>
        <v>1.0933333333333333</v>
      </c>
    </row>
    <row r="1257" spans="1:7" ht="13">
      <c r="A1257" s="4" t="s">
        <v>116</v>
      </c>
      <c r="B1257" s="1">
        <v>6.02</v>
      </c>
      <c r="C1257" s="1">
        <v>670</v>
      </c>
      <c r="D1257" s="1" t="s">
        <v>47</v>
      </c>
      <c r="E1257" s="1" t="s">
        <v>20</v>
      </c>
      <c r="F1257" s="1">
        <f t="shared" si="40"/>
        <v>602</v>
      </c>
      <c r="G1257" s="5">
        <f t="shared" si="39"/>
        <v>1.1129568106312293</v>
      </c>
    </row>
    <row r="1258" spans="1:7" ht="13">
      <c r="A1258" s="4" t="s">
        <v>116</v>
      </c>
      <c r="B1258" s="1">
        <v>7.6</v>
      </c>
      <c r="C1258" s="1">
        <v>1001</v>
      </c>
      <c r="D1258" s="1" t="s">
        <v>79</v>
      </c>
      <c r="E1258" s="1" t="s">
        <v>10</v>
      </c>
      <c r="F1258" s="1">
        <f t="shared" si="40"/>
        <v>760</v>
      </c>
      <c r="G1258" s="5">
        <f t="shared" si="39"/>
        <v>1.3171052631578948</v>
      </c>
    </row>
    <row r="1259" spans="1:7" ht="13">
      <c r="A1259" s="4" t="s">
        <v>116</v>
      </c>
      <c r="B1259" s="1">
        <v>6.9</v>
      </c>
      <c r="C1259" s="1">
        <v>780</v>
      </c>
      <c r="D1259" s="1" t="s">
        <v>47</v>
      </c>
      <c r="E1259" s="1" t="s">
        <v>68</v>
      </c>
      <c r="F1259" s="1">
        <f t="shared" si="40"/>
        <v>690</v>
      </c>
      <c r="G1259" s="5">
        <f t="shared" si="39"/>
        <v>1.1304347826086956</v>
      </c>
    </row>
    <row r="1260" spans="1:7" ht="13">
      <c r="A1260" s="4" t="s">
        <v>116</v>
      </c>
      <c r="B1260" s="1">
        <v>7.3949999999999996</v>
      </c>
      <c r="C1260" s="1">
        <v>808</v>
      </c>
      <c r="D1260" s="1" t="s">
        <v>42</v>
      </c>
      <c r="E1260" s="1" t="s">
        <v>25</v>
      </c>
      <c r="F1260" s="1">
        <f t="shared" si="40"/>
        <v>739.5</v>
      </c>
      <c r="G1260" s="5">
        <f t="shared" si="39"/>
        <v>1.09263015551048</v>
      </c>
    </row>
    <row r="1261" spans="1:7" ht="13">
      <c r="A1261" s="4" t="s">
        <v>116</v>
      </c>
      <c r="B1261" s="1">
        <v>6</v>
      </c>
      <c r="C1261" s="1">
        <v>633</v>
      </c>
      <c r="D1261" s="1" t="s">
        <v>35</v>
      </c>
      <c r="E1261" s="1" t="s">
        <v>15</v>
      </c>
      <c r="F1261" s="1">
        <f t="shared" si="40"/>
        <v>600</v>
      </c>
      <c r="G1261" s="5">
        <f t="shared" si="39"/>
        <v>1.0549999999999999</v>
      </c>
    </row>
    <row r="1262" spans="1:7" ht="13">
      <c r="A1262" s="4" t="s">
        <v>116</v>
      </c>
      <c r="B1262" s="1">
        <v>6.4</v>
      </c>
      <c r="C1262" s="1">
        <v>784</v>
      </c>
      <c r="D1262" s="1" t="s">
        <v>93</v>
      </c>
      <c r="E1262" s="1" t="s">
        <v>26</v>
      </c>
      <c r="F1262" s="1">
        <f t="shared" si="40"/>
        <v>640</v>
      </c>
      <c r="G1262" s="5">
        <f t="shared" si="39"/>
        <v>1.2250000000000001</v>
      </c>
    </row>
    <row r="1263" spans="1:7" ht="13">
      <c r="A1263" s="4" t="s">
        <v>116</v>
      </c>
      <c r="B1263" s="1">
        <v>3.5</v>
      </c>
      <c r="C1263" s="1">
        <v>387</v>
      </c>
      <c r="D1263" s="1" t="s">
        <v>11</v>
      </c>
      <c r="E1263" s="1" t="s">
        <v>24</v>
      </c>
      <c r="F1263" s="1">
        <f t="shared" si="40"/>
        <v>350</v>
      </c>
      <c r="G1263" s="5">
        <f t="shared" si="39"/>
        <v>1.1057142857142856</v>
      </c>
    </row>
    <row r="1264" spans="1:7" ht="13">
      <c r="A1264" s="4" t="s">
        <v>116</v>
      </c>
      <c r="B1264" s="1">
        <v>3</v>
      </c>
      <c r="C1264" s="1">
        <v>467</v>
      </c>
      <c r="D1264" s="1" t="s">
        <v>43</v>
      </c>
      <c r="E1264" s="1" t="s">
        <v>18</v>
      </c>
      <c r="F1264" s="1">
        <f t="shared" si="40"/>
        <v>300</v>
      </c>
      <c r="G1264" s="5">
        <f t="shared" si="39"/>
        <v>1.5566666666666666</v>
      </c>
    </row>
    <row r="1265" spans="1:7" ht="13">
      <c r="A1265" s="4" t="s">
        <v>116</v>
      </c>
      <c r="B1265" s="1">
        <v>9.6999999999999993</v>
      </c>
      <c r="C1265" s="1">
        <v>1057</v>
      </c>
      <c r="D1265" s="1" t="s">
        <v>11</v>
      </c>
      <c r="E1265" s="1" t="s">
        <v>10</v>
      </c>
      <c r="F1265" s="1">
        <f t="shared" si="40"/>
        <v>969.99999999999989</v>
      </c>
      <c r="G1265" s="5">
        <f t="shared" si="39"/>
        <v>1.0896907216494847</v>
      </c>
    </row>
    <row r="1266" spans="1:7" ht="13">
      <c r="A1266" s="4" t="s">
        <v>116</v>
      </c>
      <c r="B1266" s="1">
        <v>3</v>
      </c>
      <c r="C1266" s="1">
        <v>382</v>
      </c>
      <c r="D1266" s="1" t="s">
        <v>42</v>
      </c>
      <c r="E1266" s="1" t="s">
        <v>15</v>
      </c>
      <c r="F1266" s="1">
        <f t="shared" si="40"/>
        <v>300</v>
      </c>
      <c r="G1266" s="5">
        <f t="shared" si="39"/>
        <v>1.2733333333333334</v>
      </c>
    </row>
    <row r="1267" spans="1:7" ht="13">
      <c r="A1267" s="4" t="s">
        <v>116</v>
      </c>
      <c r="B1267" s="1">
        <v>7.2</v>
      </c>
      <c r="C1267" s="1">
        <v>795</v>
      </c>
      <c r="D1267" s="1" t="s">
        <v>33</v>
      </c>
      <c r="E1267" s="1" t="s">
        <v>25</v>
      </c>
      <c r="F1267" s="1">
        <f t="shared" si="40"/>
        <v>720</v>
      </c>
      <c r="G1267" s="5">
        <f t="shared" si="39"/>
        <v>1.1041666666666667</v>
      </c>
    </row>
    <row r="1268" spans="1:7" ht="13">
      <c r="A1268" s="4" t="s">
        <v>116</v>
      </c>
      <c r="B1268" s="1">
        <v>7.6</v>
      </c>
      <c r="C1268" s="1">
        <v>751</v>
      </c>
      <c r="D1268" s="1" t="s">
        <v>33</v>
      </c>
      <c r="E1268" s="1" t="s">
        <v>17</v>
      </c>
      <c r="F1268" s="1">
        <f t="shared" si="40"/>
        <v>760</v>
      </c>
      <c r="G1268" s="5">
        <f t="shared" si="39"/>
        <v>0.98815789473684212</v>
      </c>
    </row>
    <row r="1269" spans="1:7" ht="13">
      <c r="A1269" s="4" t="s">
        <v>116</v>
      </c>
      <c r="B1269" s="1">
        <v>7.9</v>
      </c>
      <c r="C1269" s="1">
        <v>878</v>
      </c>
      <c r="D1269" s="1" t="s">
        <v>11</v>
      </c>
      <c r="E1269" s="1" t="s">
        <v>27</v>
      </c>
      <c r="F1269" s="1">
        <f t="shared" si="40"/>
        <v>790</v>
      </c>
      <c r="G1269" s="5">
        <f t="shared" si="39"/>
        <v>1.1113924050632911</v>
      </c>
    </row>
    <row r="1270" spans="1:7" ht="13">
      <c r="A1270" s="4" t="s">
        <v>116</v>
      </c>
      <c r="B1270" s="1">
        <v>6.4</v>
      </c>
      <c r="C1270" s="1">
        <v>762</v>
      </c>
      <c r="D1270" s="1" t="s">
        <v>38</v>
      </c>
      <c r="E1270" s="1" t="s">
        <v>9</v>
      </c>
      <c r="F1270" s="1">
        <f t="shared" si="40"/>
        <v>640</v>
      </c>
      <c r="G1270" s="5">
        <f t="shared" si="39"/>
        <v>1.190625</v>
      </c>
    </row>
    <row r="1271" spans="1:7" ht="13">
      <c r="A1271" s="4" t="s">
        <v>116</v>
      </c>
      <c r="B1271" s="1">
        <v>5800</v>
      </c>
      <c r="C1271" s="1">
        <v>390000</v>
      </c>
      <c r="D1271" s="1" t="s">
        <v>11</v>
      </c>
      <c r="E1271" s="1" t="s">
        <v>8</v>
      </c>
      <c r="F1271" s="1">
        <f t="shared" si="40"/>
        <v>580000</v>
      </c>
      <c r="G1271" s="5">
        <f t="shared" si="39"/>
        <v>0.67241379310344829</v>
      </c>
    </row>
    <row r="1272" spans="1:7" ht="13">
      <c r="A1272" s="4" t="s">
        <v>116</v>
      </c>
      <c r="B1272" s="1">
        <v>8.8000000000000007</v>
      </c>
      <c r="C1272" s="1">
        <v>953</v>
      </c>
      <c r="D1272" s="1" t="s">
        <v>42</v>
      </c>
      <c r="E1272" s="1" t="s">
        <v>32</v>
      </c>
      <c r="F1272" s="1">
        <f t="shared" si="40"/>
        <v>880.00000000000011</v>
      </c>
      <c r="G1272" s="5">
        <f t="shared" si="39"/>
        <v>1.0829545454545453</v>
      </c>
    </row>
    <row r="1273" spans="1:7" ht="13">
      <c r="A1273" s="4" t="s">
        <v>116</v>
      </c>
      <c r="B1273" s="1">
        <v>8.8000000000000007</v>
      </c>
      <c r="C1273" s="1">
        <v>953</v>
      </c>
      <c r="D1273" s="1" t="s">
        <v>42</v>
      </c>
      <c r="E1273" s="1" t="s">
        <v>32</v>
      </c>
      <c r="F1273" s="1">
        <f t="shared" si="40"/>
        <v>880.00000000000011</v>
      </c>
      <c r="G1273" s="5">
        <f t="shared" si="39"/>
        <v>1.0829545454545453</v>
      </c>
    </row>
    <row r="1274" spans="1:7" ht="13">
      <c r="A1274" s="4" t="s">
        <v>116</v>
      </c>
      <c r="B1274" s="1">
        <v>7</v>
      </c>
      <c r="C1274" s="1">
        <v>775</v>
      </c>
      <c r="D1274" s="1" t="s">
        <v>40</v>
      </c>
      <c r="E1274" s="1" t="s">
        <v>15</v>
      </c>
      <c r="F1274" s="1">
        <f t="shared" si="40"/>
        <v>700</v>
      </c>
      <c r="G1274" s="5">
        <f t="shared" si="39"/>
        <v>1.1071428571428572</v>
      </c>
    </row>
    <row r="1275" spans="1:7" ht="13">
      <c r="A1275" s="4" t="s">
        <v>116</v>
      </c>
      <c r="B1275" s="1">
        <v>3.5</v>
      </c>
      <c r="C1275" s="1">
        <v>404</v>
      </c>
      <c r="D1275" s="1" t="s">
        <v>44</v>
      </c>
      <c r="E1275" s="1" t="s">
        <v>15</v>
      </c>
      <c r="F1275" s="1">
        <f t="shared" si="40"/>
        <v>350</v>
      </c>
      <c r="G1275" s="5">
        <f t="shared" si="39"/>
        <v>1.1542857142857144</v>
      </c>
    </row>
    <row r="1276" spans="1:7" ht="13">
      <c r="A1276" s="4" t="s">
        <v>116</v>
      </c>
      <c r="B1276" s="1">
        <v>7.74</v>
      </c>
      <c r="C1276" s="1">
        <v>903</v>
      </c>
      <c r="D1276" s="1" t="s">
        <v>33</v>
      </c>
      <c r="E1276" s="1" t="s">
        <v>9</v>
      </c>
      <c r="F1276" s="1">
        <f t="shared" si="40"/>
        <v>774</v>
      </c>
      <c r="G1276" s="5">
        <f t="shared" si="39"/>
        <v>1.1666666666666667</v>
      </c>
    </row>
    <row r="1277" spans="1:7" ht="13">
      <c r="A1277" s="4" t="s">
        <v>116</v>
      </c>
      <c r="B1277" s="1">
        <v>4.5999999999999996</v>
      </c>
      <c r="C1277" s="1">
        <v>537</v>
      </c>
      <c r="D1277" s="1" t="s">
        <v>37</v>
      </c>
      <c r="E1277" s="1" t="s">
        <v>15</v>
      </c>
      <c r="F1277" s="1">
        <f t="shared" si="40"/>
        <v>459.99999999999994</v>
      </c>
      <c r="G1277" s="5">
        <f t="shared" si="39"/>
        <v>1.1673913043478263</v>
      </c>
    </row>
    <row r="1278" spans="1:7" ht="13">
      <c r="A1278" s="4" t="s">
        <v>116</v>
      </c>
      <c r="B1278" s="1">
        <v>5.16</v>
      </c>
      <c r="C1278" s="1">
        <v>543</v>
      </c>
      <c r="D1278" s="1" t="s">
        <v>48</v>
      </c>
      <c r="E1278" s="1" t="s">
        <v>30</v>
      </c>
      <c r="F1278" s="1">
        <f t="shared" si="40"/>
        <v>516</v>
      </c>
      <c r="G1278" s="5">
        <f t="shared" si="39"/>
        <v>1.0523255813953489</v>
      </c>
    </row>
    <row r="1279" spans="1:7" ht="13">
      <c r="A1279" s="4" t="s">
        <v>116</v>
      </c>
      <c r="B1279" s="1">
        <v>6.3</v>
      </c>
      <c r="C1279" s="1">
        <v>819</v>
      </c>
      <c r="D1279" s="1" t="s">
        <v>42</v>
      </c>
      <c r="E1279" s="1" t="s">
        <v>10</v>
      </c>
      <c r="F1279" s="1">
        <f t="shared" si="40"/>
        <v>630</v>
      </c>
      <c r="G1279" s="5">
        <f t="shared" si="39"/>
        <v>1.3</v>
      </c>
    </row>
    <row r="1280" spans="1:7" ht="13">
      <c r="A1280" s="4" t="s">
        <v>116</v>
      </c>
      <c r="B1280" s="1">
        <v>5.8</v>
      </c>
      <c r="C1280" s="1">
        <v>649</v>
      </c>
      <c r="D1280" s="1" t="s">
        <v>50</v>
      </c>
      <c r="E1280" s="1" t="s">
        <v>26</v>
      </c>
      <c r="F1280" s="1">
        <f t="shared" si="40"/>
        <v>580</v>
      </c>
      <c r="G1280" s="5">
        <f t="shared" si="39"/>
        <v>1.1189655172413793</v>
      </c>
    </row>
    <row r="1281" spans="1:7" ht="13">
      <c r="A1281" s="4" t="s">
        <v>116</v>
      </c>
      <c r="B1281" s="1">
        <v>7.7</v>
      </c>
      <c r="C1281" s="1">
        <v>952</v>
      </c>
      <c r="D1281" s="1" t="s">
        <v>11</v>
      </c>
      <c r="E1281" s="1" t="s">
        <v>20</v>
      </c>
      <c r="F1281" s="1">
        <f t="shared" si="40"/>
        <v>770</v>
      </c>
      <c r="G1281" s="5">
        <f t="shared" si="39"/>
        <v>1.2363636363636363</v>
      </c>
    </row>
    <row r="1282" spans="1:7" ht="13">
      <c r="A1282" s="4" t="s">
        <v>116</v>
      </c>
      <c r="B1282" s="1">
        <v>7.56</v>
      </c>
      <c r="C1282" s="1">
        <v>791</v>
      </c>
      <c r="D1282" s="1" t="s">
        <v>11</v>
      </c>
      <c r="E1282" s="1" t="s">
        <v>25</v>
      </c>
      <c r="F1282" s="1">
        <f t="shared" si="40"/>
        <v>756</v>
      </c>
      <c r="G1282" s="5">
        <f t="shared" ref="G1282:G1345" si="41">C1282/F1282</f>
        <v>1.0462962962962963</v>
      </c>
    </row>
    <row r="1283" spans="1:7" ht="13">
      <c r="A1283" s="4" t="s">
        <v>116</v>
      </c>
      <c r="B1283" s="1">
        <v>6.8</v>
      </c>
      <c r="C1283" s="1">
        <v>680</v>
      </c>
      <c r="D1283" s="1" t="s">
        <v>11</v>
      </c>
      <c r="E1283" s="1" t="s">
        <v>25</v>
      </c>
      <c r="F1283" s="1">
        <f t="shared" si="40"/>
        <v>680</v>
      </c>
      <c r="G1283" s="5">
        <f t="shared" si="41"/>
        <v>1</v>
      </c>
    </row>
    <row r="1284" spans="1:7" ht="13">
      <c r="A1284" s="4" t="s">
        <v>116</v>
      </c>
      <c r="B1284" s="1">
        <v>6.23</v>
      </c>
      <c r="C1284" s="1">
        <v>817</v>
      </c>
      <c r="D1284" s="1" t="s">
        <v>43</v>
      </c>
      <c r="E1284" s="1" t="s">
        <v>17</v>
      </c>
      <c r="F1284" s="1">
        <f t="shared" si="40"/>
        <v>623</v>
      </c>
      <c r="G1284" s="5">
        <f t="shared" si="41"/>
        <v>1.3113964686998394</v>
      </c>
    </row>
    <row r="1285" spans="1:7" ht="13">
      <c r="A1285" s="4" t="s">
        <v>116</v>
      </c>
      <c r="B1285" s="1">
        <v>4.3499999999999996</v>
      </c>
      <c r="C1285" s="1">
        <v>617</v>
      </c>
      <c r="D1285" s="1" t="s">
        <v>47</v>
      </c>
      <c r="E1285" s="1" t="s">
        <v>9</v>
      </c>
      <c r="F1285" s="1">
        <f t="shared" si="40"/>
        <v>434.99999999999994</v>
      </c>
      <c r="G1285" s="5">
        <f t="shared" si="41"/>
        <v>1.4183908045977014</v>
      </c>
    </row>
    <row r="1286" spans="1:7" ht="13">
      <c r="A1286" s="4" t="s">
        <v>116</v>
      </c>
      <c r="B1286" s="1">
        <v>5.8</v>
      </c>
      <c r="C1286" s="1">
        <v>641</v>
      </c>
      <c r="D1286" s="1" t="s">
        <v>43</v>
      </c>
      <c r="E1286" s="1" t="s">
        <v>7</v>
      </c>
      <c r="F1286" s="1">
        <f t="shared" si="40"/>
        <v>580</v>
      </c>
      <c r="G1286" s="5">
        <f t="shared" si="41"/>
        <v>1.1051724137931034</v>
      </c>
    </row>
    <row r="1287" spans="1:7" ht="13">
      <c r="A1287" s="4" t="s">
        <v>116</v>
      </c>
      <c r="B1287" s="1">
        <v>6.4</v>
      </c>
      <c r="C1287" s="1">
        <v>771</v>
      </c>
      <c r="D1287" s="1" t="s">
        <v>11</v>
      </c>
      <c r="E1287" s="1" t="s">
        <v>8</v>
      </c>
      <c r="F1287" s="1">
        <f t="shared" si="40"/>
        <v>640</v>
      </c>
      <c r="G1287" s="5">
        <f t="shared" si="41"/>
        <v>1.2046874999999999</v>
      </c>
    </row>
    <row r="1288" spans="1:7" ht="13">
      <c r="A1288" s="4" t="s">
        <v>116</v>
      </c>
      <c r="B1288" s="1">
        <v>7.74</v>
      </c>
      <c r="C1288" s="1">
        <v>844</v>
      </c>
      <c r="D1288" s="1" t="s">
        <v>33</v>
      </c>
      <c r="E1288" s="1" t="s">
        <v>16</v>
      </c>
      <c r="F1288" s="1">
        <f t="shared" si="40"/>
        <v>774</v>
      </c>
      <c r="G1288" s="5">
        <f t="shared" si="41"/>
        <v>1.0904392764857882</v>
      </c>
    </row>
    <row r="1289" spans="1:7" ht="13">
      <c r="A1289" s="4" t="s">
        <v>116</v>
      </c>
      <c r="B1289" s="1">
        <v>7.74</v>
      </c>
      <c r="C1289" s="1">
        <v>831</v>
      </c>
      <c r="D1289" s="1" t="s">
        <v>33</v>
      </c>
      <c r="E1289" s="1" t="s">
        <v>16</v>
      </c>
      <c r="F1289" s="1">
        <f t="shared" si="40"/>
        <v>774</v>
      </c>
      <c r="G1289" s="5">
        <f t="shared" si="41"/>
        <v>1.0736434108527131</v>
      </c>
    </row>
    <row r="1290" spans="1:7" ht="13">
      <c r="A1290" s="4" t="s">
        <v>116</v>
      </c>
      <c r="B1290" s="1">
        <v>6.04</v>
      </c>
      <c r="C1290" s="1">
        <v>750</v>
      </c>
      <c r="D1290" s="1" t="s">
        <v>42</v>
      </c>
      <c r="E1290" s="1" t="s">
        <v>8</v>
      </c>
      <c r="F1290" s="1">
        <f t="shared" si="40"/>
        <v>604</v>
      </c>
      <c r="G1290" s="5">
        <f t="shared" si="41"/>
        <v>1.2417218543046358</v>
      </c>
    </row>
    <row r="1291" spans="1:7" ht="13">
      <c r="A1291" s="4" t="s">
        <v>116</v>
      </c>
      <c r="B1291" s="1">
        <v>6.3</v>
      </c>
      <c r="C1291" s="1">
        <v>630</v>
      </c>
      <c r="D1291" s="1" t="s">
        <v>43</v>
      </c>
      <c r="E1291" s="1" t="s">
        <v>29</v>
      </c>
      <c r="F1291" s="1">
        <f t="shared" si="40"/>
        <v>630</v>
      </c>
      <c r="G1291" s="5">
        <f t="shared" si="41"/>
        <v>1</v>
      </c>
    </row>
    <row r="1292" spans="1:7" ht="13">
      <c r="A1292" s="4" t="s">
        <v>116</v>
      </c>
      <c r="B1292" s="1">
        <v>9.1300000000000008</v>
      </c>
      <c r="C1292" s="1">
        <v>960</v>
      </c>
      <c r="D1292" s="1" t="s">
        <v>11</v>
      </c>
      <c r="E1292" s="1" t="s">
        <v>19</v>
      </c>
      <c r="F1292" s="1">
        <f t="shared" si="40"/>
        <v>913.00000000000011</v>
      </c>
      <c r="G1292" s="5">
        <f t="shared" si="41"/>
        <v>1.0514786418400874</v>
      </c>
    </row>
    <row r="1293" spans="1:7" ht="13">
      <c r="A1293" s="4" t="s">
        <v>116</v>
      </c>
      <c r="B1293" s="1">
        <v>6.96</v>
      </c>
      <c r="C1293" s="1">
        <v>736</v>
      </c>
      <c r="D1293" s="1" t="s">
        <v>33</v>
      </c>
      <c r="E1293" s="1" t="s">
        <v>12</v>
      </c>
      <c r="F1293" s="1">
        <f t="shared" si="40"/>
        <v>696</v>
      </c>
      <c r="G1293" s="5">
        <f t="shared" si="41"/>
        <v>1.0574712643678161</v>
      </c>
    </row>
    <row r="1294" spans="1:7" ht="13">
      <c r="A1294" s="4" t="s">
        <v>116</v>
      </c>
      <c r="B1294" s="1">
        <v>6.5</v>
      </c>
      <c r="C1294" s="1">
        <v>730</v>
      </c>
      <c r="D1294" s="1" t="s">
        <v>11</v>
      </c>
      <c r="E1294" s="1" t="s">
        <v>17</v>
      </c>
      <c r="F1294" s="1">
        <f t="shared" si="40"/>
        <v>650</v>
      </c>
      <c r="G1294" s="5">
        <f t="shared" si="41"/>
        <v>1.1230769230769231</v>
      </c>
    </row>
    <row r="1295" spans="1:7" ht="13">
      <c r="A1295" s="4" t="s">
        <v>116</v>
      </c>
      <c r="B1295" s="1">
        <v>7.74</v>
      </c>
      <c r="C1295" s="1">
        <v>883</v>
      </c>
      <c r="D1295" s="1" t="s">
        <v>11</v>
      </c>
      <c r="E1295" s="1" t="s">
        <v>24</v>
      </c>
      <c r="F1295" s="1">
        <f t="shared" si="40"/>
        <v>774</v>
      </c>
      <c r="G1295" s="5">
        <f t="shared" si="41"/>
        <v>1.1408268733850129</v>
      </c>
    </row>
    <row r="1296" spans="1:7" ht="13">
      <c r="A1296" s="4" t="s">
        <v>116</v>
      </c>
      <c r="B1296" s="1">
        <v>5.16</v>
      </c>
      <c r="C1296" s="1">
        <v>600</v>
      </c>
      <c r="D1296" s="1" t="s">
        <v>11</v>
      </c>
      <c r="E1296" s="1" t="s">
        <v>27</v>
      </c>
      <c r="F1296" s="1">
        <f t="shared" si="40"/>
        <v>516</v>
      </c>
      <c r="G1296" s="5">
        <f t="shared" si="41"/>
        <v>1.1627906976744187</v>
      </c>
    </row>
    <row r="1297" spans="1:7" ht="13">
      <c r="A1297" s="4" t="s">
        <v>116</v>
      </c>
      <c r="B1297" s="1">
        <v>5</v>
      </c>
      <c r="C1297" s="1">
        <v>679</v>
      </c>
      <c r="D1297" s="1" t="s">
        <v>43</v>
      </c>
      <c r="E1297" s="1" t="s">
        <v>15</v>
      </c>
      <c r="F1297" s="1">
        <f t="shared" si="40"/>
        <v>500</v>
      </c>
      <c r="G1297" s="5">
        <f t="shared" si="41"/>
        <v>1.3580000000000001</v>
      </c>
    </row>
    <row r="1298" spans="1:7" ht="13">
      <c r="A1298" s="4" t="s">
        <v>116</v>
      </c>
      <c r="B1298" s="1">
        <v>8</v>
      </c>
      <c r="C1298" s="1">
        <v>920</v>
      </c>
      <c r="D1298" s="1" t="s">
        <v>58</v>
      </c>
      <c r="E1298" s="1" t="s">
        <v>49</v>
      </c>
      <c r="F1298" s="1">
        <f t="shared" si="40"/>
        <v>800</v>
      </c>
      <c r="G1298" s="5">
        <f t="shared" si="41"/>
        <v>1.1499999999999999</v>
      </c>
    </row>
    <row r="1299" spans="1:7" ht="13">
      <c r="A1299" s="4" t="s">
        <v>116</v>
      </c>
      <c r="B1299" s="1">
        <v>9.1</v>
      </c>
      <c r="C1299" s="1">
        <v>442</v>
      </c>
      <c r="D1299" s="1" t="s">
        <v>33</v>
      </c>
      <c r="E1299" s="1" t="s">
        <v>17</v>
      </c>
      <c r="F1299" s="1">
        <f t="shared" si="40"/>
        <v>910</v>
      </c>
      <c r="G1299" s="5">
        <f t="shared" si="41"/>
        <v>0.48571428571428571</v>
      </c>
    </row>
    <row r="1300" spans="1:7" ht="13">
      <c r="A1300" s="4" t="s">
        <v>116</v>
      </c>
      <c r="B1300" s="1">
        <v>9.6</v>
      </c>
      <c r="C1300" s="1">
        <v>999</v>
      </c>
      <c r="D1300" s="1" t="s">
        <v>45</v>
      </c>
      <c r="E1300" s="1" t="s">
        <v>12</v>
      </c>
      <c r="F1300" s="1">
        <f t="shared" si="40"/>
        <v>960</v>
      </c>
      <c r="G1300" s="5">
        <f t="shared" si="41"/>
        <v>1.0406249999999999</v>
      </c>
    </row>
    <row r="1301" spans="1:7" ht="13">
      <c r="A1301" s="4" t="s">
        <v>116</v>
      </c>
      <c r="B1301" s="1">
        <v>3.44</v>
      </c>
      <c r="C1301" s="1">
        <v>421.1</v>
      </c>
      <c r="D1301" s="1" t="s">
        <v>39</v>
      </c>
      <c r="E1301" s="1" t="s">
        <v>15</v>
      </c>
      <c r="F1301" s="1">
        <f t="shared" si="40"/>
        <v>344</v>
      </c>
      <c r="G1301" s="5">
        <f t="shared" si="41"/>
        <v>1.2241279069767443</v>
      </c>
    </row>
    <row r="1302" spans="1:7" ht="13">
      <c r="A1302" s="4" t="s">
        <v>116</v>
      </c>
      <c r="B1302" s="1">
        <v>8.3000000000000007</v>
      </c>
      <c r="C1302" s="1">
        <v>1030</v>
      </c>
      <c r="D1302" s="1" t="s">
        <v>11</v>
      </c>
      <c r="E1302" s="1" t="s">
        <v>17</v>
      </c>
      <c r="F1302" s="1">
        <f t="shared" si="40"/>
        <v>830.00000000000011</v>
      </c>
      <c r="G1302" s="5">
        <f t="shared" si="41"/>
        <v>1.2409638554216866</v>
      </c>
    </row>
    <row r="1303" spans="1:7" ht="13">
      <c r="A1303" s="4" t="s">
        <v>116</v>
      </c>
      <c r="B1303" s="1">
        <v>5.81</v>
      </c>
      <c r="C1303" s="1">
        <v>635</v>
      </c>
      <c r="D1303" s="1" t="s">
        <v>38</v>
      </c>
      <c r="E1303" s="1" t="s">
        <v>8</v>
      </c>
      <c r="F1303" s="1">
        <f t="shared" si="40"/>
        <v>581</v>
      </c>
      <c r="G1303" s="5">
        <f t="shared" si="41"/>
        <v>1.0929432013769362</v>
      </c>
    </row>
    <row r="1304" spans="1:7" ht="13">
      <c r="A1304" s="4" t="s">
        <v>116</v>
      </c>
      <c r="B1304" s="1">
        <v>5.6</v>
      </c>
      <c r="C1304" s="1">
        <v>484.59</v>
      </c>
      <c r="D1304" s="1" t="s">
        <v>43</v>
      </c>
      <c r="E1304" s="1" t="s">
        <v>27</v>
      </c>
      <c r="F1304" s="1">
        <f t="shared" si="40"/>
        <v>560</v>
      </c>
      <c r="G1304" s="5">
        <f t="shared" si="41"/>
        <v>0.86533928571428564</v>
      </c>
    </row>
    <row r="1305" spans="1:7" ht="13">
      <c r="A1305" s="4" t="s">
        <v>116</v>
      </c>
      <c r="B1305" s="1">
        <v>6.9</v>
      </c>
      <c r="C1305" s="1">
        <v>792</v>
      </c>
      <c r="D1305" s="1" t="s">
        <v>58</v>
      </c>
      <c r="E1305" s="1" t="s">
        <v>16</v>
      </c>
      <c r="F1305" s="1">
        <f t="shared" si="40"/>
        <v>690</v>
      </c>
      <c r="G1305" s="5">
        <f t="shared" si="41"/>
        <v>1.1478260869565218</v>
      </c>
    </row>
    <row r="1306" spans="1:7" ht="13">
      <c r="A1306" s="4" t="s">
        <v>116</v>
      </c>
      <c r="B1306" s="1">
        <v>5.3949999999999996</v>
      </c>
      <c r="C1306" s="1">
        <v>553.5</v>
      </c>
      <c r="D1306" s="1" t="s">
        <v>44</v>
      </c>
      <c r="E1306" s="1" t="s">
        <v>15</v>
      </c>
      <c r="F1306" s="1">
        <f t="shared" si="40"/>
        <v>539.5</v>
      </c>
      <c r="G1306" s="5">
        <f t="shared" si="41"/>
        <v>1.025949953660797</v>
      </c>
    </row>
    <row r="1307" spans="1:7" ht="13">
      <c r="A1307" s="4" t="s">
        <v>116</v>
      </c>
      <c r="B1307" s="1">
        <v>7.8</v>
      </c>
      <c r="C1307" s="1">
        <v>779</v>
      </c>
      <c r="D1307" s="1" t="s">
        <v>38</v>
      </c>
      <c r="E1307" s="1" t="s">
        <v>21</v>
      </c>
      <c r="F1307" s="1">
        <f t="shared" si="40"/>
        <v>780</v>
      </c>
      <c r="G1307" s="5">
        <f t="shared" si="41"/>
        <v>0.99871794871794872</v>
      </c>
    </row>
    <row r="1308" spans="1:7" ht="13">
      <c r="A1308" s="4" t="s">
        <v>116</v>
      </c>
      <c r="B1308" s="1">
        <v>6.49</v>
      </c>
      <c r="C1308" s="1">
        <v>636</v>
      </c>
      <c r="D1308" s="1" t="s">
        <v>42</v>
      </c>
      <c r="E1308" s="1" t="s">
        <v>25</v>
      </c>
      <c r="F1308" s="1">
        <f t="shared" si="40"/>
        <v>649</v>
      </c>
      <c r="G1308" s="5">
        <f t="shared" si="41"/>
        <v>0.97996918335901384</v>
      </c>
    </row>
    <row r="1309" spans="1:7" ht="13">
      <c r="A1309" s="4" t="s">
        <v>116</v>
      </c>
      <c r="B1309" s="1">
        <v>3.8</v>
      </c>
      <c r="C1309" s="1">
        <v>390</v>
      </c>
      <c r="D1309" s="1" t="s">
        <v>11</v>
      </c>
      <c r="E1309" s="1" t="s">
        <v>31</v>
      </c>
      <c r="F1309" s="1">
        <f t="shared" si="40"/>
        <v>380</v>
      </c>
      <c r="G1309" s="5">
        <f t="shared" si="41"/>
        <v>1.0263157894736843</v>
      </c>
    </row>
    <row r="1310" spans="1:7" ht="13">
      <c r="A1310" s="4" t="s">
        <v>116</v>
      </c>
      <c r="B1310" s="1">
        <v>7</v>
      </c>
      <c r="C1310" s="1">
        <v>837</v>
      </c>
      <c r="D1310" s="1" t="s">
        <v>36</v>
      </c>
      <c r="E1310" s="1" t="s">
        <v>15</v>
      </c>
      <c r="F1310" s="1">
        <f t="shared" si="40"/>
        <v>700</v>
      </c>
      <c r="G1310" s="5">
        <f t="shared" si="41"/>
        <v>1.1957142857142857</v>
      </c>
    </row>
    <row r="1311" spans="1:7" ht="13">
      <c r="A1311" s="4" t="s">
        <v>116</v>
      </c>
      <c r="B1311" s="1">
        <v>4.2</v>
      </c>
      <c r="C1311" s="1">
        <v>520</v>
      </c>
      <c r="D1311" s="1" t="s">
        <v>57</v>
      </c>
      <c r="E1311" s="1" t="s">
        <v>26</v>
      </c>
      <c r="F1311" s="1">
        <f t="shared" si="40"/>
        <v>420</v>
      </c>
      <c r="G1311" s="5">
        <f t="shared" si="41"/>
        <v>1.2380952380952381</v>
      </c>
    </row>
    <row r="1312" spans="1:7" ht="13">
      <c r="A1312" s="4" t="s">
        <v>116</v>
      </c>
      <c r="B1312" s="1">
        <v>7.74</v>
      </c>
      <c r="C1312" s="1">
        <v>826</v>
      </c>
      <c r="D1312" s="1" t="s">
        <v>47</v>
      </c>
      <c r="E1312" s="1" t="s">
        <v>25</v>
      </c>
      <c r="F1312" s="1">
        <f t="shared" ref="F1312:F1375" si="42">B1312*100</f>
        <v>774</v>
      </c>
      <c r="G1312" s="5">
        <f t="shared" si="41"/>
        <v>1.0671834625322998</v>
      </c>
    </row>
    <row r="1313" spans="1:7" ht="13">
      <c r="A1313" s="4" t="s">
        <v>116</v>
      </c>
      <c r="B1313" s="1">
        <v>7.29</v>
      </c>
      <c r="C1313" s="1">
        <v>844</v>
      </c>
      <c r="D1313" s="1" t="s">
        <v>11</v>
      </c>
      <c r="E1313" s="1" t="s">
        <v>18</v>
      </c>
      <c r="F1313" s="1">
        <f t="shared" si="42"/>
        <v>729</v>
      </c>
      <c r="G1313" s="5">
        <f t="shared" si="41"/>
        <v>1.157750342935528</v>
      </c>
    </row>
    <row r="1314" spans="1:7" ht="13">
      <c r="A1314" s="4" t="s">
        <v>116</v>
      </c>
      <c r="B1314" s="1">
        <v>6.8</v>
      </c>
      <c r="C1314" s="1">
        <v>766</v>
      </c>
      <c r="D1314" s="1" t="s">
        <v>38</v>
      </c>
      <c r="E1314" s="1" t="s">
        <v>7</v>
      </c>
      <c r="F1314" s="1">
        <f t="shared" si="42"/>
        <v>680</v>
      </c>
      <c r="G1314" s="5">
        <f t="shared" si="41"/>
        <v>1.1264705882352941</v>
      </c>
    </row>
    <row r="1315" spans="1:7" ht="13">
      <c r="A1315" s="4" t="s">
        <v>116</v>
      </c>
      <c r="B1315" s="1">
        <v>6.5</v>
      </c>
      <c r="C1315" s="1">
        <v>45</v>
      </c>
      <c r="D1315" s="1" t="s">
        <v>43</v>
      </c>
      <c r="E1315" s="1" t="s">
        <v>27</v>
      </c>
      <c r="F1315" s="1">
        <f t="shared" si="42"/>
        <v>650</v>
      </c>
      <c r="G1315" s="5">
        <f t="shared" si="41"/>
        <v>6.9230769230769235E-2</v>
      </c>
    </row>
    <row r="1316" spans="1:7" ht="13">
      <c r="A1316" s="4" t="s">
        <v>116</v>
      </c>
      <c r="B1316" s="1">
        <v>5</v>
      </c>
      <c r="C1316" s="1">
        <v>609</v>
      </c>
      <c r="D1316" s="1" t="s">
        <v>39</v>
      </c>
      <c r="E1316" s="1" t="s">
        <v>30</v>
      </c>
      <c r="F1316" s="1">
        <f t="shared" si="42"/>
        <v>500</v>
      </c>
      <c r="G1316" s="5">
        <f t="shared" si="41"/>
        <v>1.218</v>
      </c>
    </row>
    <row r="1317" spans="1:7" ht="13">
      <c r="A1317" s="4" t="s">
        <v>116</v>
      </c>
      <c r="B1317" s="1">
        <v>4</v>
      </c>
      <c r="C1317" s="1">
        <v>458</v>
      </c>
      <c r="D1317" s="1" t="s">
        <v>35</v>
      </c>
      <c r="E1317" s="1" t="s">
        <v>17</v>
      </c>
      <c r="F1317" s="1">
        <f t="shared" si="42"/>
        <v>400</v>
      </c>
      <c r="G1317" s="5">
        <f t="shared" si="41"/>
        <v>1.145</v>
      </c>
    </row>
    <row r="1318" spans="1:7" ht="13">
      <c r="A1318" s="4" t="s">
        <v>116</v>
      </c>
      <c r="B1318" s="1">
        <v>8.1999999999999993</v>
      </c>
      <c r="C1318" s="1">
        <v>875</v>
      </c>
      <c r="D1318" s="1" t="s">
        <v>43</v>
      </c>
      <c r="E1318" s="1" t="s">
        <v>25</v>
      </c>
      <c r="F1318" s="1">
        <f t="shared" si="42"/>
        <v>819.99999999999989</v>
      </c>
      <c r="G1318" s="5">
        <f t="shared" si="41"/>
        <v>1.0670731707317074</v>
      </c>
    </row>
    <row r="1319" spans="1:7" ht="13">
      <c r="A1319" s="4" t="s">
        <v>116</v>
      </c>
      <c r="B1319" s="1">
        <v>8.6999999999999993</v>
      </c>
      <c r="C1319" s="1">
        <v>976</v>
      </c>
      <c r="D1319" s="1" t="s">
        <v>45</v>
      </c>
      <c r="E1319" s="1" t="s">
        <v>20</v>
      </c>
      <c r="F1319" s="1">
        <f t="shared" si="42"/>
        <v>869.99999999999989</v>
      </c>
      <c r="G1319" s="5">
        <f t="shared" si="41"/>
        <v>1.1218390804597702</v>
      </c>
    </row>
    <row r="1320" spans="1:7" ht="13">
      <c r="A1320" s="4" t="s">
        <v>116</v>
      </c>
      <c r="B1320" s="1">
        <v>6.09</v>
      </c>
      <c r="C1320" s="1">
        <v>739</v>
      </c>
      <c r="D1320" s="1" t="s">
        <v>44</v>
      </c>
      <c r="E1320" s="1" t="s">
        <v>20</v>
      </c>
      <c r="F1320" s="1">
        <f t="shared" si="42"/>
        <v>609</v>
      </c>
      <c r="G1320" s="5">
        <f t="shared" si="41"/>
        <v>1.2134646962233169</v>
      </c>
    </row>
    <row r="1321" spans="1:7" ht="13">
      <c r="A1321" s="4" t="s">
        <v>116</v>
      </c>
      <c r="B1321" s="1">
        <v>6.5</v>
      </c>
      <c r="C1321" s="1">
        <v>719</v>
      </c>
      <c r="D1321" s="1" t="s">
        <v>45</v>
      </c>
      <c r="E1321" s="1" t="s">
        <v>20</v>
      </c>
      <c r="F1321" s="1">
        <f t="shared" si="42"/>
        <v>650</v>
      </c>
      <c r="G1321" s="5">
        <f t="shared" si="41"/>
        <v>1.106153846153846</v>
      </c>
    </row>
    <row r="1322" spans="1:7" ht="13">
      <c r="A1322" s="4" t="s">
        <v>116</v>
      </c>
      <c r="B1322" s="1">
        <v>4.3</v>
      </c>
      <c r="C1322" s="1">
        <v>438</v>
      </c>
      <c r="D1322" s="1" t="s">
        <v>11</v>
      </c>
      <c r="E1322" s="1" t="s">
        <v>32</v>
      </c>
      <c r="F1322" s="1">
        <f t="shared" si="42"/>
        <v>430</v>
      </c>
      <c r="G1322" s="5">
        <f t="shared" si="41"/>
        <v>1.0186046511627906</v>
      </c>
    </row>
    <row r="1323" spans="1:7" ht="13">
      <c r="A1323" s="4" t="s">
        <v>116</v>
      </c>
      <c r="B1323" s="1">
        <v>6</v>
      </c>
      <c r="C1323" s="1">
        <v>690</v>
      </c>
      <c r="D1323" s="1" t="s">
        <v>11</v>
      </c>
      <c r="E1323" s="1" t="s">
        <v>23</v>
      </c>
      <c r="F1323" s="1">
        <f t="shared" si="42"/>
        <v>600</v>
      </c>
      <c r="G1323" s="5">
        <f t="shared" si="41"/>
        <v>1.1499999999999999</v>
      </c>
    </row>
    <row r="1324" spans="1:7" ht="13">
      <c r="A1324" s="4" t="s">
        <v>116</v>
      </c>
      <c r="B1324" s="1">
        <v>5.4</v>
      </c>
      <c r="C1324" s="1">
        <v>675</v>
      </c>
      <c r="D1324" s="1" t="s">
        <v>55</v>
      </c>
      <c r="E1324" s="1" t="s">
        <v>26</v>
      </c>
      <c r="F1324" s="1">
        <f t="shared" si="42"/>
        <v>540</v>
      </c>
      <c r="G1324" s="5">
        <f t="shared" si="41"/>
        <v>1.25</v>
      </c>
    </row>
    <row r="1325" spans="1:7" ht="13">
      <c r="A1325" s="4" t="s">
        <v>116</v>
      </c>
      <c r="B1325" s="1">
        <v>5.5</v>
      </c>
      <c r="C1325" s="1">
        <v>675</v>
      </c>
      <c r="D1325" s="1" t="s">
        <v>11</v>
      </c>
      <c r="E1325" s="1" t="s">
        <v>68</v>
      </c>
      <c r="F1325" s="1">
        <f t="shared" si="42"/>
        <v>550</v>
      </c>
      <c r="G1325" s="5">
        <f t="shared" si="41"/>
        <v>1.2272727272727273</v>
      </c>
    </row>
    <row r="1326" spans="1:7" ht="13">
      <c r="A1326" s="4" t="s">
        <v>116</v>
      </c>
      <c r="B1326" s="1">
        <v>7.3</v>
      </c>
      <c r="C1326" s="1">
        <v>832</v>
      </c>
      <c r="D1326" s="1" t="s">
        <v>11</v>
      </c>
      <c r="E1326" s="1" t="s">
        <v>16</v>
      </c>
      <c r="F1326" s="1">
        <f t="shared" si="42"/>
        <v>730</v>
      </c>
      <c r="G1326" s="5">
        <f t="shared" si="41"/>
        <v>1.1397260273972603</v>
      </c>
    </row>
    <row r="1327" spans="1:7" ht="13">
      <c r="A1327" s="4" t="s">
        <v>116</v>
      </c>
      <c r="B1327" s="1">
        <v>6.96</v>
      </c>
      <c r="C1327" s="1">
        <v>647</v>
      </c>
      <c r="D1327" s="1" t="s">
        <v>33</v>
      </c>
      <c r="E1327" s="1" t="s">
        <v>12</v>
      </c>
      <c r="F1327" s="1">
        <f t="shared" si="42"/>
        <v>696</v>
      </c>
      <c r="G1327" s="5">
        <f t="shared" si="41"/>
        <v>0.9295977011494253</v>
      </c>
    </row>
    <row r="1328" spans="1:7" ht="13">
      <c r="A1328" s="4" t="s">
        <v>116</v>
      </c>
      <c r="B1328" s="1">
        <v>7.4</v>
      </c>
      <c r="C1328" s="1">
        <v>750</v>
      </c>
      <c r="D1328" s="1" t="s">
        <v>42</v>
      </c>
      <c r="E1328" s="1" t="s">
        <v>10</v>
      </c>
      <c r="F1328" s="1">
        <f t="shared" si="42"/>
        <v>740</v>
      </c>
      <c r="G1328" s="5">
        <f t="shared" si="41"/>
        <v>1.0135135135135136</v>
      </c>
    </row>
    <row r="1329" spans="1:7" ht="13">
      <c r="A1329" s="4" t="s">
        <v>116</v>
      </c>
      <c r="B1329" s="1">
        <v>3.44</v>
      </c>
      <c r="C1329" s="1">
        <v>420</v>
      </c>
      <c r="D1329" s="1" t="s">
        <v>11</v>
      </c>
      <c r="E1329" s="1" t="s">
        <v>9</v>
      </c>
      <c r="F1329" s="1">
        <f t="shared" si="42"/>
        <v>344</v>
      </c>
      <c r="G1329" s="5">
        <f t="shared" si="41"/>
        <v>1.2209302325581395</v>
      </c>
    </row>
    <row r="1330" spans="1:7" ht="13">
      <c r="A1330" s="4" t="s">
        <v>116</v>
      </c>
      <c r="B1330" s="1">
        <v>7.29</v>
      </c>
      <c r="C1330" s="1">
        <v>844</v>
      </c>
      <c r="D1330" s="1" t="s">
        <v>11</v>
      </c>
      <c r="E1330" s="1" t="s">
        <v>18</v>
      </c>
      <c r="F1330" s="1">
        <f t="shared" si="42"/>
        <v>729</v>
      </c>
      <c r="G1330" s="5">
        <f t="shared" si="41"/>
        <v>1.157750342935528</v>
      </c>
    </row>
    <row r="1331" spans="1:7" ht="13">
      <c r="A1331" s="4" t="s">
        <v>116</v>
      </c>
      <c r="B1331" s="1">
        <v>6.5</v>
      </c>
      <c r="C1331" s="1">
        <v>748</v>
      </c>
      <c r="D1331" s="1" t="s">
        <v>34</v>
      </c>
      <c r="E1331" s="1" t="s">
        <v>27</v>
      </c>
      <c r="F1331" s="1">
        <f t="shared" si="42"/>
        <v>650</v>
      </c>
      <c r="G1331" s="5">
        <f t="shared" si="41"/>
        <v>1.1507692307692308</v>
      </c>
    </row>
    <row r="1332" spans="1:7" ht="13">
      <c r="A1332" s="4" t="s">
        <v>116</v>
      </c>
      <c r="B1332" s="1">
        <v>6.7</v>
      </c>
      <c r="C1332" s="1">
        <v>730</v>
      </c>
      <c r="D1332" s="1" t="s">
        <v>58</v>
      </c>
      <c r="E1332" s="1" t="s">
        <v>22</v>
      </c>
      <c r="F1332" s="1">
        <f t="shared" si="42"/>
        <v>670</v>
      </c>
      <c r="G1332" s="5">
        <f t="shared" si="41"/>
        <v>1.0895522388059702</v>
      </c>
    </row>
    <row r="1333" spans="1:7" ht="13">
      <c r="A1333" s="4" t="s">
        <v>116</v>
      </c>
      <c r="B1333" s="1">
        <v>3</v>
      </c>
      <c r="C1333" s="1">
        <v>343</v>
      </c>
      <c r="D1333" s="1" t="s">
        <v>11</v>
      </c>
      <c r="E1333" s="1" t="s">
        <v>10</v>
      </c>
      <c r="F1333" s="1">
        <f t="shared" si="42"/>
        <v>300</v>
      </c>
      <c r="G1333" s="5">
        <f t="shared" si="41"/>
        <v>1.1433333333333333</v>
      </c>
    </row>
    <row r="1334" spans="1:7" ht="13">
      <c r="A1334" s="4" t="s">
        <v>116</v>
      </c>
      <c r="B1334" s="1">
        <v>7.35</v>
      </c>
      <c r="C1334" s="1">
        <v>881</v>
      </c>
      <c r="D1334" s="1" t="s">
        <v>11</v>
      </c>
      <c r="E1334" s="1" t="s">
        <v>17</v>
      </c>
      <c r="F1334" s="1">
        <f t="shared" si="42"/>
        <v>735</v>
      </c>
      <c r="G1334" s="5">
        <f t="shared" si="41"/>
        <v>1.198639455782313</v>
      </c>
    </row>
    <row r="1335" spans="1:7" ht="13">
      <c r="A1335" s="4" t="s">
        <v>116</v>
      </c>
      <c r="B1335" s="1">
        <v>5.2</v>
      </c>
      <c r="C1335" s="1">
        <v>29</v>
      </c>
      <c r="D1335" s="1" t="s">
        <v>33</v>
      </c>
      <c r="E1335" s="1" t="s">
        <v>15</v>
      </c>
      <c r="F1335" s="1">
        <f t="shared" si="42"/>
        <v>520</v>
      </c>
      <c r="G1335" s="5">
        <f t="shared" si="41"/>
        <v>5.5769230769230772E-2</v>
      </c>
    </row>
    <row r="1336" spans="1:7" ht="13">
      <c r="A1336" s="4" t="s">
        <v>116</v>
      </c>
      <c r="B1336" s="1">
        <v>7.92</v>
      </c>
      <c r="C1336" s="1">
        <v>34</v>
      </c>
      <c r="D1336" s="1" t="s">
        <v>43</v>
      </c>
      <c r="E1336" s="1" t="s">
        <v>24</v>
      </c>
      <c r="F1336" s="1">
        <f t="shared" si="42"/>
        <v>792</v>
      </c>
      <c r="G1336" s="5">
        <f t="shared" si="41"/>
        <v>4.2929292929292928E-2</v>
      </c>
    </row>
    <row r="1337" spans="1:7" ht="13">
      <c r="A1337" s="4" t="s">
        <v>116</v>
      </c>
      <c r="B1337" s="1">
        <v>8</v>
      </c>
      <c r="C1337" s="1">
        <v>693</v>
      </c>
      <c r="D1337" s="1" t="s">
        <v>11</v>
      </c>
      <c r="E1337" s="1" t="s">
        <v>22</v>
      </c>
      <c r="F1337" s="1">
        <f t="shared" si="42"/>
        <v>800</v>
      </c>
      <c r="G1337" s="5">
        <f t="shared" si="41"/>
        <v>0.86624999999999996</v>
      </c>
    </row>
    <row r="1338" spans="1:7" ht="13">
      <c r="A1338" s="4" t="s">
        <v>116</v>
      </c>
      <c r="B1338" s="1">
        <v>7.3</v>
      </c>
      <c r="C1338" s="1">
        <v>756</v>
      </c>
      <c r="D1338" s="1" t="s">
        <v>47</v>
      </c>
      <c r="E1338" s="1" t="s">
        <v>28</v>
      </c>
      <c r="F1338" s="1">
        <f t="shared" si="42"/>
        <v>730</v>
      </c>
      <c r="G1338" s="5">
        <f t="shared" si="41"/>
        <v>1.0356164383561643</v>
      </c>
    </row>
    <row r="1339" spans="1:7" ht="13">
      <c r="A1339" s="4" t="s">
        <v>116</v>
      </c>
      <c r="B1339" s="1">
        <v>6.02</v>
      </c>
      <c r="C1339" s="1">
        <v>608</v>
      </c>
      <c r="D1339" s="1" t="s">
        <v>11</v>
      </c>
      <c r="E1339" s="1" t="s">
        <v>22</v>
      </c>
      <c r="F1339" s="1">
        <f t="shared" si="42"/>
        <v>602</v>
      </c>
      <c r="G1339" s="5">
        <f t="shared" si="41"/>
        <v>1.0099667774086378</v>
      </c>
    </row>
    <row r="1340" spans="1:7" ht="13">
      <c r="A1340" s="4" t="s">
        <v>116</v>
      </c>
      <c r="B1340" s="1">
        <v>7.8</v>
      </c>
      <c r="C1340" s="1">
        <v>812</v>
      </c>
      <c r="D1340" s="1" t="s">
        <v>55</v>
      </c>
      <c r="E1340" s="1" t="s">
        <v>49</v>
      </c>
      <c r="F1340" s="1">
        <f t="shared" si="42"/>
        <v>780</v>
      </c>
      <c r="G1340" s="5">
        <f t="shared" si="41"/>
        <v>1.0410256410256411</v>
      </c>
    </row>
    <row r="1341" spans="1:7" ht="13">
      <c r="A1341" s="4" t="s">
        <v>116</v>
      </c>
      <c r="B1341" s="1">
        <v>4.0999999999999996</v>
      </c>
      <c r="C1341" s="1">
        <v>468</v>
      </c>
      <c r="D1341" s="1" t="s">
        <v>40</v>
      </c>
      <c r="E1341" s="1" t="s">
        <v>25</v>
      </c>
      <c r="F1341" s="1">
        <f t="shared" si="42"/>
        <v>409.99999999999994</v>
      </c>
      <c r="G1341" s="5">
        <f t="shared" si="41"/>
        <v>1.1414634146341465</v>
      </c>
    </row>
    <row r="1342" spans="1:7" ht="13">
      <c r="A1342" s="4" t="s">
        <v>116</v>
      </c>
      <c r="B1342" s="1">
        <v>3.4</v>
      </c>
      <c r="C1342" s="1">
        <v>435</v>
      </c>
      <c r="D1342" s="1" t="s">
        <v>11</v>
      </c>
      <c r="E1342" s="1" t="s">
        <v>26</v>
      </c>
      <c r="F1342" s="1">
        <f t="shared" si="42"/>
        <v>340</v>
      </c>
      <c r="G1342" s="5">
        <f t="shared" si="41"/>
        <v>1.2794117647058822</v>
      </c>
    </row>
    <row r="1343" spans="1:7" ht="13">
      <c r="A1343" s="4" t="s">
        <v>116</v>
      </c>
      <c r="B1343" s="1">
        <v>5.12</v>
      </c>
      <c r="C1343" s="1">
        <v>567.79999999999995</v>
      </c>
      <c r="D1343" s="1" t="s">
        <v>39</v>
      </c>
      <c r="E1343" s="1" t="s">
        <v>15</v>
      </c>
      <c r="F1343" s="1">
        <f t="shared" si="42"/>
        <v>512</v>
      </c>
      <c r="G1343" s="5">
        <f t="shared" si="41"/>
        <v>1.1089843749999999</v>
      </c>
    </row>
    <row r="1344" spans="1:7" ht="13">
      <c r="A1344" s="4" t="s">
        <v>116</v>
      </c>
      <c r="B1344" s="1">
        <v>7.3</v>
      </c>
      <c r="C1344" s="1">
        <v>832</v>
      </c>
      <c r="D1344" s="1" t="s">
        <v>38</v>
      </c>
      <c r="E1344" s="1" t="s">
        <v>9</v>
      </c>
      <c r="F1344" s="1">
        <f t="shared" si="42"/>
        <v>730</v>
      </c>
      <c r="G1344" s="5">
        <f t="shared" si="41"/>
        <v>1.1397260273972603</v>
      </c>
    </row>
    <row r="1345" spans="1:7" ht="13">
      <c r="A1345" s="4" t="s">
        <v>116</v>
      </c>
      <c r="B1345" s="1">
        <v>7.2</v>
      </c>
      <c r="C1345" s="1">
        <v>765</v>
      </c>
      <c r="D1345" s="1" t="s">
        <v>43</v>
      </c>
      <c r="E1345" s="1" t="s">
        <v>17</v>
      </c>
      <c r="F1345" s="1">
        <f t="shared" si="42"/>
        <v>720</v>
      </c>
      <c r="G1345" s="5">
        <f t="shared" si="41"/>
        <v>1.0625</v>
      </c>
    </row>
    <row r="1346" spans="1:7" ht="13">
      <c r="A1346" s="4" t="s">
        <v>116</v>
      </c>
      <c r="B1346" s="1">
        <v>9</v>
      </c>
      <c r="C1346" s="1">
        <v>1010</v>
      </c>
      <c r="D1346" s="1" t="s">
        <v>11</v>
      </c>
      <c r="E1346" s="1" t="s">
        <v>23</v>
      </c>
      <c r="F1346" s="1">
        <f t="shared" si="42"/>
        <v>900</v>
      </c>
      <c r="G1346" s="5">
        <f t="shared" ref="G1346:G1409" si="43">C1346/F1346</f>
        <v>1.1222222222222222</v>
      </c>
    </row>
    <row r="1347" spans="1:7" ht="13">
      <c r="A1347" s="4" t="s">
        <v>116</v>
      </c>
      <c r="B1347" s="1">
        <v>6.29</v>
      </c>
      <c r="C1347" s="1">
        <v>817</v>
      </c>
      <c r="D1347" s="1" t="s">
        <v>11</v>
      </c>
      <c r="E1347" s="1" t="s">
        <v>27</v>
      </c>
      <c r="F1347" s="1">
        <f t="shared" si="42"/>
        <v>629</v>
      </c>
      <c r="G1347" s="5">
        <f t="shared" si="43"/>
        <v>1.2988871224165341</v>
      </c>
    </row>
    <row r="1348" spans="1:7" ht="13">
      <c r="A1348" s="4" t="s">
        <v>116</v>
      </c>
      <c r="B1348" s="1">
        <v>6</v>
      </c>
      <c r="C1348" s="1">
        <v>623</v>
      </c>
      <c r="D1348" s="1" t="s">
        <v>33</v>
      </c>
      <c r="E1348" s="1" t="s">
        <v>15</v>
      </c>
      <c r="F1348" s="1">
        <f t="shared" si="42"/>
        <v>600</v>
      </c>
      <c r="G1348" s="5">
        <f t="shared" si="43"/>
        <v>1.0383333333333333</v>
      </c>
    </row>
    <row r="1349" spans="1:7" ht="13">
      <c r="A1349" s="4" t="s">
        <v>116</v>
      </c>
      <c r="B1349" s="1">
        <v>6.88</v>
      </c>
      <c r="C1349" s="1">
        <v>805</v>
      </c>
      <c r="D1349" s="1" t="s">
        <v>33</v>
      </c>
      <c r="E1349" s="1" t="s">
        <v>8</v>
      </c>
      <c r="F1349" s="1">
        <f t="shared" si="42"/>
        <v>688</v>
      </c>
      <c r="G1349" s="5">
        <f t="shared" si="43"/>
        <v>1.1700581395348837</v>
      </c>
    </row>
    <row r="1350" spans="1:7" ht="13">
      <c r="A1350" s="4" t="s">
        <v>116</v>
      </c>
      <c r="B1350" s="1">
        <v>6</v>
      </c>
      <c r="C1350" s="1">
        <v>627</v>
      </c>
      <c r="D1350" s="1" t="s">
        <v>11</v>
      </c>
      <c r="E1350" s="1" t="s">
        <v>20</v>
      </c>
      <c r="F1350" s="1">
        <f t="shared" si="42"/>
        <v>600</v>
      </c>
      <c r="G1350" s="5">
        <f t="shared" si="43"/>
        <v>1.0449999999999999</v>
      </c>
    </row>
    <row r="1351" spans="1:7" ht="13">
      <c r="A1351" s="4" t="s">
        <v>116</v>
      </c>
      <c r="B1351" s="1">
        <v>6.02</v>
      </c>
      <c r="C1351" s="1">
        <v>664</v>
      </c>
      <c r="D1351" s="1" t="s">
        <v>42</v>
      </c>
      <c r="E1351" s="1" t="s">
        <v>14</v>
      </c>
      <c r="F1351" s="1">
        <f t="shared" si="42"/>
        <v>602</v>
      </c>
      <c r="G1351" s="5">
        <f t="shared" si="43"/>
        <v>1.1029900332225913</v>
      </c>
    </row>
    <row r="1352" spans="1:7" ht="13">
      <c r="A1352" s="4" t="s">
        <v>116</v>
      </c>
      <c r="B1352" s="1">
        <v>5</v>
      </c>
      <c r="C1352" s="1">
        <v>584</v>
      </c>
      <c r="D1352" s="1" t="s">
        <v>42</v>
      </c>
      <c r="E1352" s="1" t="s">
        <v>30</v>
      </c>
      <c r="F1352" s="1">
        <f t="shared" si="42"/>
        <v>500</v>
      </c>
      <c r="G1352" s="5">
        <f t="shared" si="43"/>
        <v>1.1679999999999999</v>
      </c>
    </row>
    <row r="1353" spans="1:7" ht="13">
      <c r="A1353" s="4" t="s">
        <v>116</v>
      </c>
      <c r="B1353" s="1">
        <v>8.1999999999999993</v>
      </c>
      <c r="C1353" s="1">
        <v>815</v>
      </c>
      <c r="D1353" s="1" t="s">
        <v>11</v>
      </c>
      <c r="E1353" s="1" t="s">
        <v>12</v>
      </c>
      <c r="F1353" s="1">
        <f t="shared" si="42"/>
        <v>819.99999999999989</v>
      </c>
      <c r="G1353" s="5">
        <f t="shared" si="43"/>
        <v>0.99390243902439035</v>
      </c>
    </row>
    <row r="1354" spans="1:7" ht="13">
      <c r="A1354" s="4" t="s">
        <v>116</v>
      </c>
      <c r="B1354" s="1">
        <v>4.5999999999999996</v>
      </c>
      <c r="C1354" s="1">
        <v>516</v>
      </c>
      <c r="D1354" s="1" t="s">
        <v>11</v>
      </c>
      <c r="E1354" s="1" t="s">
        <v>24</v>
      </c>
      <c r="F1354" s="1">
        <f t="shared" si="42"/>
        <v>459.99999999999994</v>
      </c>
      <c r="G1354" s="5">
        <f t="shared" si="43"/>
        <v>1.1217391304347828</v>
      </c>
    </row>
    <row r="1355" spans="1:7" ht="13">
      <c r="A1355" s="4" t="s">
        <v>116</v>
      </c>
      <c r="B1355" s="1">
        <v>8.75</v>
      </c>
      <c r="C1355" s="1">
        <v>897</v>
      </c>
      <c r="D1355" s="1" t="s">
        <v>47</v>
      </c>
      <c r="E1355" s="1" t="s">
        <v>31</v>
      </c>
      <c r="F1355" s="1">
        <f t="shared" si="42"/>
        <v>875</v>
      </c>
      <c r="G1355" s="5">
        <f t="shared" si="43"/>
        <v>1.0251428571428571</v>
      </c>
    </row>
    <row r="1356" spans="1:7" ht="13">
      <c r="A1356" s="4" t="s">
        <v>116</v>
      </c>
      <c r="B1356" s="1">
        <v>7</v>
      </c>
      <c r="C1356" s="1">
        <v>811</v>
      </c>
      <c r="D1356" s="1" t="s">
        <v>33</v>
      </c>
      <c r="E1356" s="1" t="s">
        <v>15</v>
      </c>
      <c r="F1356" s="1">
        <f t="shared" si="42"/>
        <v>700</v>
      </c>
      <c r="G1356" s="5">
        <f t="shared" si="43"/>
        <v>1.1585714285714286</v>
      </c>
    </row>
    <row r="1357" spans="1:7" ht="13">
      <c r="A1357" s="4" t="s">
        <v>116</v>
      </c>
      <c r="B1357" s="1">
        <v>5.16</v>
      </c>
      <c r="C1357" s="1">
        <v>567</v>
      </c>
      <c r="D1357" s="1" t="s">
        <v>42</v>
      </c>
      <c r="E1357" s="1" t="s">
        <v>22</v>
      </c>
      <c r="F1357" s="1">
        <f t="shared" si="42"/>
        <v>516</v>
      </c>
      <c r="G1357" s="5">
        <f t="shared" si="43"/>
        <v>1.0988372093023255</v>
      </c>
    </row>
    <row r="1358" spans="1:7" ht="13">
      <c r="A1358" s="4" t="s">
        <v>116</v>
      </c>
      <c r="B1358" s="1">
        <v>1044</v>
      </c>
      <c r="C1358" s="1">
        <v>1123</v>
      </c>
      <c r="D1358" s="1" t="s">
        <v>11</v>
      </c>
      <c r="E1358" s="1" t="s">
        <v>20</v>
      </c>
      <c r="F1358" s="1">
        <f t="shared" si="42"/>
        <v>104400</v>
      </c>
      <c r="G1358" s="5">
        <f t="shared" si="43"/>
        <v>1.0756704980842913E-2</v>
      </c>
    </row>
    <row r="1359" spans="1:7" ht="13">
      <c r="A1359" s="4" t="s">
        <v>116</v>
      </c>
      <c r="B1359" s="1">
        <v>6.04</v>
      </c>
      <c r="C1359" s="1">
        <v>634</v>
      </c>
      <c r="D1359" s="1" t="s">
        <v>33</v>
      </c>
      <c r="E1359" s="1" t="s">
        <v>15</v>
      </c>
      <c r="F1359" s="1">
        <f t="shared" si="42"/>
        <v>604</v>
      </c>
      <c r="G1359" s="5">
        <f t="shared" si="43"/>
        <v>1.0496688741721854</v>
      </c>
    </row>
    <row r="1360" spans="1:7" ht="13">
      <c r="A1360" s="4" t="s">
        <v>116</v>
      </c>
      <c r="B1360" s="1">
        <v>8.4</v>
      </c>
      <c r="C1360" s="1">
        <v>930</v>
      </c>
      <c r="D1360" s="1" t="s">
        <v>11</v>
      </c>
      <c r="E1360" s="1" t="s">
        <v>24</v>
      </c>
      <c r="F1360" s="1">
        <f t="shared" si="42"/>
        <v>840</v>
      </c>
      <c r="G1360" s="5">
        <f t="shared" si="43"/>
        <v>1.1071428571428572</v>
      </c>
    </row>
    <row r="1361" spans="1:7" ht="13">
      <c r="A1361" s="4" t="s">
        <v>116</v>
      </c>
      <c r="B1361" s="1">
        <v>6400</v>
      </c>
      <c r="C1361" s="1">
        <v>817</v>
      </c>
      <c r="D1361" s="1" t="s">
        <v>11</v>
      </c>
      <c r="E1361" s="1" t="s">
        <v>26</v>
      </c>
      <c r="F1361" s="1">
        <f t="shared" si="42"/>
        <v>640000</v>
      </c>
      <c r="G1361" s="5">
        <f t="shared" si="43"/>
        <v>1.2765624999999999E-3</v>
      </c>
    </row>
    <row r="1362" spans="1:7" ht="13">
      <c r="A1362" s="4" t="s">
        <v>116</v>
      </c>
      <c r="B1362" s="1">
        <v>6.4</v>
      </c>
      <c r="C1362" s="1">
        <v>735</v>
      </c>
      <c r="D1362" s="1" t="s">
        <v>11</v>
      </c>
      <c r="E1362" s="1" t="s">
        <v>20</v>
      </c>
      <c r="F1362" s="1">
        <f t="shared" si="42"/>
        <v>640</v>
      </c>
      <c r="G1362" s="5">
        <f t="shared" si="43"/>
        <v>1.1484375</v>
      </c>
    </row>
    <row r="1363" spans="1:7" ht="13">
      <c r="A1363" s="4" t="s">
        <v>116</v>
      </c>
      <c r="B1363" s="1">
        <v>6.2249999999999996</v>
      </c>
      <c r="C1363" s="1">
        <v>659</v>
      </c>
      <c r="D1363" s="1" t="s">
        <v>94</v>
      </c>
      <c r="E1363" s="1" t="s">
        <v>17</v>
      </c>
      <c r="F1363" s="1">
        <f t="shared" si="42"/>
        <v>622.5</v>
      </c>
      <c r="G1363" s="5">
        <f t="shared" si="43"/>
        <v>1.0586345381526105</v>
      </c>
    </row>
    <row r="1364" spans="1:7" ht="13">
      <c r="A1364" s="4" t="s">
        <v>116</v>
      </c>
      <c r="B1364" s="1">
        <v>6</v>
      </c>
      <c r="C1364" s="1">
        <v>664</v>
      </c>
      <c r="D1364" s="1" t="s">
        <v>11</v>
      </c>
      <c r="E1364" s="1" t="s">
        <v>12</v>
      </c>
      <c r="F1364" s="1">
        <f t="shared" si="42"/>
        <v>600</v>
      </c>
      <c r="G1364" s="5">
        <f t="shared" si="43"/>
        <v>1.1066666666666667</v>
      </c>
    </row>
    <row r="1365" spans="1:7" ht="13">
      <c r="A1365" s="4" t="s">
        <v>116</v>
      </c>
      <c r="B1365" s="1">
        <v>6.25</v>
      </c>
      <c r="C1365" s="1">
        <v>485</v>
      </c>
      <c r="D1365" s="1" t="s">
        <v>11</v>
      </c>
      <c r="E1365" s="1" t="s">
        <v>32</v>
      </c>
      <c r="F1365" s="1">
        <f t="shared" si="42"/>
        <v>625</v>
      </c>
      <c r="G1365" s="5">
        <f t="shared" si="43"/>
        <v>0.77600000000000002</v>
      </c>
    </row>
    <row r="1366" spans="1:7" ht="13">
      <c r="A1366" s="4" t="s">
        <v>116</v>
      </c>
      <c r="B1366" s="1">
        <v>7.56</v>
      </c>
      <c r="C1366" s="1">
        <v>798</v>
      </c>
      <c r="D1366" s="1" t="s">
        <v>33</v>
      </c>
      <c r="E1366" s="1" t="s">
        <v>15</v>
      </c>
      <c r="F1366" s="1">
        <f t="shared" si="42"/>
        <v>756</v>
      </c>
      <c r="G1366" s="5">
        <f t="shared" si="43"/>
        <v>1.0555555555555556</v>
      </c>
    </row>
    <row r="1367" spans="1:7" ht="13">
      <c r="A1367" s="4" t="s">
        <v>116</v>
      </c>
      <c r="B1367" s="1">
        <v>6</v>
      </c>
      <c r="C1367" s="1">
        <v>783</v>
      </c>
      <c r="D1367" s="1" t="s">
        <v>11</v>
      </c>
      <c r="E1367" s="1" t="s">
        <v>8</v>
      </c>
      <c r="F1367" s="1">
        <f t="shared" si="42"/>
        <v>600</v>
      </c>
      <c r="G1367" s="5">
        <f t="shared" si="43"/>
        <v>1.3049999999999999</v>
      </c>
    </row>
    <row r="1368" spans="1:7" ht="13">
      <c r="A1368" s="4" t="s">
        <v>116</v>
      </c>
      <c r="B1368" s="1">
        <v>8</v>
      </c>
      <c r="C1368" s="1">
        <v>820</v>
      </c>
      <c r="D1368" s="1" t="s">
        <v>11</v>
      </c>
      <c r="E1368" s="1" t="s">
        <v>12</v>
      </c>
      <c r="F1368" s="1">
        <f t="shared" si="42"/>
        <v>800</v>
      </c>
      <c r="G1368" s="5">
        <f t="shared" si="43"/>
        <v>1.0249999999999999</v>
      </c>
    </row>
    <row r="1369" spans="1:7" ht="13">
      <c r="A1369" s="4" t="s">
        <v>116</v>
      </c>
      <c r="B1369" s="1">
        <v>6.97</v>
      </c>
      <c r="C1369" s="1">
        <v>694.1</v>
      </c>
      <c r="D1369" s="1" t="s">
        <v>39</v>
      </c>
      <c r="E1369" s="1" t="s">
        <v>17</v>
      </c>
      <c r="F1369" s="1">
        <f t="shared" si="42"/>
        <v>697</v>
      </c>
      <c r="G1369" s="5">
        <f t="shared" si="43"/>
        <v>0.99583931133428982</v>
      </c>
    </row>
    <row r="1370" spans="1:7" ht="13">
      <c r="A1370" s="4" t="s">
        <v>116</v>
      </c>
      <c r="B1370" s="1">
        <v>8.5</v>
      </c>
      <c r="C1370" s="1">
        <v>895</v>
      </c>
      <c r="D1370" s="1" t="s">
        <v>33</v>
      </c>
      <c r="E1370" s="1" t="s">
        <v>46</v>
      </c>
      <c r="F1370" s="1">
        <f t="shared" si="42"/>
        <v>850</v>
      </c>
      <c r="G1370" s="5">
        <f t="shared" si="43"/>
        <v>1.0529411764705883</v>
      </c>
    </row>
    <row r="1371" spans="1:7" ht="13">
      <c r="A1371" s="4" t="s">
        <v>116</v>
      </c>
      <c r="B1371" s="1">
        <v>6</v>
      </c>
      <c r="C1371" s="1">
        <v>590</v>
      </c>
      <c r="D1371" s="1" t="s">
        <v>33</v>
      </c>
      <c r="E1371" s="1" t="s">
        <v>15</v>
      </c>
      <c r="F1371" s="1">
        <f t="shared" si="42"/>
        <v>600</v>
      </c>
      <c r="G1371" s="5">
        <f t="shared" si="43"/>
        <v>0.98333333333333328</v>
      </c>
    </row>
    <row r="1372" spans="1:7" ht="13">
      <c r="A1372" s="4" t="s">
        <v>116</v>
      </c>
      <c r="B1372" s="1">
        <v>7.3</v>
      </c>
      <c r="C1372" s="1">
        <v>703</v>
      </c>
      <c r="D1372" s="1" t="s">
        <v>35</v>
      </c>
      <c r="E1372" s="1" t="s">
        <v>23</v>
      </c>
      <c r="F1372" s="1">
        <f t="shared" si="42"/>
        <v>730</v>
      </c>
      <c r="G1372" s="5">
        <f t="shared" si="43"/>
        <v>0.96301369863013697</v>
      </c>
    </row>
    <row r="1373" spans="1:7" ht="13">
      <c r="A1373" s="4" t="s">
        <v>116</v>
      </c>
      <c r="B1373" s="1">
        <v>6.4</v>
      </c>
      <c r="C1373" s="1">
        <v>700.2</v>
      </c>
      <c r="D1373" s="1" t="s">
        <v>35</v>
      </c>
      <c r="E1373" s="1" t="s">
        <v>18</v>
      </c>
      <c r="F1373" s="1">
        <f t="shared" si="42"/>
        <v>640</v>
      </c>
      <c r="G1373" s="5">
        <f t="shared" si="43"/>
        <v>1.0940625000000002</v>
      </c>
    </row>
    <row r="1374" spans="1:7" ht="13">
      <c r="A1374" s="4" t="s">
        <v>116</v>
      </c>
      <c r="B1374" s="1">
        <v>6.6</v>
      </c>
      <c r="C1374" s="1">
        <v>625</v>
      </c>
      <c r="D1374" s="1" t="s">
        <v>52</v>
      </c>
      <c r="E1374" s="1" t="s">
        <v>25</v>
      </c>
      <c r="F1374" s="1">
        <f t="shared" si="42"/>
        <v>660</v>
      </c>
      <c r="G1374" s="5">
        <f t="shared" si="43"/>
        <v>0.94696969696969702</v>
      </c>
    </row>
    <row r="1375" spans="1:7" ht="13">
      <c r="A1375" s="4" t="s">
        <v>116</v>
      </c>
      <c r="B1375" s="1">
        <v>8.6</v>
      </c>
      <c r="C1375" s="1">
        <v>928</v>
      </c>
      <c r="D1375" s="1" t="s">
        <v>11</v>
      </c>
      <c r="E1375" s="1" t="s">
        <v>19</v>
      </c>
      <c r="F1375" s="1">
        <f t="shared" si="42"/>
        <v>860</v>
      </c>
      <c r="G1375" s="5">
        <f t="shared" si="43"/>
        <v>1.0790697674418606</v>
      </c>
    </row>
    <row r="1376" spans="1:7" ht="13">
      <c r="A1376" s="4" t="s">
        <v>116</v>
      </c>
      <c r="B1376" s="1">
        <v>3.85</v>
      </c>
      <c r="C1376" s="1">
        <v>414</v>
      </c>
      <c r="D1376" s="1" t="s">
        <v>11</v>
      </c>
      <c r="E1376" s="1" t="s">
        <v>20</v>
      </c>
      <c r="F1376" s="1">
        <f t="shared" ref="F1376:F1439" si="44">B1376*100</f>
        <v>385</v>
      </c>
      <c r="G1376" s="5">
        <f t="shared" si="43"/>
        <v>1.0753246753246752</v>
      </c>
    </row>
    <row r="1377" spans="1:7" ht="13">
      <c r="A1377" s="4" t="s">
        <v>116</v>
      </c>
      <c r="B1377" s="1">
        <v>5.0999999999999996</v>
      </c>
      <c r="C1377" s="1">
        <v>550</v>
      </c>
      <c r="D1377" s="1" t="s">
        <v>40</v>
      </c>
      <c r="E1377" s="1" t="s">
        <v>15</v>
      </c>
      <c r="F1377" s="1">
        <f t="shared" si="44"/>
        <v>509.99999999999994</v>
      </c>
      <c r="G1377" s="5">
        <f t="shared" si="43"/>
        <v>1.0784313725490198</v>
      </c>
    </row>
    <row r="1378" spans="1:7" ht="13">
      <c r="A1378" s="4" t="s">
        <v>116</v>
      </c>
      <c r="B1378" s="1">
        <v>5.0999999999999996</v>
      </c>
      <c r="C1378" s="1">
        <v>557</v>
      </c>
      <c r="D1378" s="1" t="s">
        <v>59</v>
      </c>
      <c r="E1378" s="1" t="s">
        <v>18</v>
      </c>
      <c r="F1378" s="1">
        <f t="shared" si="44"/>
        <v>509.99999999999994</v>
      </c>
      <c r="G1378" s="5">
        <f t="shared" si="43"/>
        <v>1.0921568627450982</v>
      </c>
    </row>
    <row r="1379" spans="1:7" ht="13">
      <c r="A1379" s="4" t="s">
        <v>116</v>
      </c>
      <c r="B1379" s="1">
        <v>6.96</v>
      </c>
      <c r="C1379" s="1">
        <v>756</v>
      </c>
      <c r="D1379" s="1" t="s">
        <v>11</v>
      </c>
      <c r="E1379" s="1" t="s">
        <v>20</v>
      </c>
      <c r="F1379" s="1">
        <f t="shared" si="44"/>
        <v>696</v>
      </c>
      <c r="G1379" s="5">
        <f t="shared" si="43"/>
        <v>1.0862068965517242</v>
      </c>
    </row>
    <row r="1380" spans="1:7" ht="13">
      <c r="A1380" s="4" t="s">
        <v>116</v>
      </c>
      <c r="B1380" s="1">
        <v>5.2</v>
      </c>
      <c r="C1380" s="1">
        <v>572</v>
      </c>
      <c r="D1380" s="1" t="s">
        <v>33</v>
      </c>
      <c r="E1380" s="1" t="s">
        <v>15</v>
      </c>
      <c r="F1380" s="1">
        <f t="shared" si="44"/>
        <v>520</v>
      </c>
      <c r="G1380" s="5">
        <f t="shared" si="43"/>
        <v>1.1000000000000001</v>
      </c>
    </row>
    <row r="1381" spans="1:7" ht="13">
      <c r="A1381" s="4" t="s">
        <v>116</v>
      </c>
      <c r="B1381" s="1">
        <v>7.38</v>
      </c>
      <c r="C1381" s="1">
        <v>782</v>
      </c>
      <c r="D1381" s="1" t="s">
        <v>33</v>
      </c>
      <c r="E1381" s="1" t="s">
        <v>22</v>
      </c>
      <c r="F1381" s="1">
        <f t="shared" si="44"/>
        <v>738</v>
      </c>
      <c r="G1381" s="5">
        <f t="shared" si="43"/>
        <v>1.0596205962059622</v>
      </c>
    </row>
    <row r="1382" spans="1:7" ht="13">
      <c r="A1382" s="4" t="s">
        <v>116</v>
      </c>
      <c r="B1382" s="1">
        <v>6.03</v>
      </c>
      <c r="C1382" s="1">
        <v>649</v>
      </c>
      <c r="D1382" s="1" t="s">
        <v>33</v>
      </c>
      <c r="E1382" s="1" t="s">
        <v>9</v>
      </c>
      <c r="F1382" s="1">
        <f t="shared" si="44"/>
        <v>603</v>
      </c>
      <c r="G1382" s="5">
        <f t="shared" si="43"/>
        <v>1.076285240464345</v>
      </c>
    </row>
    <row r="1383" spans="1:7" ht="13">
      <c r="A1383" s="4" t="s">
        <v>116</v>
      </c>
      <c r="B1383" s="1">
        <v>7.56</v>
      </c>
      <c r="C1383" s="1">
        <v>839</v>
      </c>
      <c r="D1383" s="1" t="s">
        <v>11</v>
      </c>
      <c r="E1383" s="1" t="s">
        <v>49</v>
      </c>
      <c r="F1383" s="1">
        <f t="shared" si="44"/>
        <v>756</v>
      </c>
      <c r="G1383" s="5">
        <f t="shared" si="43"/>
        <v>1.1097883597883598</v>
      </c>
    </row>
    <row r="1384" spans="1:7" ht="13">
      <c r="A1384" s="4" t="s">
        <v>116</v>
      </c>
      <c r="B1384" s="1">
        <v>5.5</v>
      </c>
      <c r="C1384" s="1">
        <v>643</v>
      </c>
      <c r="D1384" s="1" t="s">
        <v>11</v>
      </c>
      <c r="E1384" s="1" t="s">
        <v>15</v>
      </c>
      <c r="F1384" s="1">
        <f t="shared" si="44"/>
        <v>550</v>
      </c>
      <c r="G1384" s="5">
        <f t="shared" si="43"/>
        <v>1.1690909090909092</v>
      </c>
    </row>
    <row r="1385" spans="1:7" ht="13">
      <c r="A1385" s="4" t="s">
        <v>116</v>
      </c>
      <c r="B1385" s="1">
        <v>9.57</v>
      </c>
      <c r="C1385" s="1">
        <v>330</v>
      </c>
      <c r="D1385" s="1" t="s">
        <v>36</v>
      </c>
      <c r="E1385" s="1" t="s">
        <v>7</v>
      </c>
      <c r="F1385" s="1">
        <f t="shared" si="44"/>
        <v>957</v>
      </c>
      <c r="G1385" s="5">
        <f t="shared" si="43"/>
        <v>0.34482758620689657</v>
      </c>
    </row>
    <row r="1386" spans="1:7" ht="13">
      <c r="A1386" s="4" t="s">
        <v>116</v>
      </c>
      <c r="B1386" s="1">
        <v>4.0999999999999996</v>
      </c>
      <c r="C1386" s="1">
        <v>508</v>
      </c>
      <c r="D1386" s="1" t="s">
        <v>38</v>
      </c>
      <c r="E1386" s="1" t="s">
        <v>16</v>
      </c>
      <c r="F1386" s="1">
        <f t="shared" si="44"/>
        <v>409.99999999999994</v>
      </c>
      <c r="G1386" s="5">
        <f t="shared" si="43"/>
        <v>1.2390243902439027</v>
      </c>
    </row>
    <row r="1387" spans="1:7" ht="13">
      <c r="A1387" s="4" t="s">
        <v>116</v>
      </c>
      <c r="B1387" s="1">
        <v>7.7</v>
      </c>
      <c r="C1387" s="1">
        <v>795</v>
      </c>
      <c r="D1387" s="1" t="s">
        <v>35</v>
      </c>
      <c r="E1387" s="1" t="s">
        <v>8</v>
      </c>
      <c r="F1387" s="1">
        <f t="shared" si="44"/>
        <v>770</v>
      </c>
      <c r="G1387" s="5">
        <f t="shared" si="43"/>
        <v>1.0324675324675325</v>
      </c>
    </row>
    <row r="1388" spans="1:7" ht="13">
      <c r="A1388" s="4" t="s">
        <v>116</v>
      </c>
      <c r="B1388" s="1">
        <v>6.4</v>
      </c>
      <c r="C1388" s="1">
        <v>635</v>
      </c>
      <c r="D1388" s="1" t="s">
        <v>47</v>
      </c>
      <c r="E1388" s="1" t="s">
        <v>15</v>
      </c>
      <c r="F1388" s="1">
        <f t="shared" si="44"/>
        <v>640</v>
      </c>
      <c r="G1388" s="5">
        <f t="shared" si="43"/>
        <v>0.9921875</v>
      </c>
    </row>
    <row r="1389" spans="1:7" ht="13">
      <c r="A1389" s="4" t="s">
        <v>116</v>
      </c>
      <c r="B1389" s="1">
        <v>8.33</v>
      </c>
      <c r="C1389" s="1">
        <v>755</v>
      </c>
      <c r="D1389" s="1" t="s">
        <v>47</v>
      </c>
      <c r="E1389" s="1" t="s">
        <v>7</v>
      </c>
      <c r="F1389" s="1">
        <f t="shared" si="44"/>
        <v>833</v>
      </c>
      <c r="G1389" s="5">
        <f t="shared" si="43"/>
        <v>0.90636254501800717</v>
      </c>
    </row>
    <row r="1390" spans="1:7" ht="13">
      <c r="A1390" s="4" t="s">
        <v>116</v>
      </c>
      <c r="B1390" s="1">
        <v>5.22</v>
      </c>
      <c r="C1390" s="1">
        <v>610</v>
      </c>
      <c r="D1390" s="1" t="s">
        <v>47</v>
      </c>
      <c r="E1390" s="1" t="s">
        <v>8</v>
      </c>
      <c r="F1390" s="1">
        <f t="shared" si="44"/>
        <v>522</v>
      </c>
      <c r="G1390" s="5">
        <f t="shared" si="43"/>
        <v>1.1685823754789273</v>
      </c>
    </row>
    <row r="1391" spans="1:7" ht="13">
      <c r="A1391" s="4" t="s">
        <v>116</v>
      </c>
      <c r="B1391" s="1">
        <v>5.59</v>
      </c>
      <c r="C1391" s="1">
        <v>622</v>
      </c>
      <c r="D1391" s="1" t="s">
        <v>36</v>
      </c>
      <c r="E1391" s="1" t="s">
        <v>9</v>
      </c>
      <c r="F1391" s="1">
        <f t="shared" si="44"/>
        <v>559</v>
      </c>
      <c r="G1391" s="5">
        <f t="shared" si="43"/>
        <v>1.1127012522361359</v>
      </c>
    </row>
    <row r="1392" spans="1:7" ht="13">
      <c r="A1392" s="4" t="s">
        <v>116</v>
      </c>
      <c r="B1392" s="1">
        <v>8.1999999999999993</v>
      </c>
      <c r="C1392" s="1">
        <v>827</v>
      </c>
      <c r="D1392" s="1" t="s">
        <v>11</v>
      </c>
      <c r="E1392" s="1" t="s">
        <v>17</v>
      </c>
      <c r="F1392" s="1">
        <f t="shared" si="44"/>
        <v>819.99999999999989</v>
      </c>
      <c r="G1392" s="5">
        <f t="shared" si="43"/>
        <v>1.0085365853658539</v>
      </c>
    </row>
    <row r="1393" spans="1:7" ht="13">
      <c r="A1393" s="4" t="s">
        <v>116</v>
      </c>
      <c r="B1393" s="1">
        <v>8.69</v>
      </c>
      <c r="C1393" s="1">
        <v>1077</v>
      </c>
      <c r="D1393" s="1" t="s">
        <v>11</v>
      </c>
      <c r="E1393" s="1" t="s">
        <v>26</v>
      </c>
      <c r="F1393" s="1">
        <f t="shared" si="44"/>
        <v>869</v>
      </c>
      <c r="G1393" s="5">
        <f t="shared" si="43"/>
        <v>1.239355581127733</v>
      </c>
    </row>
    <row r="1394" spans="1:7" ht="13">
      <c r="A1394" s="4" t="s">
        <v>116</v>
      </c>
      <c r="B1394" s="1">
        <v>6.1</v>
      </c>
      <c r="C1394" s="1">
        <v>607</v>
      </c>
      <c r="D1394" s="1" t="s">
        <v>63</v>
      </c>
      <c r="E1394" s="1" t="s">
        <v>23</v>
      </c>
      <c r="F1394" s="1">
        <f t="shared" si="44"/>
        <v>610</v>
      </c>
      <c r="G1394" s="5">
        <f t="shared" si="43"/>
        <v>0.9950819672131147</v>
      </c>
    </row>
    <row r="1395" spans="1:7" ht="13">
      <c r="A1395" s="4" t="s">
        <v>116</v>
      </c>
      <c r="B1395" s="1">
        <v>8.6</v>
      </c>
      <c r="C1395" s="1">
        <v>892</v>
      </c>
      <c r="D1395" s="1" t="s">
        <v>33</v>
      </c>
      <c r="E1395" s="1" t="s">
        <v>26</v>
      </c>
      <c r="F1395" s="1">
        <f t="shared" si="44"/>
        <v>860</v>
      </c>
      <c r="G1395" s="5">
        <f t="shared" si="43"/>
        <v>1.0372093023255815</v>
      </c>
    </row>
    <row r="1396" spans="1:7" ht="13">
      <c r="A1396" s="4" t="s">
        <v>116</v>
      </c>
      <c r="B1396" s="1">
        <v>4.2</v>
      </c>
      <c r="C1396" s="1">
        <v>430</v>
      </c>
      <c r="D1396" s="1" t="s">
        <v>43</v>
      </c>
      <c r="E1396" s="1" t="s">
        <v>20</v>
      </c>
      <c r="F1396" s="1">
        <f t="shared" si="44"/>
        <v>420</v>
      </c>
      <c r="G1396" s="5">
        <f t="shared" si="43"/>
        <v>1.0238095238095237</v>
      </c>
    </row>
    <row r="1397" spans="1:7" ht="13">
      <c r="A1397" s="4" t="s">
        <v>116</v>
      </c>
      <c r="B1397" s="1">
        <v>6.96</v>
      </c>
      <c r="C1397" s="1">
        <v>751</v>
      </c>
      <c r="D1397" s="1" t="s">
        <v>33</v>
      </c>
      <c r="E1397" s="1" t="s">
        <v>16</v>
      </c>
      <c r="F1397" s="1">
        <f t="shared" si="44"/>
        <v>696</v>
      </c>
      <c r="G1397" s="5">
        <f t="shared" si="43"/>
        <v>1.0790229885057472</v>
      </c>
    </row>
    <row r="1398" spans="1:7" ht="13">
      <c r="A1398" s="4" t="s">
        <v>116</v>
      </c>
      <c r="B1398" s="1">
        <v>5</v>
      </c>
      <c r="C1398" s="1">
        <v>476</v>
      </c>
      <c r="D1398" s="1" t="s">
        <v>43</v>
      </c>
      <c r="E1398" s="1" t="s">
        <v>12</v>
      </c>
      <c r="F1398" s="1">
        <f t="shared" si="44"/>
        <v>500</v>
      </c>
      <c r="G1398" s="5">
        <f t="shared" si="43"/>
        <v>0.95199999999999996</v>
      </c>
    </row>
    <row r="1399" spans="1:7" ht="13">
      <c r="A1399" s="4" t="s">
        <v>116</v>
      </c>
      <c r="B1399" s="1">
        <v>7.74</v>
      </c>
      <c r="C1399" s="1">
        <v>939</v>
      </c>
      <c r="D1399" s="1" t="s">
        <v>11</v>
      </c>
      <c r="E1399" s="1" t="s">
        <v>29</v>
      </c>
      <c r="F1399" s="1">
        <f t="shared" si="44"/>
        <v>774</v>
      </c>
      <c r="G1399" s="5">
        <f t="shared" si="43"/>
        <v>1.2131782945736433</v>
      </c>
    </row>
    <row r="1400" spans="1:7" ht="13">
      <c r="A1400" s="4" t="s">
        <v>116</v>
      </c>
      <c r="B1400" s="1">
        <v>5.52</v>
      </c>
      <c r="C1400" s="1">
        <v>672</v>
      </c>
      <c r="D1400" s="1" t="s">
        <v>11</v>
      </c>
      <c r="E1400" s="1" t="s">
        <v>26</v>
      </c>
      <c r="F1400" s="1">
        <f t="shared" si="44"/>
        <v>552</v>
      </c>
      <c r="G1400" s="5">
        <f t="shared" si="43"/>
        <v>1.2173913043478262</v>
      </c>
    </row>
    <row r="1401" spans="1:7" ht="13">
      <c r="A1401" s="4" t="s">
        <v>116</v>
      </c>
      <c r="B1401" s="1">
        <v>3.915</v>
      </c>
      <c r="C1401" s="1">
        <v>490</v>
      </c>
      <c r="D1401" s="1" t="s">
        <v>11</v>
      </c>
      <c r="E1401" s="1" t="s">
        <v>15</v>
      </c>
      <c r="F1401" s="1">
        <f t="shared" si="44"/>
        <v>391.5</v>
      </c>
      <c r="G1401" s="5">
        <f t="shared" si="43"/>
        <v>1.2515964240102171</v>
      </c>
    </row>
    <row r="1402" spans="1:7" ht="13">
      <c r="A1402" s="4" t="s">
        <v>116</v>
      </c>
      <c r="B1402" s="1">
        <v>6.96</v>
      </c>
      <c r="C1402" s="1">
        <v>790</v>
      </c>
      <c r="D1402" s="1" t="s">
        <v>33</v>
      </c>
      <c r="E1402" s="1" t="s">
        <v>24</v>
      </c>
      <c r="F1402" s="1">
        <f t="shared" si="44"/>
        <v>696</v>
      </c>
      <c r="G1402" s="5">
        <f t="shared" si="43"/>
        <v>1.1350574712643677</v>
      </c>
    </row>
    <row r="1403" spans="1:7" ht="13">
      <c r="A1403" s="4" t="s">
        <v>116</v>
      </c>
      <c r="B1403" s="1">
        <v>6.88</v>
      </c>
      <c r="C1403" s="1">
        <v>933</v>
      </c>
      <c r="D1403" s="1" t="s">
        <v>11</v>
      </c>
      <c r="E1403" s="1" t="s">
        <v>15</v>
      </c>
      <c r="F1403" s="1">
        <f t="shared" si="44"/>
        <v>688</v>
      </c>
      <c r="G1403" s="5">
        <f t="shared" si="43"/>
        <v>1.3561046511627908</v>
      </c>
    </row>
    <row r="1404" spans="1:7" ht="13">
      <c r="A1404" s="4" t="s">
        <v>116</v>
      </c>
      <c r="B1404" s="1">
        <v>6.75</v>
      </c>
      <c r="C1404" s="1">
        <v>800</v>
      </c>
      <c r="D1404" s="1" t="s">
        <v>11</v>
      </c>
      <c r="E1404" s="1" t="s">
        <v>26</v>
      </c>
      <c r="F1404" s="1">
        <f t="shared" si="44"/>
        <v>675</v>
      </c>
      <c r="G1404" s="5">
        <f t="shared" si="43"/>
        <v>1.1851851851851851</v>
      </c>
    </row>
    <row r="1405" spans="1:7" ht="13">
      <c r="A1405" s="4" t="s">
        <v>116</v>
      </c>
      <c r="B1405" s="1">
        <v>7.7</v>
      </c>
      <c r="C1405" s="1">
        <v>869</v>
      </c>
      <c r="D1405" s="1" t="s">
        <v>33</v>
      </c>
      <c r="E1405" s="1" t="s">
        <v>16</v>
      </c>
      <c r="F1405" s="1">
        <f t="shared" si="44"/>
        <v>770</v>
      </c>
      <c r="G1405" s="5">
        <f t="shared" si="43"/>
        <v>1.1285714285714286</v>
      </c>
    </row>
    <row r="1406" spans="1:7" ht="13">
      <c r="A1406" s="4" t="s">
        <v>116</v>
      </c>
      <c r="B1406" s="1">
        <v>8.4</v>
      </c>
      <c r="C1406" s="1">
        <v>848</v>
      </c>
      <c r="D1406" s="1" t="s">
        <v>47</v>
      </c>
      <c r="E1406" s="1" t="s">
        <v>17</v>
      </c>
      <c r="F1406" s="1">
        <f t="shared" si="44"/>
        <v>840</v>
      </c>
      <c r="G1406" s="5">
        <f t="shared" si="43"/>
        <v>1.0095238095238095</v>
      </c>
    </row>
    <row r="1407" spans="1:7" ht="13">
      <c r="A1407" s="4" t="s">
        <v>116</v>
      </c>
      <c r="B1407" s="1">
        <v>5.5</v>
      </c>
      <c r="C1407" s="1">
        <v>636</v>
      </c>
      <c r="D1407" s="1" t="s">
        <v>43</v>
      </c>
      <c r="E1407" s="1" t="s">
        <v>25</v>
      </c>
      <c r="F1407" s="1">
        <f t="shared" si="44"/>
        <v>550</v>
      </c>
      <c r="G1407" s="5">
        <f t="shared" si="43"/>
        <v>1.1563636363636363</v>
      </c>
    </row>
    <row r="1408" spans="1:7" ht="13">
      <c r="A1408" s="4" t="s">
        <v>116</v>
      </c>
      <c r="B1408" s="1">
        <v>6</v>
      </c>
      <c r="C1408" s="1">
        <v>665</v>
      </c>
      <c r="D1408" s="1" t="s">
        <v>33</v>
      </c>
      <c r="E1408" s="1" t="s">
        <v>9</v>
      </c>
      <c r="F1408" s="1">
        <f t="shared" si="44"/>
        <v>600</v>
      </c>
      <c r="G1408" s="5">
        <f t="shared" si="43"/>
        <v>1.1083333333333334</v>
      </c>
    </row>
    <row r="1409" spans="1:7" ht="13">
      <c r="A1409" s="4" t="s">
        <v>116</v>
      </c>
      <c r="B1409" s="1">
        <v>5</v>
      </c>
      <c r="C1409" s="1">
        <v>543</v>
      </c>
      <c r="D1409" s="1" t="s">
        <v>43</v>
      </c>
      <c r="E1409" s="1" t="s">
        <v>22</v>
      </c>
      <c r="F1409" s="1">
        <f t="shared" si="44"/>
        <v>500</v>
      </c>
      <c r="G1409" s="5">
        <f t="shared" si="43"/>
        <v>1.0860000000000001</v>
      </c>
    </row>
    <row r="1410" spans="1:7" ht="13">
      <c r="A1410" s="4" t="s">
        <v>116</v>
      </c>
      <c r="B1410" s="1">
        <v>4.3499999999999996</v>
      </c>
      <c r="C1410" s="1">
        <v>488</v>
      </c>
      <c r="D1410" s="1" t="s">
        <v>38</v>
      </c>
      <c r="E1410" s="1" t="s">
        <v>18</v>
      </c>
      <c r="F1410" s="1">
        <f t="shared" si="44"/>
        <v>434.99999999999994</v>
      </c>
      <c r="G1410" s="5">
        <f t="shared" ref="G1410:G1473" si="45">C1410/F1410</f>
        <v>1.1218390804597702</v>
      </c>
    </row>
    <row r="1411" spans="1:7" ht="13">
      <c r="A1411" s="4" t="s">
        <v>116</v>
      </c>
      <c r="B1411" s="1">
        <v>5.81</v>
      </c>
      <c r="C1411" s="1">
        <v>697</v>
      </c>
      <c r="D1411" s="1" t="s">
        <v>38</v>
      </c>
      <c r="E1411" s="1" t="s">
        <v>8</v>
      </c>
      <c r="F1411" s="1">
        <f t="shared" si="44"/>
        <v>581</v>
      </c>
      <c r="G1411" s="5">
        <f t="shared" si="45"/>
        <v>1.1996557659208262</v>
      </c>
    </row>
    <row r="1412" spans="1:7" ht="13">
      <c r="A1412" s="4" t="s">
        <v>116</v>
      </c>
      <c r="B1412" s="1">
        <v>7.7</v>
      </c>
      <c r="C1412" s="1">
        <v>810</v>
      </c>
      <c r="D1412" s="1" t="s">
        <v>11</v>
      </c>
      <c r="E1412" s="1" t="s">
        <v>49</v>
      </c>
      <c r="F1412" s="1">
        <f t="shared" si="44"/>
        <v>770</v>
      </c>
      <c r="G1412" s="5">
        <f t="shared" si="45"/>
        <v>1.051948051948052</v>
      </c>
    </row>
    <row r="1413" spans="1:7" ht="13">
      <c r="A1413" s="4" t="s">
        <v>116</v>
      </c>
      <c r="B1413" s="1">
        <v>8.6</v>
      </c>
      <c r="C1413" s="1">
        <v>941</v>
      </c>
      <c r="D1413" s="1" t="s">
        <v>33</v>
      </c>
      <c r="E1413" s="1" t="s">
        <v>26</v>
      </c>
      <c r="F1413" s="1">
        <f t="shared" si="44"/>
        <v>860</v>
      </c>
      <c r="G1413" s="5">
        <f t="shared" si="45"/>
        <v>1.094186046511628</v>
      </c>
    </row>
    <row r="1414" spans="1:7" ht="13">
      <c r="A1414" s="4" t="s">
        <v>116</v>
      </c>
      <c r="B1414" s="1">
        <v>9.57</v>
      </c>
      <c r="C1414" s="1">
        <v>951</v>
      </c>
      <c r="D1414" s="1" t="s">
        <v>42</v>
      </c>
      <c r="E1414" s="1" t="s">
        <v>22</v>
      </c>
      <c r="F1414" s="1">
        <f t="shared" si="44"/>
        <v>957</v>
      </c>
      <c r="G1414" s="5">
        <f t="shared" si="45"/>
        <v>0.99373040752351094</v>
      </c>
    </row>
    <row r="1415" spans="1:7" ht="13">
      <c r="A1415" s="4" t="s">
        <v>116</v>
      </c>
      <c r="B1415" s="1">
        <v>12.04</v>
      </c>
      <c r="C1415" s="1">
        <v>1340</v>
      </c>
      <c r="D1415" s="1" t="s">
        <v>11</v>
      </c>
      <c r="E1415" s="1" t="s">
        <v>8</v>
      </c>
      <c r="F1415" s="1">
        <f t="shared" si="44"/>
        <v>1204</v>
      </c>
      <c r="G1415" s="5">
        <f t="shared" si="45"/>
        <v>1.1129568106312293</v>
      </c>
    </row>
    <row r="1416" spans="1:7" ht="13">
      <c r="A1416" s="4" t="s">
        <v>116</v>
      </c>
      <c r="B1416" s="1">
        <v>8.4</v>
      </c>
      <c r="C1416" s="1">
        <v>870</v>
      </c>
      <c r="D1416" s="1" t="s">
        <v>33</v>
      </c>
      <c r="E1416" s="1" t="s">
        <v>25</v>
      </c>
      <c r="F1416" s="1">
        <f t="shared" si="44"/>
        <v>840</v>
      </c>
      <c r="G1416" s="5">
        <f t="shared" si="45"/>
        <v>1.0357142857142858</v>
      </c>
    </row>
    <row r="1417" spans="1:7" ht="13">
      <c r="A1417" s="4" t="s">
        <v>116</v>
      </c>
      <c r="B1417" s="1">
        <v>5.6</v>
      </c>
      <c r="C1417" s="1">
        <v>474</v>
      </c>
      <c r="D1417" s="1" t="s">
        <v>11</v>
      </c>
      <c r="E1417" s="1" t="s">
        <v>21</v>
      </c>
      <c r="F1417" s="1">
        <f t="shared" si="44"/>
        <v>560</v>
      </c>
      <c r="G1417" s="5">
        <f t="shared" si="45"/>
        <v>0.84642857142857142</v>
      </c>
    </row>
    <row r="1418" spans="1:7" ht="13">
      <c r="A1418" s="4" t="s">
        <v>116</v>
      </c>
      <c r="B1418" s="1">
        <v>4.0999999999999996</v>
      </c>
      <c r="C1418" s="1">
        <v>435</v>
      </c>
      <c r="D1418" s="1" t="s">
        <v>64</v>
      </c>
      <c r="E1418" s="1" t="s">
        <v>22</v>
      </c>
      <c r="F1418" s="1">
        <f t="shared" si="44"/>
        <v>409.99999999999994</v>
      </c>
      <c r="G1418" s="5">
        <f t="shared" si="45"/>
        <v>1.0609756097560976</v>
      </c>
    </row>
    <row r="1419" spans="1:7" ht="13">
      <c r="A1419" s="4" t="s">
        <v>116</v>
      </c>
      <c r="B1419" s="1">
        <v>7.74</v>
      </c>
      <c r="C1419" s="1">
        <v>804</v>
      </c>
      <c r="D1419" s="1" t="s">
        <v>37</v>
      </c>
      <c r="E1419" s="1" t="s">
        <v>7</v>
      </c>
      <c r="F1419" s="1">
        <f t="shared" si="44"/>
        <v>774</v>
      </c>
      <c r="G1419" s="5">
        <f t="shared" si="45"/>
        <v>1.0387596899224807</v>
      </c>
    </row>
    <row r="1420" spans="1:7" ht="13">
      <c r="A1420" s="4" t="s">
        <v>116</v>
      </c>
      <c r="B1420" s="1">
        <v>5.46</v>
      </c>
      <c r="C1420" s="1">
        <v>627</v>
      </c>
      <c r="D1420" s="1" t="s">
        <v>43</v>
      </c>
      <c r="E1420" s="1" t="s">
        <v>15</v>
      </c>
      <c r="F1420" s="1">
        <f t="shared" si="44"/>
        <v>546</v>
      </c>
      <c r="G1420" s="5">
        <f t="shared" si="45"/>
        <v>1.1483516483516483</v>
      </c>
    </row>
    <row r="1421" spans="1:7" ht="13">
      <c r="A1421" s="4" t="s">
        <v>116</v>
      </c>
      <c r="B1421" s="1">
        <v>6.03</v>
      </c>
      <c r="C1421" s="1">
        <v>685</v>
      </c>
      <c r="D1421" s="1" t="s">
        <v>88</v>
      </c>
      <c r="E1421" s="1" t="s">
        <v>22</v>
      </c>
      <c r="F1421" s="1">
        <f t="shared" si="44"/>
        <v>603</v>
      </c>
      <c r="G1421" s="5">
        <f t="shared" si="45"/>
        <v>1.1359867330016584</v>
      </c>
    </row>
    <row r="1422" spans="1:7" ht="13">
      <c r="A1422" s="4" t="s">
        <v>116</v>
      </c>
      <c r="B1422" s="1">
        <v>7.56</v>
      </c>
      <c r="C1422" s="1">
        <v>751</v>
      </c>
      <c r="D1422" s="1" t="s">
        <v>11</v>
      </c>
      <c r="E1422" s="1" t="s">
        <v>21</v>
      </c>
      <c r="F1422" s="1">
        <f t="shared" si="44"/>
        <v>756</v>
      </c>
      <c r="G1422" s="5">
        <f t="shared" si="45"/>
        <v>0.99338624338624337</v>
      </c>
    </row>
    <row r="1423" spans="1:7" ht="13">
      <c r="A1423" s="4" t="s">
        <v>116</v>
      </c>
      <c r="B1423" s="1">
        <v>7.56</v>
      </c>
      <c r="C1423" s="1">
        <v>826</v>
      </c>
      <c r="D1423" s="1" t="s">
        <v>95</v>
      </c>
      <c r="E1423" s="1" t="s">
        <v>15</v>
      </c>
      <c r="F1423" s="1">
        <f t="shared" si="44"/>
        <v>756</v>
      </c>
      <c r="G1423" s="5">
        <f t="shared" si="45"/>
        <v>1.0925925925925926</v>
      </c>
    </row>
    <row r="1424" spans="1:7" ht="13">
      <c r="A1424" s="4" t="s">
        <v>116</v>
      </c>
      <c r="B1424" s="1">
        <v>7.2</v>
      </c>
      <c r="C1424" s="1">
        <v>678</v>
      </c>
      <c r="D1424" s="1" t="s">
        <v>33</v>
      </c>
      <c r="E1424" s="1" t="s">
        <v>49</v>
      </c>
      <c r="F1424" s="1">
        <f t="shared" si="44"/>
        <v>720</v>
      </c>
      <c r="G1424" s="5">
        <f t="shared" si="45"/>
        <v>0.94166666666666665</v>
      </c>
    </row>
    <row r="1425" spans="1:7" ht="13">
      <c r="A1425" s="4" t="s">
        <v>116</v>
      </c>
      <c r="B1425" s="1">
        <v>4.8</v>
      </c>
      <c r="C1425" s="1">
        <v>587</v>
      </c>
      <c r="D1425" s="1" t="s">
        <v>33</v>
      </c>
      <c r="E1425" s="1" t="s">
        <v>8</v>
      </c>
      <c r="F1425" s="1">
        <f t="shared" si="44"/>
        <v>480</v>
      </c>
      <c r="G1425" s="5">
        <f t="shared" si="45"/>
        <v>1.2229166666666667</v>
      </c>
    </row>
    <row r="1426" spans="1:7" ht="13">
      <c r="A1426" s="4" t="s">
        <v>116</v>
      </c>
      <c r="B1426" s="1">
        <v>7.56</v>
      </c>
      <c r="C1426" s="1">
        <v>835</v>
      </c>
      <c r="D1426" s="1" t="s">
        <v>11</v>
      </c>
      <c r="E1426" s="1" t="s">
        <v>27</v>
      </c>
      <c r="F1426" s="1">
        <f t="shared" si="44"/>
        <v>756</v>
      </c>
      <c r="G1426" s="5">
        <f t="shared" si="45"/>
        <v>1.1044973544973544</v>
      </c>
    </row>
    <row r="1427" spans="1:7" ht="13">
      <c r="A1427" s="4" t="s">
        <v>116</v>
      </c>
      <c r="B1427" s="1">
        <v>6.7</v>
      </c>
      <c r="C1427" s="1">
        <v>680</v>
      </c>
      <c r="D1427" s="1" t="s">
        <v>35</v>
      </c>
      <c r="E1427" s="1" t="s">
        <v>16</v>
      </c>
      <c r="F1427" s="1">
        <f t="shared" si="44"/>
        <v>670</v>
      </c>
      <c r="G1427" s="5">
        <f t="shared" si="45"/>
        <v>1.0149253731343284</v>
      </c>
    </row>
    <row r="1428" spans="1:7" ht="13">
      <c r="A1428" s="4" t="s">
        <v>116</v>
      </c>
      <c r="B1428" s="1">
        <v>4.3499999999999996</v>
      </c>
      <c r="C1428" s="1">
        <v>450</v>
      </c>
      <c r="D1428" s="1" t="s">
        <v>11</v>
      </c>
      <c r="E1428" s="1" t="s">
        <v>15</v>
      </c>
      <c r="F1428" s="1">
        <f t="shared" si="44"/>
        <v>434.99999999999994</v>
      </c>
      <c r="G1428" s="5">
        <f t="shared" si="45"/>
        <v>1.0344827586206897</v>
      </c>
    </row>
    <row r="1429" spans="1:7" ht="13">
      <c r="A1429" s="4" t="s">
        <v>116</v>
      </c>
      <c r="B1429" s="1">
        <v>5.88</v>
      </c>
      <c r="C1429" s="1">
        <v>681</v>
      </c>
      <c r="D1429" s="1" t="s">
        <v>11</v>
      </c>
      <c r="E1429" s="1" t="s">
        <v>15</v>
      </c>
      <c r="F1429" s="1">
        <f t="shared" si="44"/>
        <v>588</v>
      </c>
      <c r="G1429" s="5">
        <f t="shared" si="45"/>
        <v>1.1581632653061225</v>
      </c>
    </row>
    <row r="1430" spans="1:7" ht="13">
      <c r="A1430" s="4" t="s">
        <v>116</v>
      </c>
      <c r="B1430" s="1">
        <v>4.5</v>
      </c>
      <c r="C1430" s="1">
        <v>523</v>
      </c>
      <c r="D1430" s="1" t="s">
        <v>11</v>
      </c>
      <c r="E1430" s="1" t="s">
        <v>22</v>
      </c>
      <c r="F1430" s="1">
        <f t="shared" si="44"/>
        <v>450</v>
      </c>
      <c r="G1430" s="5">
        <f t="shared" si="45"/>
        <v>1.1622222222222223</v>
      </c>
    </row>
    <row r="1431" spans="1:7" ht="13">
      <c r="A1431" s="4" t="s">
        <v>117</v>
      </c>
      <c r="B1431" s="1">
        <v>7.56</v>
      </c>
      <c r="C1431" s="1">
        <v>770</v>
      </c>
      <c r="D1431" s="1" t="s">
        <v>11</v>
      </c>
      <c r="E1431" s="1" t="s">
        <v>7</v>
      </c>
      <c r="F1431" s="1">
        <f t="shared" si="44"/>
        <v>756</v>
      </c>
      <c r="G1431" s="5">
        <f t="shared" si="45"/>
        <v>1.0185185185185186</v>
      </c>
    </row>
    <row r="1432" spans="1:7" ht="13">
      <c r="A1432" s="4" t="s">
        <v>117</v>
      </c>
      <c r="B1432" s="1">
        <v>6</v>
      </c>
      <c r="C1432" s="1">
        <v>694</v>
      </c>
      <c r="D1432" s="1" t="s">
        <v>11</v>
      </c>
      <c r="E1432" s="1" t="s">
        <v>16</v>
      </c>
      <c r="F1432" s="1">
        <f t="shared" si="44"/>
        <v>600</v>
      </c>
      <c r="G1432" s="5">
        <f t="shared" si="45"/>
        <v>1.1566666666666667</v>
      </c>
    </row>
    <row r="1433" spans="1:7" ht="13">
      <c r="A1433" s="4" t="s">
        <v>117</v>
      </c>
      <c r="B1433" s="1">
        <v>6.88</v>
      </c>
      <c r="C1433" s="1">
        <v>902</v>
      </c>
      <c r="D1433" s="1" t="s">
        <v>33</v>
      </c>
      <c r="E1433" s="1" t="s">
        <v>10</v>
      </c>
      <c r="F1433" s="1">
        <f t="shared" si="44"/>
        <v>688</v>
      </c>
      <c r="G1433" s="5">
        <f t="shared" si="45"/>
        <v>1.3110465116279071</v>
      </c>
    </row>
    <row r="1434" spans="1:7" ht="13">
      <c r="A1434" s="4" t="s">
        <v>117</v>
      </c>
      <c r="B1434" s="1">
        <v>5.28</v>
      </c>
      <c r="C1434" s="1">
        <v>667</v>
      </c>
      <c r="D1434" s="1" t="s">
        <v>33</v>
      </c>
      <c r="E1434" s="1" t="s">
        <v>21</v>
      </c>
      <c r="F1434" s="1">
        <f t="shared" si="44"/>
        <v>528</v>
      </c>
      <c r="G1434" s="5">
        <f t="shared" si="45"/>
        <v>1.2632575757575757</v>
      </c>
    </row>
    <row r="1435" spans="1:7" ht="13">
      <c r="A1435" s="4" t="s">
        <v>117</v>
      </c>
      <c r="B1435" s="1">
        <v>4.9000000000000004</v>
      </c>
      <c r="C1435" s="1">
        <v>596</v>
      </c>
      <c r="D1435" s="1" t="s">
        <v>35</v>
      </c>
      <c r="E1435" s="1" t="s">
        <v>19</v>
      </c>
      <c r="F1435" s="1">
        <f t="shared" si="44"/>
        <v>490.00000000000006</v>
      </c>
      <c r="G1435" s="5">
        <f t="shared" si="45"/>
        <v>1.2163265306122448</v>
      </c>
    </row>
    <row r="1436" spans="1:7" ht="13">
      <c r="A1436" s="4" t="s">
        <v>117</v>
      </c>
      <c r="B1436" s="1">
        <v>9.1999999999999993</v>
      </c>
      <c r="C1436" s="1">
        <v>1014</v>
      </c>
      <c r="D1436" s="1" t="s">
        <v>37</v>
      </c>
      <c r="E1436" s="1" t="s">
        <v>18</v>
      </c>
      <c r="F1436" s="1">
        <f t="shared" si="44"/>
        <v>919.99999999999989</v>
      </c>
      <c r="G1436" s="5">
        <f t="shared" si="45"/>
        <v>1.1021739130434784</v>
      </c>
    </row>
    <row r="1437" spans="1:7" ht="13">
      <c r="A1437" s="4" t="s">
        <v>117</v>
      </c>
      <c r="B1437" s="1">
        <v>6</v>
      </c>
      <c r="C1437" s="1">
        <v>796</v>
      </c>
      <c r="D1437" s="1" t="s">
        <v>11</v>
      </c>
      <c r="E1437" s="1" t="s">
        <v>17</v>
      </c>
      <c r="F1437" s="1">
        <f t="shared" si="44"/>
        <v>600</v>
      </c>
      <c r="G1437" s="5">
        <f t="shared" si="45"/>
        <v>1.3266666666666667</v>
      </c>
    </row>
    <row r="1438" spans="1:7" ht="13">
      <c r="A1438" s="4" t="s">
        <v>117</v>
      </c>
      <c r="B1438" s="1">
        <v>5.2</v>
      </c>
      <c r="C1438" s="1">
        <v>677</v>
      </c>
      <c r="D1438" s="1" t="s">
        <v>39</v>
      </c>
      <c r="E1438" s="1" t="s">
        <v>25</v>
      </c>
      <c r="F1438" s="1">
        <f t="shared" si="44"/>
        <v>520</v>
      </c>
      <c r="G1438" s="5">
        <f t="shared" si="45"/>
        <v>1.301923076923077</v>
      </c>
    </row>
    <row r="1439" spans="1:7" ht="13">
      <c r="A1439" s="4" t="s">
        <v>117</v>
      </c>
      <c r="B1439" s="1">
        <v>7</v>
      </c>
      <c r="C1439" s="1">
        <v>888</v>
      </c>
      <c r="D1439" s="1" t="s">
        <v>33</v>
      </c>
      <c r="E1439" s="1" t="s">
        <v>20</v>
      </c>
      <c r="F1439" s="1">
        <f t="shared" si="44"/>
        <v>700</v>
      </c>
      <c r="G1439" s="5">
        <f t="shared" si="45"/>
        <v>1.2685714285714285</v>
      </c>
    </row>
    <row r="1440" spans="1:7" ht="13">
      <c r="A1440" s="4" t="s">
        <v>117</v>
      </c>
      <c r="B1440" s="1">
        <v>4</v>
      </c>
      <c r="C1440" s="1">
        <v>398</v>
      </c>
      <c r="D1440" s="1" t="s">
        <v>11</v>
      </c>
      <c r="E1440" s="1" t="s">
        <v>24</v>
      </c>
      <c r="F1440" s="1">
        <f t="shared" ref="F1440:F1503" si="46">B1440*100</f>
        <v>400</v>
      </c>
      <c r="G1440" s="5">
        <f t="shared" si="45"/>
        <v>0.995</v>
      </c>
    </row>
    <row r="1441" spans="1:7" ht="13">
      <c r="A1441" s="4" t="s">
        <v>117</v>
      </c>
      <c r="B1441" s="1">
        <v>6.88</v>
      </c>
      <c r="C1441" s="1">
        <v>845</v>
      </c>
      <c r="D1441" s="1" t="s">
        <v>11</v>
      </c>
      <c r="E1441" s="1" t="s">
        <v>8</v>
      </c>
      <c r="F1441" s="1">
        <f t="shared" si="46"/>
        <v>688</v>
      </c>
      <c r="G1441" s="5">
        <f t="shared" si="45"/>
        <v>1.2281976744186047</v>
      </c>
    </row>
    <row r="1442" spans="1:7" ht="13">
      <c r="A1442" s="4" t="s">
        <v>117</v>
      </c>
      <c r="B1442" s="1">
        <v>8.8000000000000007</v>
      </c>
      <c r="C1442" s="1">
        <v>1000</v>
      </c>
      <c r="D1442" s="1" t="s">
        <v>43</v>
      </c>
      <c r="E1442" s="1" t="s">
        <v>17</v>
      </c>
      <c r="F1442" s="1">
        <f t="shared" si="46"/>
        <v>880.00000000000011</v>
      </c>
      <c r="G1442" s="5">
        <f t="shared" si="45"/>
        <v>1.1363636363636362</v>
      </c>
    </row>
    <row r="1443" spans="1:7" ht="13">
      <c r="A1443" s="4" t="s">
        <v>117</v>
      </c>
      <c r="B1443" s="1">
        <v>9.1</v>
      </c>
      <c r="C1443" s="1">
        <v>970</v>
      </c>
      <c r="D1443" s="1" t="s">
        <v>33</v>
      </c>
      <c r="E1443" s="1" t="s">
        <v>17</v>
      </c>
      <c r="F1443" s="1">
        <f t="shared" si="46"/>
        <v>910</v>
      </c>
      <c r="G1443" s="5">
        <f t="shared" si="45"/>
        <v>1.0659340659340659</v>
      </c>
    </row>
    <row r="1444" spans="1:7" ht="13">
      <c r="A1444" s="4" t="s">
        <v>117</v>
      </c>
      <c r="B1444" s="1">
        <v>7.2</v>
      </c>
      <c r="C1444" s="1">
        <v>925</v>
      </c>
      <c r="D1444" s="1" t="s">
        <v>11</v>
      </c>
      <c r="E1444" s="1" t="s">
        <v>10</v>
      </c>
      <c r="F1444" s="1">
        <f t="shared" si="46"/>
        <v>720</v>
      </c>
      <c r="G1444" s="5">
        <f t="shared" si="45"/>
        <v>1.2847222222222223</v>
      </c>
    </row>
    <row r="1445" spans="1:7" ht="13">
      <c r="A1445" s="4" t="s">
        <v>117</v>
      </c>
      <c r="B1445" s="1">
        <v>6.96</v>
      </c>
      <c r="C1445" s="1">
        <v>802</v>
      </c>
      <c r="D1445" s="1" t="s">
        <v>37</v>
      </c>
      <c r="E1445" s="1" t="s">
        <v>9</v>
      </c>
      <c r="F1445" s="1">
        <f t="shared" si="46"/>
        <v>696</v>
      </c>
      <c r="G1445" s="5">
        <f t="shared" si="45"/>
        <v>1.1522988505747127</v>
      </c>
    </row>
    <row r="1446" spans="1:7" ht="13">
      <c r="A1446" s="4" t="s">
        <v>117</v>
      </c>
      <c r="B1446" s="1">
        <v>9.68</v>
      </c>
      <c r="C1446" s="1">
        <v>1077</v>
      </c>
      <c r="D1446" s="1" t="s">
        <v>11</v>
      </c>
      <c r="E1446" s="1" t="s">
        <v>30</v>
      </c>
      <c r="F1446" s="1">
        <f t="shared" si="46"/>
        <v>968</v>
      </c>
      <c r="G1446" s="5">
        <f t="shared" si="45"/>
        <v>1.1126033057851239</v>
      </c>
    </row>
    <row r="1447" spans="1:7" ht="13">
      <c r="A1447" s="4" t="s">
        <v>117</v>
      </c>
      <c r="B1447" s="1">
        <v>7.83</v>
      </c>
      <c r="C1447" s="1">
        <v>935</v>
      </c>
      <c r="D1447" s="1" t="s">
        <v>11</v>
      </c>
      <c r="E1447" s="1" t="s">
        <v>8</v>
      </c>
      <c r="F1447" s="1">
        <f t="shared" si="46"/>
        <v>783</v>
      </c>
      <c r="G1447" s="5">
        <f t="shared" si="45"/>
        <v>1.194125159642401</v>
      </c>
    </row>
    <row r="1448" spans="1:7" ht="13">
      <c r="A1448" s="4" t="s">
        <v>117</v>
      </c>
      <c r="B1448" s="1">
        <v>435</v>
      </c>
      <c r="C1448" s="1">
        <v>588</v>
      </c>
      <c r="D1448" s="1" t="s">
        <v>11</v>
      </c>
      <c r="E1448" s="1" t="s">
        <v>8</v>
      </c>
      <c r="F1448" s="1">
        <f t="shared" si="46"/>
        <v>43500</v>
      </c>
      <c r="G1448" s="5">
        <f t="shared" si="45"/>
        <v>1.3517241379310345E-2</v>
      </c>
    </row>
    <row r="1449" spans="1:7" ht="13">
      <c r="A1449" s="4" t="s">
        <v>117</v>
      </c>
      <c r="B1449" s="1">
        <v>6</v>
      </c>
      <c r="C1449" s="1">
        <v>996</v>
      </c>
      <c r="D1449" s="1" t="s">
        <v>42</v>
      </c>
      <c r="E1449" s="1" t="s">
        <v>32</v>
      </c>
      <c r="F1449" s="1">
        <f t="shared" si="46"/>
        <v>600</v>
      </c>
      <c r="G1449" s="5">
        <f t="shared" si="45"/>
        <v>1.66</v>
      </c>
    </row>
    <row r="1450" spans="1:7" ht="13">
      <c r="A1450" s="4" t="s">
        <v>117</v>
      </c>
      <c r="B1450" s="1">
        <v>6.16</v>
      </c>
      <c r="C1450" s="1">
        <v>885</v>
      </c>
      <c r="D1450" s="1" t="s">
        <v>59</v>
      </c>
      <c r="E1450" s="1" t="s">
        <v>8</v>
      </c>
      <c r="F1450" s="1">
        <f t="shared" si="46"/>
        <v>616</v>
      </c>
      <c r="G1450" s="5">
        <f t="shared" si="45"/>
        <v>1.4366883116883118</v>
      </c>
    </row>
    <row r="1451" spans="1:7" ht="13">
      <c r="A1451" s="4" t="s">
        <v>117</v>
      </c>
      <c r="B1451" s="1">
        <v>5.6</v>
      </c>
      <c r="C1451" s="1">
        <v>690</v>
      </c>
      <c r="D1451" s="1" t="s">
        <v>11</v>
      </c>
      <c r="E1451" s="1" t="s">
        <v>19</v>
      </c>
      <c r="F1451" s="1">
        <f t="shared" si="46"/>
        <v>560</v>
      </c>
      <c r="G1451" s="5">
        <f t="shared" si="45"/>
        <v>1.2321428571428572</v>
      </c>
    </row>
    <row r="1452" spans="1:7" ht="13">
      <c r="A1452" s="4" t="s">
        <v>117</v>
      </c>
      <c r="B1452" s="1">
        <v>5</v>
      </c>
      <c r="C1452" s="1">
        <v>319</v>
      </c>
      <c r="D1452" s="1" t="s">
        <v>33</v>
      </c>
      <c r="E1452" s="1" t="s">
        <v>32</v>
      </c>
      <c r="F1452" s="1">
        <f t="shared" si="46"/>
        <v>500</v>
      </c>
      <c r="G1452" s="5">
        <f t="shared" si="45"/>
        <v>0.63800000000000001</v>
      </c>
    </row>
    <row r="1453" spans="1:7" ht="13">
      <c r="A1453" s="4" t="s">
        <v>117</v>
      </c>
      <c r="B1453" s="1">
        <v>3.6</v>
      </c>
      <c r="C1453" s="1">
        <v>540</v>
      </c>
      <c r="D1453" s="1" t="s">
        <v>11</v>
      </c>
      <c r="E1453" s="1" t="s">
        <v>22</v>
      </c>
      <c r="F1453" s="1">
        <f t="shared" si="46"/>
        <v>360</v>
      </c>
      <c r="G1453" s="5">
        <f t="shared" si="45"/>
        <v>1.5</v>
      </c>
    </row>
    <row r="1454" spans="1:7" ht="13">
      <c r="A1454" s="4" t="s">
        <v>117</v>
      </c>
      <c r="B1454" s="1">
        <v>5.6</v>
      </c>
      <c r="C1454" s="1">
        <v>622</v>
      </c>
      <c r="D1454" s="1" t="s">
        <v>39</v>
      </c>
      <c r="E1454" s="1" t="s">
        <v>62</v>
      </c>
      <c r="F1454" s="1">
        <f t="shared" si="46"/>
        <v>560</v>
      </c>
      <c r="G1454" s="5">
        <f t="shared" si="45"/>
        <v>1.1107142857142858</v>
      </c>
    </row>
    <row r="1455" spans="1:7" ht="13">
      <c r="A1455" s="4" t="s">
        <v>117</v>
      </c>
      <c r="B1455" s="1">
        <v>5.4</v>
      </c>
      <c r="C1455" s="1">
        <v>518</v>
      </c>
      <c r="D1455" s="1" t="s">
        <v>59</v>
      </c>
      <c r="E1455" s="1" t="s">
        <v>16</v>
      </c>
      <c r="F1455" s="1">
        <f t="shared" si="46"/>
        <v>540</v>
      </c>
      <c r="G1455" s="5">
        <f t="shared" si="45"/>
        <v>0.95925925925925926</v>
      </c>
    </row>
    <row r="1456" spans="1:7" ht="13">
      <c r="A1456" s="4" t="s">
        <v>117</v>
      </c>
      <c r="B1456" s="1">
        <v>9.4</v>
      </c>
      <c r="C1456" s="1">
        <v>716</v>
      </c>
      <c r="D1456" s="1" t="s">
        <v>43</v>
      </c>
      <c r="E1456" s="1" t="s">
        <v>30</v>
      </c>
      <c r="F1456" s="1">
        <f t="shared" si="46"/>
        <v>940</v>
      </c>
      <c r="G1456" s="5">
        <f t="shared" si="45"/>
        <v>0.76170212765957446</v>
      </c>
    </row>
    <row r="1457" spans="1:7" ht="13">
      <c r="A1457" s="4" t="s">
        <v>117</v>
      </c>
      <c r="B1457" s="1">
        <v>6</v>
      </c>
      <c r="C1457" s="1">
        <v>737</v>
      </c>
      <c r="D1457" s="1" t="s">
        <v>60</v>
      </c>
      <c r="E1457" s="1" t="s">
        <v>17</v>
      </c>
      <c r="F1457" s="1">
        <f t="shared" si="46"/>
        <v>600</v>
      </c>
      <c r="G1457" s="5">
        <f t="shared" si="45"/>
        <v>1.2283333333333333</v>
      </c>
    </row>
    <row r="1458" spans="1:7" ht="13">
      <c r="A1458" s="4" t="s">
        <v>117</v>
      </c>
      <c r="B1458" s="1">
        <v>5.88</v>
      </c>
      <c r="C1458" s="1">
        <v>685</v>
      </c>
      <c r="D1458" s="1" t="s">
        <v>38</v>
      </c>
      <c r="E1458" s="1" t="s">
        <v>22</v>
      </c>
      <c r="F1458" s="1">
        <f t="shared" si="46"/>
        <v>588</v>
      </c>
      <c r="G1458" s="5">
        <f t="shared" si="45"/>
        <v>1.1649659863945578</v>
      </c>
    </row>
    <row r="1459" spans="1:7" ht="13">
      <c r="A1459" s="4" t="s">
        <v>117</v>
      </c>
      <c r="B1459" s="1">
        <v>3.44</v>
      </c>
      <c r="C1459" s="1">
        <v>339</v>
      </c>
      <c r="D1459" s="1" t="s">
        <v>43</v>
      </c>
      <c r="E1459" s="1" t="s">
        <v>8</v>
      </c>
      <c r="F1459" s="1">
        <f t="shared" si="46"/>
        <v>344</v>
      </c>
      <c r="G1459" s="5">
        <f t="shared" si="45"/>
        <v>0.98546511627906974</v>
      </c>
    </row>
    <row r="1460" spans="1:7" ht="13">
      <c r="A1460" s="4" t="s">
        <v>117</v>
      </c>
      <c r="B1460" s="1">
        <v>9.86</v>
      </c>
      <c r="C1460" s="1">
        <v>1059</v>
      </c>
      <c r="D1460" s="1" t="s">
        <v>33</v>
      </c>
      <c r="E1460" s="1" t="s">
        <v>21</v>
      </c>
      <c r="F1460" s="1">
        <f t="shared" si="46"/>
        <v>986</v>
      </c>
      <c r="G1460" s="5">
        <f t="shared" si="45"/>
        <v>1.0740365111561867</v>
      </c>
    </row>
    <row r="1461" spans="1:7" ht="13">
      <c r="A1461" s="4" t="s">
        <v>117</v>
      </c>
      <c r="B1461" s="1">
        <v>5</v>
      </c>
      <c r="C1461" s="1">
        <v>873</v>
      </c>
      <c r="D1461" s="1" t="s">
        <v>33</v>
      </c>
      <c r="E1461" s="1" t="s">
        <v>32</v>
      </c>
      <c r="F1461" s="1">
        <f t="shared" si="46"/>
        <v>500</v>
      </c>
      <c r="G1461" s="5">
        <f t="shared" si="45"/>
        <v>1.746</v>
      </c>
    </row>
    <row r="1462" spans="1:7" ht="13">
      <c r="A1462" s="4" t="s">
        <v>117</v>
      </c>
      <c r="B1462" s="1">
        <v>4.51</v>
      </c>
      <c r="C1462" s="1">
        <v>502</v>
      </c>
      <c r="D1462" s="1" t="s">
        <v>43</v>
      </c>
      <c r="E1462" s="1" t="s">
        <v>16</v>
      </c>
      <c r="F1462" s="1">
        <f t="shared" si="46"/>
        <v>451</v>
      </c>
      <c r="G1462" s="5">
        <f t="shared" si="45"/>
        <v>1.1130820399113082</v>
      </c>
    </row>
    <row r="1463" spans="1:7" ht="13">
      <c r="A1463" s="4" t="s">
        <v>117</v>
      </c>
      <c r="B1463" s="1">
        <v>6.5</v>
      </c>
      <c r="C1463" s="1">
        <v>736</v>
      </c>
      <c r="D1463" s="1" t="s">
        <v>35</v>
      </c>
      <c r="E1463" s="1" t="s">
        <v>8</v>
      </c>
      <c r="F1463" s="1">
        <f t="shared" si="46"/>
        <v>650</v>
      </c>
      <c r="G1463" s="5">
        <f t="shared" si="45"/>
        <v>1.1323076923076922</v>
      </c>
    </row>
    <row r="1464" spans="1:7" ht="13">
      <c r="A1464" s="4" t="s">
        <v>117</v>
      </c>
      <c r="B1464" s="1">
        <v>7.74</v>
      </c>
      <c r="C1464" s="1">
        <v>953</v>
      </c>
      <c r="D1464" s="1" t="s">
        <v>86</v>
      </c>
      <c r="E1464" s="1" t="s">
        <v>8</v>
      </c>
      <c r="F1464" s="1">
        <f t="shared" si="46"/>
        <v>774</v>
      </c>
      <c r="G1464" s="5">
        <f t="shared" si="45"/>
        <v>1.2312661498708011</v>
      </c>
    </row>
    <row r="1465" spans="1:7" ht="13">
      <c r="A1465" s="4" t="s">
        <v>117</v>
      </c>
      <c r="B1465" s="1">
        <v>6</v>
      </c>
      <c r="C1465" s="1">
        <v>751</v>
      </c>
      <c r="D1465" s="1" t="s">
        <v>33</v>
      </c>
      <c r="E1465" s="1" t="s">
        <v>16</v>
      </c>
      <c r="F1465" s="1">
        <f t="shared" si="46"/>
        <v>600</v>
      </c>
      <c r="G1465" s="5">
        <f t="shared" si="45"/>
        <v>1.2516666666666667</v>
      </c>
    </row>
    <row r="1466" spans="1:7" ht="13">
      <c r="A1466" s="4" t="s">
        <v>117</v>
      </c>
      <c r="B1466" s="1">
        <v>5.6</v>
      </c>
      <c r="C1466" s="1">
        <v>641</v>
      </c>
      <c r="D1466" s="1" t="s">
        <v>53</v>
      </c>
      <c r="E1466" s="1" t="s">
        <v>8</v>
      </c>
      <c r="F1466" s="1">
        <f t="shared" si="46"/>
        <v>560</v>
      </c>
      <c r="G1466" s="5">
        <f t="shared" si="45"/>
        <v>1.1446428571428571</v>
      </c>
    </row>
    <row r="1467" spans="1:7" ht="13">
      <c r="A1467" s="4" t="s">
        <v>117</v>
      </c>
      <c r="B1467" s="1">
        <v>6.4</v>
      </c>
      <c r="C1467" s="1">
        <v>811</v>
      </c>
      <c r="D1467" s="1" t="s">
        <v>11</v>
      </c>
      <c r="E1467" s="1" t="s">
        <v>16</v>
      </c>
      <c r="F1467" s="1">
        <f t="shared" si="46"/>
        <v>640</v>
      </c>
      <c r="G1467" s="5">
        <f t="shared" si="45"/>
        <v>1.2671874999999999</v>
      </c>
    </row>
    <row r="1468" spans="1:7" ht="13">
      <c r="A1468" s="4" t="s">
        <v>117</v>
      </c>
      <c r="B1468" s="1">
        <v>9.6</v>
      </c>
      <c r="C1468" s="1">
        <v>1120</v>
      </c>
      <c r="D1468" s="1" t="s">
        <v>33</v>
      </c>
      <c r="E1468" s="1" t="s">
        <v>12</v>
      </c>
      <c r="F1468" s="1">
        <f t="shared" si="46"/>
        <v>960</v>
      </c>
      <c r="G1468" s="5">
        <f t="shared" si="45"/>
        <v>1.1666666666666667</v>
      </c>
    </row>
    <row r="1469" spans="1:7" ht="13">
      <c r="A1469" s="4" t="s">
        <v>117</v>
      </c>
      <c r="B1469" s="1">
        <v>8.6</v>
      </c>
      <c r="C1469" s="1">
        <v>966</v>
      </c>
      <c r="D1469" s="1" t="s">
        <v>43</v>
      </c>
      <c r="E1469" s="1" t="s">
        <v>31</v>
      </c>
      <c r="F1469" s="1">
        <f t="shared" si="46"/>
        <v>860</v>
      </c>
      <c r="G1469" s="5">
        <f t="shared" si="45"/>
        <v>1.1232558139534883</v>
      </c>
    </row>
    <row r="1470" spans="1:7" ht="13">
      <c r="A1470" s="4" t="s">
        <v>117</v>
      </c>
      <c r="B1470" s="1">
        <v>6.96</v>
      </c>
      <c r="C1470" s="1">
        <v>874</v>
      </c>
      <c r="D1470" s="1" t="s">
        <v>33</v>
      </c>
      <c r="E1470" s="1" t="s">
        <v>22</v>
      </c>
      <c r="F1470" s="1">
        <f t="shared" si="46"/>
        <v>696</v>
      </c>
      <c r="G1470" s="5">
        <f t="shared" si="45"/>
        <v>1.2557471264367817</v>
      </c>
    </row>
    <row r="1471" spans="1:7" ht="13">
      <c r="A1471" s="4" t="s">
        <v>117</v>
      </c>
      <c r="B1471" s="1">
        <v>7.76</v>
      </c>
      <c r="C1471" s="1">
        <v>964</v>
      </c>
      <c r="D1471" s="1" t="s">
        <v>39</v>
      </c>
      <c r="E1471" s="1" t="s">
        <v>16</v>
      </c>
      <c r="F1471" s="1">
        <f t="shared" si="46"/>
        <v>776</v>
      </c>
      <c r="G1471" s="5">
        <f t="shared" si="45"/>
        <v>1.2422680412371134</v>
      </c>
    </row>
    <row r="1472" spans="1:7" ht="13">
      <c r="A1472" s="4" t="s">
        <v>117</v>
      </c>
      <c r="B1472" s="1">
        <v>6.4</v>
      </c>
      <c r="C1472" s="1">
        <v>755</v>
      </c>
      <c r="D1472" s="1" t="s">
        <v>37</v>
      </c>
      <c r="E1472" s="1" t="s">
        <v>20</v>
      </c>
      <c r="F1472" s="1">
        <f t="shared" si="46"/>
        <v>640</v>
      </c>
      <c r="G1472" s="5">
        <f t="shared" si="45"/>
        <v>1.1796875</v>
      </c>
    </row>
    <row r="1473" spans="1:7" ht="13">
      <c r="A1473" s="4" t="s">
        <v>117</v>
      </c>
      <c r="B1473" s="1">
        <v>6.1</v>
      </c>
      <c r="C1473" s="1">
        <v>792</v>
      </c>
      <c r="D1473" s="1" t="s">
        <v>39</v>
      </c>
      <c r="E1473" s="1" t="s">
        <v>8</v>
      </c>
      <c r="F1473" s="1">
        <f t="shared" si="46"/>
        <v>610</v>
      </c>
      <c r="G1473" s="5">
        <f t="shared" si="45"/>
        <v>1.298360655737705</v>
      </c>
    </row>
    <row r="1474" spans="1:7" ht="13">
      <c r="A1474" s="4" t="s">
        <v>117</v>
      </c>
      <c r="B1474" s="1">
        <v>9.3000000000000007</v>
      </c>
      <c r="C1474" s="1">
        <v>1050</v>
      </c>
      <c r="D1474" s="1" t="s">
        <v>11</v>
      </c>
      <c r="E1474" s="1" t="s">
        <v>20</v>
      </c>
      <c r="F1474" s="1">
        <f t="shared" si="46"/>
        <v>930.00000000000011</v>
      </c>
      <c r="G1474" s="5">
        <f t="shared" ref="G1474:G1537" si="47">C1474/F1474</f>
        <v>1.129032258064516</v>
      </c>
    </row>
    <row r="1475" spans="1:7" ht="13">
      <c r="A1475" s="4" t="s">
        <v>117</v>
      </c>
      <c r="B1475" s="1">
        <v>6.88</v>
      </c>
      <c r="C1475" s="1">
        <v>840</v>
      </c>
      <c r="D1475" s="1" t="s">
        <v>48</v>
      </c>
      <c r="E1475" s="1" t="s">
        <v>16</v>
      </c>
      <c r="F1475" s="1">
        <f t="shared" si="46"/>
        <v>688</v>
      </c>
      <c r="G1475" s="5">
        <f t="shared" si="47"/>
        <v>1.2209302325581395</v>
      </c>
    </row>
    <row r="1476" spans="1:7" ht="13">
      <c r="A1476" s="4" t="s">
        <v>117</v>
      </c>
      <c r="B1476" s="1">
        <v>5.2</v>
      </c>
      <c r="C1476" s="1">
        <v>748</v>
      </c>
      <c r="D1476" s="1" t="s">
        <v>39</v>
      </c>
      <c r="E1476" s="1" t="s">
        <v>9</v>
      </c>
      <c r="F1476" s="1">
        <f t="shared" si="46"/>
        <v>520</v>
      </c>
      <c r="G1476" s="5">
        <f t="shared" si="47"/>
        <v>1.4384615384615385</v>
      </c>
    </row>
    <row r="1477" spans="1:7" ht="13">
      <c r="A1477" s="4" t="s">
        <v>117</v>
      </c>
      <c r="B1477" s="1">
        <v>4.7</v>
      </c>
      <c r="C1477" s="1">
        <v>566</v>
      </c>
      <c r="D1477" s="1" t="s">
        <v>33</v>
      </c>
      <c r="E1477" s="1" t="s">
        <v>26</v>
      </c>
      <c r="F1477" s="1">
        <f t="shared" si="46"/>
        <v>470</v>
      </c>
      <c r="G1477" s="5">
        <f t="shared" si="47"/>
        <v>1.2042553191489362</v>
      </c>
    </row>
    <row r="1478" spans="1:7" ht="13">
      <c r="A1478" s="4" t="s">
        <v>117</v>
      </c>
      <c r="B1478" s="1">
        <v>7.74</v>
      </c>
      <c r="C1478" s="1">
        <v>774</v>
      </c>
      <c r="D1478" s="1" t="s">
        <v>45</v>
      </c>
      <c r="E1478" s="1" t="s">
        <v>27</v>
      </c>
      <c r="F1478" s="1">
        <f t="shared" si="46"/>
        <v>774</v>
      </c>
      <c r="G1478" s="5">
        <f t="shared" si="47"/>
        <v>1</v>
      </c>
    </row>
    <row r="1479" spans="1:7" ht="13">
      <c r="A1479" s="4" t="s">
        <v>117</v>
      </c>
      <c r="B1479" s="1">
        <v>6</v>
      </c>
      <c r="C1479" s="1">
        <v>696</v>
      </c>
      <c r="D1479" s="1" t="s">
        <v>47</v>
      </c>
      <c r="E1479" s="1" t="s">
        <v>19</v>
      </c>
      <c r="F1479" s="1">
        <f t="shared" si="46"/>
        <v>600</v>
      </c>
      <c r="G1479" s="5">
        <f t="shared" si="47"/>
        <v>1.1599999999999999</v>
      </c>
    </row>
    <row r="1480" spans="1:7" ht="13">
      <c r="A1480" s="4" t="s">
        <v>117</v>
      </c>
      <c r="B1480" s="1">
        <v>4</v>
      </c>
      <c r="C1480" s="1">
        <v>510</v>
      </c>
      <c r="D1480" s="1" t="s">
        <v>11</v>
      </c>
      <c r="E1480" s="1" t="s">
        <v>20</v>
      </c>
      <c r="F1480" s="1">
        <f t="shared" si="46"/>
        <v>400</v>
      </c>
      <c r="G1480" s="5">
        <f t="shared" si="47"/>
        <v>1.2749999999999999</v>
      </c>
    </row>
    <row r="1481" spans="1:7" ht="13">
      <c r="A1481" s="4" t="s">
        <v>117</v>
      </c>
      <c r="B1481" s="1">
        <v>6</v>
      </c>
      <c r="C1481" s="1">
        <v>833</v>
      </c>
      <c r="D1481" s="1" t="s">
        <v>11</v>
      </c>
      <c r="E1481" s="1" t="s">
        <v>20</v>
      </c>
      <c r="F1481" s="1">
        <f t="shared" si="46"/>
        <v>600</v>
      </c>
      <c r="G1481" s="5">
        <f t="shared" si="47"/>
        <v>1.3883333333333334</v>
      </c>
    </row>
    <row r="1482" spans="1:7" ht="13">
      <c r="A1482" s="4" t="s">
        <v>117</v>
      </c>
      <c r="B1482" s="1">
        <v>7.4</v>
      </c>
      <c r="C1482" s="1">
        <v>914</v>
      </c>
      <c r="D1482" s="1" t="s">
        <v>55</v>
      </c>
      <c r="E1482" s="1" t="s">
        <v>17</v>
      </c>
      <c r="F1482" s="1">
        <f t="shared" si="46"/>
        <v>740</v>
      </c>
      <c r="G1482" s="5">
        <f t="shared" si="47"/>
        <v>1.2351351351351352</v>
      </c>
    </row>
    <row r="1483" spans="1:7" ht="13">
      <c r="A1483" s="4" t="s">
        <v>117</v>
      </c>
      <c r="B1483" s="1">
        <v>3</v>
      </c>
      <c r="C1483" s="1">
        <v>374</v>
      </c>
      <c r="D1483" s="1" t="s">
        <v>11</v>
      </c>
      <c r="E1483" s="1" t="s">
        <v>25</v>
      </c>
      <c r="F1483" s="1">
        <f t="shared" si="46"/>
        <v>300</v>
      </c>
      <c r="G1483" s="5">
        <f t="shared" si="47"/>
        <v>1.2466666666666666</v>
      </c>
    </row>
    <row r="1484" spans="1:7" ht="13">
      <c r="A1484" s="4" t="s">
        <v>117</v>
      </c>
      <c r="B1484" s="1">
        <v>5.6</v>
      </c>
      <c r="C1484" s="1">
        <v>710</v>
      </c>
      <c r="D1484" s="1" t="s">
        <v>11</v>
      </c>
      <c r="E1484" s="1" t="s">
        <v>68</v>
      </c>
      <c r="F1484" s="1">
        <f t="shared" si="46"/>
        <v>560</v>
      </c>
      <c r="G1484" s="5">
        <f t="shared" si="47"/>
        <v>1.2678571428571428</v>
      </c>
    </row>
    <row r="1485" spans="1:7" ht="13">
      <c r="A1485" s="4" t="s">
        <v>117</v>
      </c>
      <c r="B1485" s="1">
        <v>6.2</v>
      </c>
      <c r="C1485" s="1">
        <v>772</v>
      </c>
      <c r="D1485" s="1" t="s">
        <v>11</v>
      </c>
      <c r="E1485" s="1" t="s">
        <v>7</v>
      </c>
      <c r="F1485" s="1">
        <f t="shared" si="46"/>
        <v>620</v>
      </c>
      <c r="G1485" s="5">
        <f t="shared" si="47"/>
        <v>1.2451612903225806</v>
      </c>
    </row>
    <row r="1486" spans="1:7" ht="13">
      <c r="A1486" s="4" t="s">
        <v>117</v>
      </c>
      <c r="B1486" s="1">
        <v>3.4</v>
      </c>
      <c r="C1486" s="1">
        <v>437</v>
      </c>
      <c r="D1486" s="1" t="s">
        <v>11</v>
      </c>
      <c r="E1486" s="1" t="s">
        <v>30</v>
      </c>
      <c r="F1486" s="1">
        <f t="shared" si="46"/>
        <v>340</v>
      </c>
      <c r="G1486" s="5">
        <f t="shared" si="47"/>
        <v>1.2852941176470589</v>
      </c>
    </row>
    <row r="1487" spans="1:7" ht="13">
      <c r="A1487" s="4" t="s">
        <v>117</v>
      </c>
      <c r="B1487" s="1">
        <v>6.88</v>
      </c>
      <c r="C1487" s="1">
        <v>780</v>
      </c>
      <c r="D1487" s="1" t="s">
        <v>53</v>
      </c>
      <c r="E1487" s="1" t="s">
        <v>16</v>
      </c>
      <c r="F1487" s="1">
        <f t="shared" si="46"/>
        <v>688</v>
      </c>
      <c r="G1487" s="5">
        <f t="shared" si="47"/>
        <v>1.1337209302325582</v>
      </c>
    </row>
    <row r="1488" spans="1:7" ht="13">
      <c r="A1488" s="4" t="s">
        <v>117</v>
      </c>
      <c r="B1488" s="1">
        <v>7.3</v>
      </c>
      <c r="C1488" s="1">
        <v>665</v>
      </c>
      <c r="D1488" s="1" t="s">
        <v>55</v>
      </c>
      <c r="E1488" s="1" t="s">
        <v>31</v>
      </c>
      <c r="F1488" s="1">
        <f t="shared" si="46"/>
        <v>730</v>
      </c>
      <c r="G1488" s="5">
        <f t="shared" si="47"/>
        <v>0.91095890410958902</v>
      </c>
    </row>
    <row r="1489" spans="1:7" ht="13">
      <c r="A1489" s="4" t="s">
        <v>117</v>
      </c>
      <c r="B1489" s="1">
        <v>6.4</v>
      </c>
      <c r="C1489" s="1">
        <v>801</v>
      </c>
      <c r="D1489" s="1" t="s">
        <v>96</v>
      </c>
      <c r="E1489" s="1" t="s">
        <v>26</v>
      </c>
      <c r="F1489" s="1">
        <f t="shared" si="46"/>
        <v>640</v>
      </c>
      <c r="G1489" s="5">
        <f t="shared" si="47"/>
        <v>1.2515624999999999</v>
      </c>
    </row>
    <row r="1490" spans="1:7" ht="13">
      <c r="A1490" s="4" t="s">
        <v>117</v>
      </c>
      <c r="B1490" s="1">
        <v>6.8</v>
      </c>
      <c r="C1490" s="1">
        <v>813</v>
      </c>
      <c r="D1490" s="1" t="s">
        <v>33</v>
      </c>
      <c r="E1490" s="1" t="s">
        <v>20</v>
      </c>
      <c r="F1490" s="1">
        <f t="shared" si="46"/>
        <v>680</v>
      </c>
      <c r="G1490" s="5">
        <f t="shared" si="47"/>
        <v>1.1955882352941176</v>
      </c>
    </row>
    <row r="1491" spans="1:7" ht="13">
      <c r="A1491" s="4" t="s">
        <v>117</v>
      </c>
      <c r="B1491" s="1">
        <v>8.4</v>
      </c>
      <c r="C1491" s="1">
        <v>974</v>
      </c>
      <c r="D1491" s="1" t="s">
        <v>11</v>
      </c>
      <c r="E1491" s="1" t="s">
        <v>25</v>
      </c>
      <c r="F1491" s="1">
        <f t="shared" si="46"/>
        <v>840</v>
      </c>
      <c r="G1491" s="5">
        <f t="shared" si="47"/>
        <v>1.1595238095238096</v>
      </c>
    </row>
    <row r="1492" spans="1:7" ht="13">
      <c r="A1492" s="4" t="s">
        <v>117</v>
      </c>
      <c r="B1492" s="1">
        <v>10.199999999999999</v>
      </c>
      <c r="C1492" s="1">
        <v>1007</v>
      </c>
      <c r="D1492" s="1" t="s">
        <v>11</v>
      </c>
      <c r="E1492" s="1" t="s">
        <v>7</v>
      </c>
      <c r="F1492" s="1">
        <f t="shared" si="46"/>
        <v>1019.9999999999999</v>
      </c>
      <c r="G1492" s="5">
        <f t="shared" si="47"/>
        <v>0.98725490196078447</v>
      </c>
    </row>
    <row r="1493" spans="1:7" ht="13">
      <c r="A1493" s="4" t="s">
        <v>117</v>
      </c>
      <c r="B1493" s="1">
        <v>7.04</v>
      </c>
      <c r="C1493" s="1">
        <v>818</v>
      </c>
      <c r="D1493" s="1" t="s">
        <v>33</v>
      </c>
      <c r="E1493" s="1" t="s">
        <v>24</v>
      </c>
      <c r="F1493" s="1">
        <f t="shared" si="46"/>
        <v>704</v>
      </c>
      <c r="G1493" s="5">
        <f t="shared" si="47"/>
        <v>1.1619318181818181</v>
      </c>
    </row>
    <row r="1494" spans="1:7" ht="13">
      <c r="A1494" s="4" t="s">
        <v>117</v>
      </c>
      <c r="B1494" s="1">
        <v>6.97</v>
      </c>
      <c r="C1494" s="1">
        <v>792</v>
      </c>
      <c r="D1494" s="1" t="s">
        <v>39</v>
      </c>
      <c r="E1494" s="1" t="s">
        <v>17</v>
      </c>
      <c r="F1494" s="1">
        <f t="shared" si="46"/>
        <v>697</v>
      </c>
      <c r="G1494" s="5">
        <f t="shared" si="47"/>
        <v>1.1362984218077474</v>
      </c>
    </row>
    <row r="1495" spans="1:7" ht="13">
      <c r="A1495" s="4" t="s">
        <v>117</v>
      </c>
      <c r="B1495" s="1">
        <v>11</v>
      </c>
      <c r="C1495" s="1">
        <v>1000</v>
      </c>
      <c r="D1495" s="1" t="s">
        <v>11</v>
      </c>
      <c r="E1495" s="1" t="s">
        <v>8</v>
      </c>
      <c r="F1495" s="1">
        <f t="shared" si="46"/>
        <v>1100</v>
      </c>
      <c r="G1495" s="5">
        <f t="shared" si="47"/>
        <v>0.90909090909090906</v>
      </c>
    </row>
    <row r="1496" spans="1:7" ht="13">
      <c r="A1496" s="4" t="s">
        <v>117</v>
      </c>
      <c r="B1496" s="1">
        <v>11.25</v>
      </c>
      <c r="C1496" s="1">
        <v>1310</v>
      </c>
      <c r="D1496" s="1" t="s">
        <v>45</v>
      </c>
      <c r="E1496" s="1" t="s">
        <v>8</v>
      </c>
      <c r="F1496" s="1">
        <f t="shared" si="46"/>
        <v>1125</v>
      </c>
      <c r="G1496" s="5">
        <f t="shared" si="47"/>
        <v>1.1644444444444444</v>
      </c>
    </row>
    <row r="1497" spans="1:7" ht="13">
      <c r="A1497" s="4" t="s">
        <v>117</v>
      </c>
      <c r="B1497" s="1">
        <v>6.8849999999999998</v>
      </c>
      <c r="C1497" s="1">
        <v>859</v>
      </c>
      <c r="D1497" s="1" t="s">
        <v>43</v>
      </c>
      <c r="E1497" s="1" t="s">
        <v>8</v>
      </c>
      <c r="F1497" s="1">
        <f t="shared" si="46"/>
        <v>688.5</v>
      </c>
      <c r="G1497" s="5">
        <f t="shared" si="47"/>
        <v>1.2476397966594046</v>
      </c>
    </row>
    <row r="1498" spans="1:7" ht="13">
      <c r="A1498" s="4" t="s">
        <v>117</v>
      </c>
      <c r="B1498" s="1">
        <v>5</v>
      </c>
      <c r="C1498" s="1">
        <v>688</v>
      </c>
      <c r="D1498" s="1" t="s">
        <v>11</v>
      </c>
      <c r="E1498" s="1" t="s">
        <v>8</v>
      </c>
      <c r="F1498" s="1">
        <f t="shared" si="46"/>
        <v>500</v>
      </c>
      <c r="G1498" s="5">
        <f t="shared" si="47"/>
        <v>1.3759999999999999</v>
      </c>
    </row>
    <row r="1499" spans="1:7" ht="13">
      <c r="A1499" s="4" t="s">
        <v>117</v>
      </c>
      <c r="B1499" s="1">
        <v>6.9</v>
      </c>
      <c r="C1499" s="1">
        <v>726</v>
      </c>
      <c r="D1499" s="1" t="s">
        <v>36</v>
      </c>
      <c r="E1499" s="1" t="s">
        <v>26</v>
      </c>
      <c r="F1499" s="1">
        <f t="shared" si="46"/>
        <v>690</v>
      </c>
      <c r="G1499" s="5">
        <f t="shared" si="47"/>
        <v>1.0521739130434782</v>
      </c>
    </row>
    <row r="1500" spans="1:7" ht="13">
      <c r="A1500" s="4" t="s">
        <v>117</v>
      </c>
      <c r="B1500" s="1">
        <v>6</v>
      </c>
      <c r="C1500" s="1">
        <v>852</v>
      </c>
      <c r="D1500" s="1" t="s">
        <v>44</v>
      </c>
      <c r="E1500" s="1" t="s">
        <v>8</v>
      </c>
      <c r="F1500" s="1">
        <f t="shared" si="46"/>
        <v>600</v>
      </c>
      <c r="G1500" s="5">
        <f t="shared" si="47"/>
        <v>1.42</v>
      </c>
    </row>
    <row r="1501" spans="1:7" ht="13">
      <c r="A1501" s="4" t="s">
        <v>117</v>
      </c>
      <c r="B1501" s="1">
        <v>8.1</v>
      </c>
      <c r="C1501" s="1">
        <v>1040</v>
      </c>
      <c r="D1501" s="1" t="s">
        <v>42</v>
      </c>
      <c r="E1501" s="1" t="s">
        <v>10</v>
      </c>
      <c r="F1501" s="1">
        <f t="shared" si="46"/>
        <v>810</v>
      </c>
      <c r="G1501" s="5">
        <f t="shared" si="47"/>
        <v>1.2839506172839505</v>
      </c>
    </row>
    <row r="1502" spans="1:7" ht="13">
      <c r="A1502" s="4" t="s">
        <v>117</v>
      </c>
      <c r="B1502" s="1">
        <v>8</v>
      </c>
      <c r="C1502" s="1">
        <v>894</v>
      </c>
      <c r="D1502" s="1" t="s">
        <v>33</v>
      </c>
      <c r="E1502" s="1" t="s">
        <v>17</v>
      </c>
      <c r="F1502" s="1">
        <f t="shared" si="46"/>
        <v>800</v>
      </c>
      <c r="G1502" s="5">
        <f t="shared" si="47"/>
        <v>1.1174999999999999</v>
      </c>
    </row>
    <row r="1503" spans="1:7" ht="13">
      <c r="A1503" s="4" t="s">
        <v>117</v>
      </c>
      <c r="B1503" s="1">
        <v>6.24</v>
      </c>
      <c r="C1503" s="1">
        <v>664</v>
      </c>
      <c r="D1503" s="1" t="s">
        <v>33</v>
      </c>
      <c r="E1503" s="1" t="s">
        <v>15</v>
      </c>
      <c r="F1503" s="1">
        <f t="shared" si="46"/>
        <v>624</v>
      </c>
      <c r="G1503" s="5">
        <f t="shared" si="47"/>
        <v>1.0641025641025641</v>
      </c>
    </row>
    <row r="1504" spans="1:7" ht="13">
      <c r="A1504" s="4" t="s">
        <v>117</v>
      </c>
      <c r="B1504" s="1">
        <v>5.6</v>
      </c>
      <c r="C1504" s="1">
        <v>727</v>
      </c>
      <c r="D1504" s="1" t="s">
        <v>11</v>
      </c>
      <c r="E1504" s="1" t="s">
        <v>21</v>
      </c>
      <c r="F1504" s="1">
        <f t="shared" ref="F1504:F1567" si="48">B1504*100</f>
        <v>560</v>
      </c>
      <c r="G1504" s="5">
        <f t="shared" si="47"/>
        <v>1.2982142857142858</v>
      </c>
    </row>
    <row r="1505" spans="1:7" ht="13">
      <c r="A1505" s="4" t="s">
        <v>117</v>
      </c>
      <c r="B1505" s="1">
        <v>8.5</v>
      </c>
      <c r="C1505" s="1">
        <v>911</v>
      </c>
      <c r="D1505" s="1" t="s">
        <v>33</v>
      </c>
      <c r="E1505" s="1" t="s">
        <v>46</v>
      </c>
      <c r="F1505" s="1">
        <f t="shared" si="48"/>
        <v>850</v>
      </c>
      <c r="G1505" s="5">
        <f t="shared" si="47"/>
        <v>1.071764705882353</v>
      </c>
    </row>
    <row r="1506" spans="1:7" ht="13">
      <c r="A1506" s="4" t="s">
        <v>117</v>
      </c>
      <c r="B1506" s="1">
        <v>6.96</v>
      </c>
      <c r="C1506" s="1">
        <v>856</v>
      </c>
      <c r="D1506" s="1" t="s">
        <v>53</v>
      </c>
      <c r="E1506" s="1" t="s">
        <v>15</v>
      </c>
      <c r="F1506" s="1">
        <f t="shared" si="48"/>
        <v>696</v>
      </c>
      <c r="G1506" s="5">
        <f t="shared" si="47"/>
        <v>1.2298850574712643</v>
      </c>
    </row>
    <row r="1507" spans="1:7" ht="13">
      <c r="A1507" s="4" t="s">
        <v>117</v>
      </c>
      <c r="B1507" s="1">
        <v>8.1999999999999993</v>
      </c>
      <c r="C1507" s="1">
        <v>930</v>
      </c>
      <c r="D1507" s="1" t="s">
        <v>11</v>
      </c>
      <c r="E1507" s="1" t="s">
        <v>12</v>
      </c>
      <c r="F1507" s="1">
        <f t="shared" si="48"/>
        <v>819.99999999999989</v>
      </c>
      <c r="G1507" s="5">
        <f t="shared" si="47"/>
        <v>1.1341463414634148</v>
      </c>
    </row>
    <row r="1508" spans="1:7" ht="13">
      <c r="A1508" s="4" t="s">
        <v>117</v>
      </c>
      <c r="B1508" s="1">
        <v>8.5</v>
      </c>
      <c r="C1508" s="1">
        <v>1090</v>
      </c>
      <c r="D1508" s="1" t="s">
        <v>38</v>
      </c>
      <c r="E1508" s="1" t="s">
        <v>20</v>
      </c>
      <c r="F1508" s="1">
        <f t="shared" si="48"/>
        <v>850</v>
      </c>
      <c r="G1508" s="5">
        <f t="shared" si="47"/>
        <v>1.2823529411764707</v>
      </c>
    </row>
    <row r="1509" spans="1:7" ht="13">
      <c r="A1509" s="4" t="s">
        <v>117</v>
      </c>
      <c r="B1509" s="1">
        <v>5</v>
      </c>
      <c r="C1509" s="1">
        <v>624</v>
      </c>
      <c r="D1509" s="1" t="s">
        <v>50</v>
      </c>
      <c r="E1509" s="1" t="s">
        <v>17</v>
      </c>
      <c r="F1509" s="1">
        <f t="shared" si="48"/>
        <v>500</v>
      </c>
      <c r="G1509" s="5">
        <f t="shared" si="47"/>
        <v>1.248</v>
      </c>
    </row>
    <row r="1510" spans="1:7" ht="13">
      <c r="A1510" s="4" t="s">
        <v>117</v>
      </c>
      <c r="B1510" s="1">
        <v>5.4</v>
      </c>
      <c r="C1510" s="1">
        <v>385</v>
      </c>
      <c r="D1510" s="1" t="s">
        <v>33</v>
      </c>
      <c r="E1510" s="1" t="s">
        <v>25</v>
      </c>
      <c r="F1510" s="1">
        <f t="shared" si="48"/>
        <v>540</v>
      </c>
      <c r="G1510" s="5">
        <f t="shared" si="47"/>
        <v>0.71296296296296291</v>
      </c>
    </row>
    <row r="1511" spans="1:7" ht="13">
      <c r="A1511" s="4" t="s">
        <v>117</v>
      </c>
      <c r="B1511" s="1">
        <v>3.44</v>
      </c>
      <c r="C1511" s="1">
        <v>443</v>
      </c>
      <c r="D1511" s="1" t="s">
        <v>11</v>
      </c>
      <c r="E1511" s="1" t="s">
        <v>9</v>
      </c>
      <c r="F1511" s="1">
        <f t="shared" si="48"/>
        <v>344</v>
      </c>
      <c r="G1511" s="5">
        <f t="shared" si="47"/>
        <v>1.2877906976744187</v>
      </c>
    </row>
    <row r="1512" spans="1:7" ht="13">
      <c r="A1512" s="4" t="s">
        <v>117</v>
      </c>
      <c r="B1512" s="1">
        <v>5.67</v>
      </c>
      <c r="C1512" s="1">
        <v>789</v>
      </c>
      <c r="D1512" s="1" t="s">
        <v>43</v>
      </c>
      <c r="E1512" s="1" t="s">
        <v>9</v>
      </c>
      <c r="F1512" s="1">
        <f t="shared" si="48"/>
        <v>567</v>
      </c>
      <c r="G1512" s="5">
        <f t="shared" si="47"/>
        <v>1.3915343915343916</v>
      </c>
    </row>
    <row r="1513" spans="1:7" ht="13">
      <c r="A1513" s="4" t="s">
        <v>117</v>
      </c>
      <c r="B1513" s="1">
        <v>8.1999999999999993</v>
      </c>
      <c r="C1513" s="1">
        <v>972</v>
      </c>
      <c r="D1513" s="1" t="s">
        <v>34</v>
      </c>
      <c r="E1513" s="1" t="s">
        <v>16</v>
      </c>
      <c r="F1513" s="1">
        <f t="shared" si="48"/>
        <v>819.99999999999989</v>
      </c>
      <c r="G1513" s="5">
        <f t="shared" si="47"/>
        <v>1.1853658536585368</v>
      </c>
    </row>
    <row r="1514" spans="1:7" ht="13">
      <c r="A1514" s="4" t="s">
        <v>117</v>
      </c>
      <c r="B1514" s="1">
        <v>6.88</v>
      </c>
      <c r="C1514" s="1">
        <v>809</v>
      </c>
      <c r="D1514" s="1" t="s">
        <v>58</v>
      </c>
      <c r="E1514" s="1" t="s">
        <v>16</v>
      </c>
      <c r="F1514" s="1">
        <f t="shared" si="48"/>
        <v>688</v>
      </c>
      <c r="G1514" s="5">
        <f t="shared" si="47"/>
        <v>1.1758720930232558</v>
      </c>
    </row>
    <row r="1515" spans="1:7" ht="13">
      <c r="A1515" s="4" t="s">
        <v>117</v>
      </c>
      <c r="B1515" s="1">
        <v>7.3</v>
      </c>
      <c r="C1515" s="1">
        <v>921</v>
      </c>
      <c r="D1515" s="1" t="s">
        <v>47</v>
      </c>
      <c r="E1515" s="1" t="s">
        <v>28</v>
      </c>
      <c r="F1515" s="1">
        <f t="shared" si="48"/>
        <v>730</v>
      </c>
      <c r="G1515" s="5">
        <f t="shared" si="47"/>
        <v>1.2616438356164383</v>
      </c>
    </row>
    <row r="1516" spans="1:7" ht="13">
      <c r="A1516" s="4" t="s">
        <v>117</v>
      </c>
      <c r="B1516" s="1">
        <v>6.02</v>
      </c>
      <c r="C1516" s="1">
        <v>770</v>
      </c>
      <c r="D1516" s="1" t="s">
        <v>47</v>
      </c>
      <c r="E1516" s="1" t="s">
        <v>20</v>
      </c>
      <c r="F1516" s="1">
        <f t="shared" si="48"/>
        <v>602</v>
      </c>
      <c r="G1516" s="5">
        <f t="shared" si="47"/>
        <v>1.2790697674418605</v>
      </c>
    </row>
    <row r="1517" spans="1:7" ht="13">
      <c r="A1517" s="4" t="s">
        <v>117</v>
      </c>
      <c r="B1517" s="1">
        <v>7.83</v>
      </c>
      <c r="C1517" s="1">
        <v>894</v>
      </c>
      <c r="D1517" s="1" t="s">
        <v>39</v>
      </c>
      <c r="E1517" s="1" t="s">
        <v>8</v>
      </c>
      <c r="F1517" s="1">
        <f t="shared" si="48"/>
        <v>783</v>
      </c>
      <c r="G1517" s="5">
        <f t="shared" si="47"/>
        <v>1.1417624521072798</v>
      </c>
    </row>
    <row r="1518" spans="1:7" ht="13">
      <c r="A1518" s="4" t="s">
        <v>117</v>
      </c>
      <c r="B1518" s="1">
        <v>7.74</v>
      </c>
      <c r="C1518" s="1">
        <v>913</v>
      </c>
      <c r="D1518" s="1" t="s">
        <v>11</v>
      </c>
      <c r="E1518" s="1" t="s">
        <v>30</v>
      </c>
      <c r="F1518" s="1">
        <f t="shared" si="48"/>
        <v>774</v>
      </c>
      <c r="G1518" s="5">
        <f t="shared" si="47"/>
        <v>1.1795865633074936</v>
      </c>
    </row>
    <row r="1519" spans="1:7" ht="13">
      <c r="A1519" s="4" t="s">
        <v>117</v>
      </c>
      <c r="B1519" s="1">
        <v>7.6</v>
      </c>
      <c r="C1519" s="1">
        <v>876</v>
      </c>
      <c r="D1519" s="1" t="s">
        <v>39</v>
      </c>
      <c r="E1519" s="1" t="s">
        <v>8</v>
      </c>
      <c r="F1519" s="1">
        <f t="shared" si="48"/>
        <v>760</v>
      </c>
      <c r="G1519" s="5">
        <f t="shared" si="47"/>
        <v>1.1526315789473685</v>
      </c>
    </row>
    <row r="1520" spans="1:7" ht="13">
      <c r="A1520" s="4" t="s">
        <v>117</v>
      </c>
      <c r="B1520" s="1">
        <v>6.96</v>
      </c>
      <c r="C1520" s="1">
        <v>799</v>
      </c>
      <c r="D1520" s="1" t="s">
        <v>11</v>
      </c>
      <c r="E1520" s="1" t="s">
        <v>18</v>
      </c>
      <c r="F1520" s="1">
        <f t="shared" si="48"/>
        <v>696</v>
      </c>
      <c r="G1520" s="5">
        <f t="shared" si="47"/>
        <v>1.1479885057471264</v>
      </c>
    </row>
    <row r="1521" spans="1:7" ht="13">
      <c r="A1521" s="4" t="s">
        <v>117</v>
      </c>
      <c r="B1521" s="1">
        <v>40</v>
      </c>
      <c r="C1521" s="1">
        <v>5660</v>
      </c>
      <c r="D1521" s="1" t="s">
        <v>33</v>
      </c>
      <c r="E1521" s="1" t="s">
        <v>9</v>
      </c>
      <c r="F1521" s="1">
        <f t="shared" si="48"/>
        <v>4000</v>
      </c>
      <c r="G1521" s="5">
        <f t="shared" si="47"/>
        <v>1.415</v>
      </c>
    </row>
    <row r="1522" spans="1:7" ht="13">
      <c r="A1522" s="4" t="s">
        <v>117</v>
      </c>
      <c r="B1522" s="1">
        <v>6.56</v>
      </c>
      <c r="C1522" s="1">
        <v>772</v>
      </c>
      <c r="D1522" s="1" t="s">
        <v>11</v>
      </c>
      <c r="E1522" s="1" t="s">
        <v>18</v>
      </c>
      <c r="F1522" s="1">
        <f t="shared" si="48"/>
        <v>656</v>
      </c>
      <c r="G1522" s="5">
        <f t="shared" si="47"/>
        <v>1.1768292682926829</v>
      </c>
    </row>
    <row r="1523" spans="1:7" ht="13">
      <c r="A1523" s="4" t="s">
        <v>117</v>
      </c>
      <c r="B1523" s="1">
        <v>9</v>
      </c>
      <c r="C1523" s="1">
        <v>1200</v>
      </c>
      <c r="D1523" s="1" t="s">
        <v>33</v>
      </c>
      <c r="E1523" s="1" t="s">
        <v>8</v>
      </c>
      <c r="F1523" s="1">
        <f t="shared" si="48"/>
        <v>900</v>
      </c>
      <c r="G1523" s="5">
        <f t="shared" si="47"/>
        <v>1.3333333333333333</v>
      </c>
    </row>
    <row r="1524" spans="1:7" ht="13">
      <c r="A1524" s="4" t="s">
        <v>117</v>
      </c>
      <c r="B1524" s="1">
        <v>7.6</v>
      </c>
      <c r="C1524" s="1">
        <v>870</v>
      </c>
      <c r="D1524" s="1" t="s">
        <v>79</v>
      </c>
      <c r="E1524" s="1" t="s">
        <v>28</v>
      </c>
      <c r="F1524" s="1">
        <f t="shared" si="48"/>
        <v>760</v>
      </c>
      <c r="G1524" s="5">
        <f t="shared" si="47"/>
        <v>1.1447368421052631</v>
      </c>
    </row>
    <row r="1525" spans="1:7" ht="13">
      <c r="A1525" s="4" t="s">
        <v>117</v>
      </c>
      <c r="B1525" s="1">
        <v>4.2</v>
      </c>
      <c r="C1525" s="1">
        <v>547</v>
      </c>
      <c r="D1525" s="1" t="s">
        <v>11</v>
      </c>
      <c r="E1525" s="1" t="s">
        <v>15</v>
      </c>
      <c r="F1525" s="1">
        <f t="shared" si="48"/>
        <v>420</v>
      </c>
      <c r="G1525" s="5">
        <f t="shared" si="47"/>
        <v>1.3023809523809524</v>
      </c>
    </row>
    <row r="1526" spans="1:7" ht="13">
      <c r="A1526" s="4" t="s">
        <v>117</v>
      </c>
      <c r="B1526" s="1">
        <v>5</v>
      </c>
      <c r="C1526" s="1">
        <v>618</v>
      </c>
      <c r="D1526" s="1" t="s">
        <v>43</v>
      </c>
      <c r="E1526" s="1" t="s">
        <v>22</v>
      </c>
      <c r="F1526" s="1">
        <f t="shared" si="48"/>
        <v>500</v>
      </c>
      <c r="G1526" s="5">
        <f t="shared" si="47"/>
        <v>1.236</v>
      </c>
    </row>
    <row r="1527" spans="1:7" ht="13">
      <c r="A1527" s="4" t="s">
        <v>117</v>
      </c>
      <c r="B1527" s="1">
        <v>6.5250000000000004</v>
      </c>
      <c r="C1527" s="1">
        <v>651</v>
      </c>
      <c r="D1527" s="1" t="s">
        <v>11</v>
      </c>
      <c r="E1527" s="1" t="s">
        <v>18</v>
      </c>
      <c r="F1527" s="1">
        <f t="shared" si="48"/>
        <v>652.5</v>
      </c>
      <c r="G1527" s="5">
        <f t="shared" si="47"/>
        <v>0.99770114942528731</v>
      </c>
    </row>
    <row r="1528" spans="1:7" ht="13">
      <c r="A1528" s="4" t="s">
        <v>117</v>
      </c>
      <c r="B1528" s="1">
        <v>6.5</v>
      </c>
      <c r="C1528" s="1">
        <v>727</v>
      </c>
      <c r="D1528" s="1" t="s">
        <v>55</v>
      </c>
      <c r="E1528" s="1" t="s">
        <v>15</v>
      </c>
      <c r="F1528" s="1">
        <f t="shared" si="48"/>
        <v>650</v>
      </c>
      <c r="G1528" s="5">
        <f t="shared" si="47"/>
        <v>1.1184615384615384</v>
      </c>
    </row>
    <row r="1529" spans="1:7" ht="13">
      <c r="A1529" s="4" t="s">
        <v>117</v>
      </c>
      <c r="B1529" s="1">
        <v>6.88</v>
      </c>
      <c r="C1529" s="1">
        <v>929</v>
      </c>
      <c r="D1529" s="1" t="s">
        <v>11</v>
      </c>
      <c r="E1529" s="1" t="s">
        <v>8</v>
      </c>
      <c r="F1529" s="1">
        <f t="shared" si="48"/>
        <v>688</v>
      </c>
      <c r="G1529" s="5">
        <f t="shared" si="47"/>
        <v>1.3502906976744187</v>
      </c>
    </row>
    <row r="1530" spans="1:7" ht="13">
      <c r="A1530" s="4" t="s">
        <v>117</v>
      </c>
      <c r="B1530" s="1">
        <v>12.21</v>
      </c>
      <c r="C1530" s="1">
        <v>1557</v>
      </c>
      <c r="D1530" s="1" t="s">
        <v>11</v>
      </c>
      <c r="E1530" s="1" t="s">
        <v>14</v>
      </c>
      <c r="F1530" s="1">
        <f t="shared" si="48"/>
        <v>1221</v>
      </c>
      <c r="G1530" s="5">
        <f t="shared" si="47"/>
        <v>1.2751842751842752</v>
      </c>
    </row>
    <row r="1531" spans="1:7" ht="13">
      <c r="A1531" s="4" t="s">
        <v>117</v>
      </c>
      <c r="B1531" s="1">
        <v>5.46</v>
      </c>
      <c r="C1531" s="1">
        <v>728</v>
      </c>
      <c r="D1531" s="1" t="s">
        <v>47</v>
      </c>
      <c r="E1531" s="1" t="s">
        <v>10</v>
      </c>
      <c r="F1531" s="1">
        <f t="shared" si="48"/>
        <v>546</v>
      </c>
      <c r="G1531" s="5">
        <f t="shared" si="47"/>
        <v>1.3333333333333333</v>
      </c>
    </row>
    <row r="1532" spans="1:7" ht="13">
      <c r="A1532" s="4" t="s">
        <v>117</v>
      </c>
      <c r="B1532" s="1">
        <v>5.59</v>
      </c>
      <c r="C1532" s="1">
        <v>700</v>
      </c>
      <c r="D1532" s="1" t="s">
        <v>36</v>
      </c>
      <c r="E1532" s="1" t="s">
        <v>9</v>
      </c>
      <c r="F1532" s="1">
        <f t="shared" si="48"/>
        <v>559</v>
      </c>
      <c r="G1532" s="5">
        <f t="shared" si="47"/>
        <v>1.2522361359570662</v>
      </c>
    </row>
    <row r="1533" spans="1:7" ht="13">
      <c r="A1533" s="4" t="s">
        <v>117</v>
      </c>
      <c r="B1533" s="1">
        <v>8.6999999999999993</v>
      </c>
      <c r="C1533" s="1">
        <v>1038</v>
      </c>
      <c r="D1533" s="1" t="s">
        <v>33</v>
      </c>
      <c r="E1533" s="1" t="s">
        <v>8</v>
      </c>
      <c r="F1533" s="1">
        <f t="shared" si="48"/>
        <v>869.99999999999989</v>
      </c>
      <c r="G1533" s="5">
        <f t="shared" si="47"/>
        <v>1.1931034482758622</v>
      </c>
    </row>
    <row r="1534" spans="1:7" ht="13">
      <c r="A1534" s="4" t="s">
        <v>117</v>
      </c>
      <c r="B1534" s="1">
        <v>3</v>
      </c>
      <c r="C1534" s="1">
        <v>495.4</v>
      </c>
      <c r="D1534" s="1" t="s">
        <v>43</v>
      </c>
      <c r="E1534" s="1" t="s">
        <v>18</v>
      </c>
      <c r="F1534" s="1">
        <f t="shared" si="48"/>
        <v>300</v>
      </c>
      <c r="G1534" s="5">
        <f t="shared" si="47"/>
        <v>1.6513333333333333</v>
      </c>
    </row>
    <row r="1535" spans="1:7" ht="13">
      <c r="A1535" s="4" t="s">
        <v>117</v>
      </c>
      <c r="B1535" s="1">
        <v>5.2</v>
      </c>
      <c r="C1535" s="1">
        <v>642</v>
      </c>
      <c r="D1535" s="1" t="s">
        <v>11</v>
      </c>
      <c r="E1535" s="1" t="s">
        <v>16</v>
      </c>
      <c r="F1535" s="1">
        <f t="shared" si="48"/>
        <v>520</v>
      </c>
      <c r="G1535" s="5">
        <f t="shared" si="47"/>
        <v>1.2346153846153847</v>
      </c>
    </row>
    <row r="1536" spans="1:7" ht="13">
      <c r="A1536" s="4" t="s">
        <v>117</v>
      </c>
      <c r="B1536" s="1">
        <v>6.1</v>
      </c>
      <c r="C1536" s="1">
        <v>697</v>
      </c>
      <c r="D1536" s="1" t="s">
        <v>33</v>
      </c>
      <c r="E1536" s="1" t="s">
        <v>26</v>
      </c>
      <c r="F1536" s="1">
        <f t="shared" si="48"/>
        <v>610</v>
      </c>
      <c r="G1536" s="5">
        <f t="shared" si="47"/>
        <v>1.1426229508196721</v>
      </c>
    </row>
    <row r="1537" spans="1:7" ht="13">
      <c r="A1537" s="4" t="s">
        <v>117</v>
      </c>
      <c r="B1537" s="1">
        <v>5.22</v>
      </c>
      <c r="C1537" s="1">
        <v>676</v>
      </c>
      <c r="D1537" s="1" t="s">
        <v>11</v>
      </c>
      <c r="E1537" s="1" t="s">
        <v>17</v>
      </c>
      <c r="F1537" s="1">
        <f t="shared" si="48"/>
        <v>522</v>
      </c>
      <c r="G1537" s="5">
        <f t="shared" si="47"/>
        <v>1.2950191570881227</v>
      </c>
    </row>
    <row r="1538" spans="1:7" ht="13">
      <c r="A1538" s="4" t="s">
        <v>117</v>
      </c>
      <c r="B1538" s="1">
        <v>6.5</v>
      </c>
      <c r="C1538" s="1">
        <v>980</v>
      </c>
      <c r="D1538" s="1" t="s">
        <v>33</v>
      </c>
      <c r="E1538" s="1" t="s">
        <v>8</v>
      </c>
      <c r="F1538" s="1">
        <f t="shared" si="48"/>
        <v>650</v>
      </c>
      <c r="G1538" s="5">
        <f t="shared" ref="G1538:G1601" si="49">C1538/F1538</f>
        <v>1.5076923076923077</v>
      </c>
    </row>
    <row r="1539" spans="1:7" ht="13">
      <c r="A1539" s="4" t="s">
        <v>117</v>
      </c>
      <c r="B1539" s="1">
        <v>8.8000000000000007</v>
      </c>
      <c r="C1539" s="1">
        <v>831</v>
      </c>
      <c r="D1539" s="1" t="s">
        <v>97</v>
      </c>
      <c r="E1539" s="1" t="s">
        <v>30</v>
      </c>
      <c r="F1539" s="1">
        <f t="shared" si="48"/>
        <v>880.00000000000011</v>
      </c>
      <c r="G1539" s="5">
        <f t="shared" si="49"/>
        <v>0.94431818181818172</v>
      </c>
    </row>
    <row r="1540" spans="1:7" ht="13">
      <c r="A1540" s="4" t="s">
        <v>117</v>
      </c>
      <c r="B1540" s="1">
        <v>7.74</v>
      </c>
      <c r="C1540" s="1">
        <v>1010</v>
      </c>
      <c r="D1540" s="1" t="s">
        <v>11</v>
      </c>
      <c r="E1540" s="1" t="s">
        <v>25</v>
      </c>
      <c r="F1540" s="1">
        <f t="shared" si="48"/>
        <v>774</v>
      </c>
      <c r="G1540" s="5">
        <f t="shared" si="49"/>
        <v>1.3049095607235142</v>
      </c>
    </row>
    <row r="1541" spans="1:7" ht="13">
      <c r="A1541" s="4" t="s">
        <v>117</v>
      </c>
      <c r="B1541" s="1">
        <v>6.1</v>
      </c>
      <c r="C1541" s="1">
        <v>818</v>
      </c>
      <c r="D1541" s="1" t="s">
        <v>11</v>
      </c>
      <c r="E1541" s="1" t="s">
        <v>8</v>
      </c>
      <c r="F1541" s="1">
        <f t="shared" si="48"/>
        <v>610</v>
      </c>
      <c r="G1541" s="5">
        <f t="shared" si="49"/>
        <v>1.340983606557377</v>
      </c>
    </row>
    <row r="1542" spans="1:7" ht="13">
      <c r="A1542" s="4" t="s">
        <v>117</v>
      </c>
      <c r="B1542" s="1">
        <v>4.5</v>
      </c>
      <c r="C1542" s="1">
        <v>575</v>
      </c>
      <c r="D1542" s="1" t="s">
        <v>11</v>
      </c>
      <c r="E1542" s="1" t="s">
        <v>22</v>
      </c>
      <c r="F1542" s="1">
        <f t="shared" si="48"/>
        <v>450</v>
      </c>
      <c r="G1542" s="5">
        <f t="shared" si="49"/>
        <v>1.2777777777777777</v>
      </c>
    </row>
    <row r="1543" spans="1:7" ht="13">
      <c r="A1543" s="4" t="s">
        <v>117</v>
      </c>
      <c r="B1543" s="1">
        <v>9.6</v>
      </c>
      <c r="C1543" s="1">
        <v>1020</v>
      </c>
      <c r="D1543" s="1" t="s">
        <v>45</v>
      </c>
      <c r="E1543" s="1" t="s">
        <v>7</v>
      </c>
      <c r="F1543" s="1">
        <f t="shared" si="48"/>
        <v>960</v>
      </c>
      <c r="G1543" s="5">
        <f t="shared" si="49"/>
        <v>1.0625</v>
      </c>
    </row>
    <row r="1544" spans="1:7" ht="13">
      <c r="A1544" s="4" t="s">
        <v>117</v>
      </c>
      <c r="B1544" s="1">
        <v>7.3</v>
      </c>
      <c r="C1544" s="1">
        <v>880</v>
      </c>
      <c r="D1544" s="1" t="s">
        <v>35</v>
      </c>
      <c r="E1544" s="1" t="s">
        <v>27</v>
      </c>
      <c r="F1544" s="1">
        <f t="shared" si="48"/>
        <v>730</v>
      </c>
      <c r="G1544" s="5">
        <f t="shared" si="49"/>
        <v>1.2054794520547945</v>
      </c>
    </row>
    <row r="1545" spans="1:7" ht="13">
      <c r="A1545" s="4" t="s">
        <v>117</v>
      </c>
      <c r="B1545" s="1">
        <v>7.83</v>
      </c>
      <c r="C1545" s="1">
        <v>965.52</v>
      </c>
      <c r="D1545" s="1" t="s">
        <v>33</v>
      </c>
      <c r="E1545" s="1" t="s">
        <v>12</v>
      </c>
      <c r="F1545" s="1">
        <f t="shared" si="48"/>
        <v>783</v>
      </c>
      <c r="G1545" s="5">
        <f t="shared" si="49"/>
        <v>1.233103448275862</v>
      </c>
    </row>
    <row r="1546" spans="1:7" ht="13">
      <c r="A1546" s="4" t="s">
        <v>117</v>
      </c>
      <c r="B1546" s="1">
        <v>6.4</v>
      </c>
      <c r="C1546" s="1">
        <v>759</v>
      </c>
      <c r="D1546" s="1" t="s">
        <v>42</v>
      </c>
      <c r="E1546" s="1" t="s">
        <v>18</v>
      </c>
      <c r="F1546" s="1">
        <f t="shared" si="48"/>
        <v>640</v>
      </c>
      <c r="G1546" s="5">
        <f t="shared" si="49"/>
        <v>1.1859375000000001</v>
      </c>
    </row>
    <row r="1547" spans="1:7" ht="13">
      <c r="A1547" s="4" t="s">
        <v>117</v>
      </c>
      <c r="B1547" s="1">
        <v>6.9</v>
      </c>
      <c r="C1547" s="1">
        <v>840</v>
      </c>
      <c r="D1547" s="1" t="s">
        <v>47</v>
      </c>
      <c r="E1547" s="1" t="s">
        <v>24</v>
      </c>
      <c r="F1547" s="1">
        <f t="shared" si="48"/>
        <v>690</v>
      </c>
      <c r="G1547" s="5">
        <f t="shared" si="49"/>
        <v>1.2173913043478262</v>
      </c>
    </row>
    <row r="1548" spans="1:7" ht="13">
      <c r="A1548" s="4" t="s">
        <v>117</v>
      </c>
      <c r="B1548" s="1">
        <v>3.5</v>
      </c>
      <c r="C1548" s="1">
        <v>400</v>
      </c>
      <c r="D1548" s="1" t="s">
        <v>55</v>
      </c>
      <c r="E1548" s="1" t="s">
        <v>15</v>
      </c>
      <c r="F1548" s="1">
        <f t="shared" si="48"/>
        <v>350</v>
      </c>
      <c r="G1548" s="5">
        <f t="shared" si="49"/>
        <v>1.1428571428571428</v>
      </c>
    </row>
    <row r="1549" spans="1:7" ht="13">
      <c r="A1549" s="4" t="s">
        <v>117</v>
      </c>
      <c r="B1549" s="1">
        <v>5.92</v>
      </c>
      <c r="C1549" s="1">
        <v>741</v>
      </c>
      <c r="D1549" s="1" t="s">
        <v>11</v>
      </c>
      <c r="E1549" s="1" t="s">
        <v>17</v>
      </c>
      <c r="F1549" s="1">
        <f t="shared" si="48"/>
        <v>592</v>
      </c>
      <c r="G1549" s="5">
        <f t="shared" si="49"/>
        <v>1.2516891891891893</v>
      </c>
    </row>
    <row r="1550" spans="1:7" ht="13">
      <c r="A1550" s="4" t="s">
        <v>117</v>
      </c>
      <c r="B1550" s="1">
        <v>7.8</v>
      </c>
      <c r="C1550" s="1">
        <v>937</v>
      </c>
      <c r="D1550" s="1" t="s">
        <v>53</v>
      </c>
      <c r="E1550" s="1" t="s">
        <v>9</v>
      </c>
      <c r="F1550" s="1">
        <f t="shared" si="48"/>
        <v>780</v>
      </c>
      <c r="G1550" s="5">
        <f t="shared" si="49"/>
        <v>1.2012820512820512</v>
      </c>
    </row>
    <row r="1551" spans="1:7" ht="13">
      <c r="A1551" s="4" t="s">
        <v>117</v>
      </c>
      <c r="B1551" s="1">
        <v>8.6</v>
      </c>
      <c r="C1551" s="1">
        <v>1141</v>
      </c>
      <c r="D1551" s="1" t="s">
        <v>42</v>
      </c>
      <c r="E1551" s="1" t="s">
        <v>8</v>
      </c>
      <c r="F1551" s="1">
        <f t="shared" si="48"/>
        <v>860</v>
      </c>
      <c r="G1551" s="5">
        <f t="shared" si="49"/>
        <v>1.3267441860465117</v>
      </c>
    </row>
    <row r="1552" spans="1:7" ht="13">
      <c r="A1552" s="4" t="s">
        <v>117</v>
      </c>
      <c r="B1552" s="1">
        <v>6</v>
      </c>
      <c r="C1552" s="1">
        <v>1022</v>
      </c>
      <c r="D1552" s="1" t="s">
        <v>43</v>
      </c>
      <c r="E1552" s="1" t="s">
        <v>17</v>
      </c>
      <c r="F1552" s="1">
        <f t="shared" si="48"/>
        <v>600</v>
      </c>
      <c r="G1552" s="5">
        <f t="shared" si="49"/>
        <v>1.7033333333333334</v>
      </c>
    </row>
    <row r="1553" spans="1:7" ht="13">
      <c r="A1553" s="4" t="s">
        <v>117</v>
      </c>
      <c r="B1553" s="1">
        <v>5.6</v>
      </c>
      <c r="C1553" s="1">
        <v>733.49</v>
      </c>
      <c r="D1553" s="1" t="s">
        <v>11</v>
      </c>
      <c r="E1553" s="1" t="s">
        <v>8</v>
      </c>
      <c r="F1553" s="1">
        <f t="shared" si="48"/>
        <v>560</v>
      </c>
      <c r="G1553" s="5">
        <f t="shared" si="49"/>
        <v>1.3098035714285714</v>
      </c>
    </row>
    <row r="1554" spans="1:7" ht="13">
      <c r="A1554" s="4" t="s">
        <v>117</v>
      </c>
      <c r="B1554" s="1">
        <v>3.1</v>
      </c>
      <c r="C1554" s="1">
        <v>391</v>
      </c>
      <c r="D1554" s="1" t="s">
        <v>11</v>
      </c>
      <c r="E1554" s="1" t="s">
        <v>31</v>
      </c>
      <c r="F1554" s="1">
        <f t="shared" si="48"/>
        <v>310</v>
      </c>
      <c r="G1554" s="5">
        <f t="shared" si="49"/>
        <v>1.2612903225806451</v>
      </c>
    </row>
    <row r="1555" spans="1:7" ht="13">
      <c r="A1555" s="4" t="s">
        <v>117</v>
      </c>
      <c r="B1555" s="1">
        <v>4.8</v>
      </c>
      <c r="C1555" s="1">
        <v>537</v>
      </c>
      <c r="D1555" s="1" t="s">
        <v>33</v>
      </c>
      <c r="E1555" s="1" t="s">
        <v>15</v>
      </c>
      <c r="F1555" s="1">
        <f t="shared" si="48"/>
        <v>480</v>
      </c>
      <c r="G1555" s="5">
        <f t="shared" si="49"/>
        <v>1.1187499999999999</v>
      </c>
    </row>
    <row r="1556" spans="1:7" ht="13">
      <c r="A1556" s="4" t="s">
        <v>117</v>
      </c>
      <c r="B1556" s="1">
        <v>7.2</v>
      </c>
      <c r="C1556" s="1">
        <v>875</v>
      </c>
      <c r="D1556" s="1" t="s">
        <v>47</v>
      </c>
      <c r="E1556" s="1" t="s">
        <v>17</v>
      </c>
      <c r="F1556" s="1">
        <f t="shared" si="48"/>
        <v>720</v>
      </c>
      <c r="G1556" s="5">
        <f t="shared" si="49"/>
        <v>1.2152777777777777</v>
      </c>
    </row>
    <row r="1557" spans="1:7" ht="13">
      <c r="A1557" s="4" t="s">
        <v>117</v>
      </c>
      <c r="B1557" s="1">
        <v>7.75</v>
      </c>
      <c r="C1557" s="1">
        <v>905</v>
      </c>
      <c r="D1557" s="1" t="s">
        <v>11</v>
      </c>
      <c r="E1557" s="1" t="s">
        <v>16</v>
      </c>
      <c r="F1557" s="1">
        <f t="shared" si="48"/>
        <v>775</v>
      </c>
      <c r="G1557" s="5">
        <f t="shared" si="49"/>
        <v>1.167741935483871</v>
      </c>
    </row>
    <row r="1558" spans="1:7" ht="13">
      <c r="A1558" s="4" t="s">
        <v>117</v>
      </c>
      <c r="B1558" s="1">
        <v>7.4</v>
      </c>
      <c r="C1558" s="1">
        <v>895</v>
      </c>
      <c r="D1558" s="1" t="s">
        <v>11</v>
      </c>
      <c r="E1558" s="1" t="s">
        <v>21</v>
      </c>
      <c r="F1558" s="1">
        <f t="shared" si="48"/>
        <v>740</v>
      </c>
      <c r="G1558" s="5">
        <f t="shared" si="49"/>
        <v>1.2094594594594594</v>
      </c>
    </row>
    <row r="1559" spans="1:7" ht="13">
      <c r="A1559" s="4" t="s">
        <v>117</v>
      </c>
      <c r="B1559" s="1">
        <v>7.2</v>
      </c>
      <c r="C1559" s="1">
        <v>905</v>
      </c>
      <c r="D1559" s="1" t="s">
        <v>33</v>
      </c>
      <c r="E1559" s="1" t="s">
        <v>15</v>
      </c>
      <c r="F1559" s="1">
        <f t="shared" si="48"/>
        <v>720</v>
      </c>
      <c r="G1559" s="5">
        <f t="shared" si="49"/>
        <v>1.2569444444444444</v>
      </c>
    </row>
    <row r="1560" spans="1:7" ht="13">
      <c r="A1560" s="4" t="s">
        <v>117</v>
      </c>
      <c r="B1560" s="1">
        <v>7.8</v>
      </c>
      <c r="C1560" s="1">
        <v>888</v>
      </c>
      <c r="D1560" s="1" t="s">
        <v>58</v>
      </c>
      <c r="E1560" s="1" t="s">
        <v>10</v>
      </c>
      <c r="F1560" s="1">
        <f t="shared" si="48"/>
        <v>780</v>
      </c>
      <c r="G1560" s="5">
        <f t="shared" si="49"/>
        <v>1.1384615384615384</v>
      </c>
    </row>
    <row r="1561" spans="1:7" ht="13">
      <c r="A1561" s="4" t="s">
        <v>117</v>
      </c>
      <c r="B1561" s="1">
        <v>7.7</v>
      </c>
      <c r="C1561" s="1">
        <v>1007</v>
      </c>
      <c r="D1561" s="1" t="s">
        <v>58</v>
      </c>
      <c r="E1561" s="1" t="s">
        <v>14</v>
      </c>
      <c r="F1561" s="1">
        <f t="shared" si="48"/>
        <v>770</v>
      </c>
      <c r="G1561" s="5">
        <f t="shared" si="49"/>
        <v>1.3077922077922077</v>
      </c>
    </row>
    <row r="1562" spans="1:7" ht="13">
      <c r="A1562" s="4" t="s">
        <v>117</v>
      </c>
      <c r="B1562" s="1">
        <v>9.57</v>
      </c>
      <c r="C1562" s="1">
        <v>1080</v>
      </c>
      <c r="D1562" s="1" t="s">
        <v>11</v>
      </c>
      <c r="E1562" s="1" t="s">
        <v>14</v>
      </c>
      <c r="F1562" s="1">
        <f t="shared" si="48"/>
        <v>957</v>
      </c>
      <c r="G1562" s="5">
        <f t="shared" si="49"/>
        <v>1.128526645768025</v>
      </c>
    </row>
    <row r="1563" spans="1:7" ht="13">
      <c r="A1563" s="4" t="s">
        <v>117</v>
      </c>
      <c r="B1563" s="1">
        <v>10.3</v>
      </c>
      <c r="C1563" s="1">
        <v>1210</v>
      </c>
      <c r="D1563" s="1" t="s">
        <v>37</v>
      </c>
      <c r="E1563" s="1" t="s">
        <v>26</v>
      </c>
      <c r="F1563" s="1">
        <f t="shared" si="48"/>
        <v>1030</v>
      </c>
      <c r="G1563" s="5">
        <f t="shared" si="49"/>
        <v>1.174757281553398</v>
      </c>
    </row>
    <row r="1564" spans="1:7" ht="13">
      <c r="A1564" s="4" t="s">
        <v>117</v>
      </c>
      <c r="B1564" s="1">
        <v>5.1100000000000003</v>
      </c>
      <c r="C1564" s="1">
        <v>619</v>
      </c>
      <c r="D1564" s="1" t="s">
        <v>43</v>
      </c>
      <c r="E1564" s="1" t="s">
        <v>8</v>
      </c>
      <c r="F1564" s="1">
        <f t="shared" si="48"/>
        <v>511.00000000000006</v>
      </c>
      <c r="G1564" s="5">
        <f t="shared" si="49"/>
        <v>1.2113502935420741</v>
      </c>
    </row>
    <row r="1565" spans="1:7" ht="13">
      <c r="A1565" s="4" t="s">
        <v>117</v>
      </c>
      <c r="B1565" s="1">
        <v>7.3</v>
      </c>
      <c r="C1565" s="1">
        <v>930</v>
      </c>
      <c r="D1565" s="1" t="s">
        <v>11</v>
      </c>
      <c r="E1565" s="1" t="s">
        <v>16</v>
      </c>
      <c r="F1565" s="1">
        <f t="shared" si="48"/>
        <v>730</v>
      </c>
      <c r="G1565" s="5">
        <f t="shared" si="49"/>
        <v>1.273972602739726</v>
      </c>
    </row>
    <row r="1566" spans="1:7" ht="13">
      <c r="A1566" s="4" t="s">
        <v>117</v>
      </c>
      <c r="B1566" s="1">
        <v>6.09</v>
      </c>
      <c r="C1566" s="1">
        <v>654.4</v>
      </c>
      <c r="D1566" s="1" t="s">
        <v>42</v>
      </c>
      <c r="E1566" s="1" t="s">
        <v>15</v>
      </c>
      <c r="F1566" s="1">
        <f t="shared" si="48"/>
        <v>609</v>
      </c>
      <c r="G1566" s="5">
        <f t="shared" si="49"/>
        <v>1.0745484400656815</v>
      </c>
    </row>
    <row r="1567" spans="1:7" ht="13">
      <c r="A1567" s="4" t="s">
        <v>117</v>
      </c>
      <c r="B1567" s="1">
        <v>6</v>
      </c>
      <c r="C1567" s="1">
        <v>765</v>
      </c>
      <c r="D1567" s="1" t="s">
        <v>11</v>
      </c>
      <c r="E1567" s="1" t="s">
        <v>19</v>
      </c>
      <c r="F1567" s="1">
        <f t="shared" si="48"/>
        <v>600</v>
      </c>
      <c r="G1567" s="5">
        <f t="shared" si="49"/>
        <v>1.2749999999999999</v>
      </c>
    </row>
    <row r="1568" spans="1:7" ht="13">
      <c r="A1568" s="4" t="s">
        <v>117</v>
      </c>
      <c r="B1568" s="1">
        <v>8.6</v>
      </c>
      <c r="C1568" s="1">
        <v>963</v>
      </c>
      <c r="D1568" s="1" t="s">
        <v>33</v>
      </c>
      <c r="E1568" s="1" t="s">
        <v>15</v>
      </c>
      <c r="F1568" s="1">
        <f t="shared" ref="F1568:F1631" si="50">B1568*100</f>
        <v>860</v>
      </c>
      <c r="G1568" s="5">
        <f t="shared" si="49"/>
        <v>1.1197674418604651</v>
      </c>
    </row>
    <row r="1569" spans="1:7" ht="13">
      <c r="A1569" s="4" t="s">
        <v>117</v>
      </c>
      <c r="B1569" s="1">
        <v>4.8</v>
      </c>
      <c r="C1569" s="1">
        <v>610</v>
      </c>
      <c r="D1569" s="1" t="s">
        <v>38</v>
      </c>
      <c r="E1569" s="1" t="s">
        <v>21</v>
      </c>
      <c r="F1569" s="1">
        <f t="shared" si="50"/>
        <v>480</v>
      </c>
      <c r="G1569" s="5">
        <f t="shared" si="49"/>
        <v>1.2708333333333333</v>
      </c>
    </row>
    <row r="1570" spans="1:7" ht="13">
      <c r="A1570" s="4" t="s">
        <v>117</v>
      </c>
      <c r="B1570" s="1">
        <v>8700</v>
      </c>
      <c r="C1570" s="1">
        <v>1124.2</v>
      </c>
      <c r="D1570" s="1" t="s">
        <v>11</v>
      </c>
      <c r="E1570" s="1" t="s">
        <v>7</v>
      </c>
      <c r="F1570" s="1">
        <f t="shared" si="50"/>
        <v>870000</v>
      </c>
      <c r="G1570" s="5">
        <f t="shared" si="49"/>
        <v>1.2921839080459771E-3</v>
      </c>
    </row>
    <row r="1571" spans="1:7" ht="13">
      <c r="A1571" s="4" t="s">
        <v>117</v>
      </c>
      <c r="B1571" s="1">
        <v>3.48</v>
      </c>
      <c r="C1571" s="1">
        <v>441</v>
      </c>
      <c r="D1571" s="1" t="s">
        <v>11</v>
      </c>
      <c r="E1571" s="1" t="s">
        <v>7</v>
      </c>
      <c r="F1571" s="1">
        <f t="shared" si="50"/>
        <v>348</v>
      </c>
      <c r="G1571" s="5">
        <f t="shared" si="49"/>
        <v>1.2672413793103448</v>
      </c>
    </row>
    <row r="1572" spans="1:7" ht="13">
      <c r="A1572" s="4" t="s">
        <v>117</v>
      </c>
      <c r="B1572" s="1">
        <v>6.4</v>
      </c>
      <c r="C1572" s="1">
        <v>789</v>
      </c>
      <c r="D1572" s="1" t="s">
        <v>38</v>
      </c>
      <c r="E1572" s="1" t="s">
        <v>9</v>
      </c>
      <c r="F1572" s="1">
        <f t="shared" si="50"/>
        <v>640</v>
      </c>
      <c r="G1572" s="5">
        <f t="shared" si="49"/>
        <v>1.2328125000000001</v>
      </c>
    </row>
    <row r="1573" spans="1:7" ht="13">
      <c r="A1573" s="4" t="s">
        <v>117</v>
      </c>
      <c r="B1573" s="1">
        <v>6.96</v>
      </c>
      <c r="C1573" s="1">
        <v>812</v>
      </c>
      <c r="D1573" s="1" t="s">
        <v>42</v>
      </c>
      <c r="E1573" s="1" t="s">
        <v>12</v>
      </c>
      <c r="F1573" s="1">
        <f t="shared" si="50"/>
        <v>696</v>
      </c>
      <c r="G1573" s="5">
        <f t="shared" si="49"/>
        <v>1.1666666666666667</v>
      </c>
    </row>
    <row r="1574" spans="1:7" ht="13">
      <c r="A1574" s="4" t="s">
        <v>117</v>
      </c>
      <c r="B1574" s="1">
        <v>3</v>
      </c>
      <c r="C1574" s="1">
        <v>388</v>
      </c>
      <c r="D1574" s="1" t="s">
        <v>11</v>
      </c>
      <c r="E1574" s="1" t="s">
        <v>26</v>
      </c>
      <c r="F1574" s="1">
        <f t="shared" si="50"/>
        <v>300</v>
      </c>
      <c r="G1574" s="5">
        <f t="shared" si="49"/>
        <v>1.2933333333333332</v>
      </c>
    </row>
    <row r="1575" spans="1:7" ht="13">
      <c r="A1575" s="4" t="s">
        <v>117</v>
      </c>
      <c r="B1575" s="1">
        <v>9.1999999999999993</v>
      </c>
      <c r="C1575" s="1">
        <v>1122</v>
      </c>
      <c r="D1575" s="1" t="s">
        <v>33</v>
      </c>
      <c r="E1575" s="1" t="s">
        <v>20</v>
      </c>
      <c r="F1575" s="1">
        <f t="shared" si="50"/>
        <v>919.99999999999989</v>
      </c>
      <c r="G1575" s="5">
        <f t="shared" si="49"/>
        <v>1.2195652173913045</v>
      </c>
    </row>
    <row r="1576" spans="1:7" ht="13">
      <c r="A1576" s="4" t="s">
        <v>117</v>
      </c>
      <c r="B1576" s="1">
        <v>7.74</v>
      </c>
      <c r="C1576" s="1">
        <v>950</v>
      </c>
      <c r="D1576" s="1" t="s">
        <v>33</v>
      </c>
      <c r="E1576" s="1" t="s">
        <v>16</v>
      </c>
      <c r="F1576" s="1">
        <f t="shared" si="50"/>
        <v>774</v>
      </c>
      <c r="G1576" s="5">
        <f t="shared" si="49"/>
        <v>1.227390180878553</v>
      </c>
    </row>
    <row r="1577" spans="1:7" ht="13">
      <c r="A1577" s="4" t="s">
        <v>117</v>
      </c>
      <c r="B1577" s="1">
        <v>5.4</v>
      </c>
      <c r="C1577" s="1">
        <v>741</v>
      </c>
      <c r="D1577" s="1" t="s">
        <v>38</v>
      </c>
      <c r="E1577" s="1" t="s">
        <v>8</v>
      </c>
      <c r="F1577" s="1">
        <f t="shared" si="50"/>
        <v>540</v>
      </c>
      <c r="G1577" s="5">
        <f t="shared" si="49"/>
        <v>1.3722222222222222</v>
      </c>
    </row>
    <row r="1578" spans="1:7" ht="13">
      <c r="A1578" s="4" t="s">
        <v>117</v>
      </c>
      <c r="B1578" s="1">
        <v>6.4</v>
      </c>
      <c r="C1578" s="1">
        <v>872</v>
      </c>
      <c r="D1578" s="1" t="s">
        <v>11</v>
      </c>
      <c r="E1578" s="1" t="s">
        <v>32</v>
      </c>
      <c r="F1578" s="1">
        <f t="shared" si="50"/>
        <v>640</v>
      </c>
      <c r="G1578" s="5">
        <f t="shared" si="49"/>
        <v>1.3625</v>
      </c>
    </row>
    <row r="1579" spans="1:7" ht="13">
      <c r="A1579" s="4" t="s">
        <v>117</v>
      </c>
      <c r="B1579" s="1">
        <v>7.8</v>
      </c>
      <c r="C1579" s="1">
        <v>1002</v>
      </c>
      <c r="D1579" s="1" t="s">
        <v>11</v>
      </c>
      <c r="E1579" s="1" t="s">
        <v>17</v>
      </c>
      <c r="F1579" s="1">
        <f t="shared" si="50"/>
        <v>780</v>
      </c>
      <c r="G1579" s="5">
        <f t="shared" si="49"/>
        <v>1.2846153846153847</v>
      </c>
    </row>
    <row r="1580" spans="1:7" ht="13">
      <c r="A1580" s="4" t="s">
        <v>117</v>
      </c>
      <c r="B1580" s="1">
        <v>7.74</v>
      </c>
      <c r="C1580" s="1">
        <v>1001</v>
      </c>
      <c r="D1580" s="1" t="s">
        <v>11</v>
      </c>
      <c r="E1580" s="1" t="s">
        <v>17</v>
      </c>
      <c r="F1580" s="1">
        <f t="shared" si="50"/>
        <v>774</v>
      </c>
      <c r="G1580" s="5">
        <f t="shared" si="49"/>
        <v>1.29328165374677</v>
      </c>
    </row>
    <row r="1581" spans="1:7" ht="13">
      <c r="A1581" s="4" t="s">
        <v>117</v>
      </c>
      <c r="B1581" s="1">
        <v>8</v>
      </c>
      <c r="C1581" s="1">
        <v>741</v>
      </c>
      <c r="D1581" s="1" t="s">
        <v>11</v>
      </c>
      <c r="E1581" s="1" t="s">
        <v>22</v>
      </c>
      <c r="F1581" s="1">
        <f t="shared" si="50"/>
        <v>800</v>
      </c>
      <c r="G1581" s="5">
        <f t="shared" si="49"/>
        <v>0.92625000000000002</v>
      </c>
    </row>
    <row r="1582" spans="1:7" ht="13">
      <c r="A1582" s="4" t="s">
        <v>117</v>
      </c>
      <c r="B1582" s="1">
        <v>8</v>
      </c>
      <c r="C1582" s="1">
        <v>906</v>
      </c>
      <c r="D1582" s="1" t="s">
        <v>98</v>
      </c>
      <c r="E1582" s="1" t="s">
        <v>15</v>
      </c>
      <c r="F1582" s="1">
        <f t="shared" si="50"/>
        <v>800</v>
      </c>
      <c r="G1582" s="5">
        <f t="shared" si="49"/>
        <v>1.1325000000000001</v>
      </c>
    </row>
    <row r="1583" spans="1:7" ht="13">
      <c r="A1583" s="4" t="s">
        <v>117</v>
      </c>
      <c r="B1583" s="1">
        <v>6.96</v>
      </c>
      <c r="C1583" s="1">
        <v>824</v>
      </c>
      <c r="D1583" s="1" t="s">
        <v>33</v>
      </c>
      <c r="E1583" s="1" t="s">
        <v>12</v>
      </c>
      <c r="F1583" s="1">
        <f t="shared" si="50"/>
        <v>696</v>
      </c>
      <c r="G1583" s="5">
        <f t="shared" si="49"/>
        <v>1.1839080459770115</v>
      </c>
    </row>
    <row r="1584" spans="1:7" ht="13">
      <c r="A1584" s="4" t="s">
        <v>117</v>
      </c>
      <c r="B1584" s="1">
        <v>6.8</v>
      </c>
      <c r="C1584" s="1">
        <v>822</v>
      </c>
      <c r="D1584" s="1" t="s">
        <v>11</v>
      </c>
      <c r="E1584" s="1" t="s">
        <v>26</v>
      </c>
      <c r="F1584" s="1">
        <f t="shared" si="50"/>
        <v>680</v>
      </c>
      <c r="G1584" s="5">
        <f t="shared" si="49"/>
        <v>1.2088235294117646</v>
      </c>
    </row>
    <row r="1585" spans="1:7" ht="13">
      <c r="A1585" s="4" t="s">
        <v>117</v>
      </c>
      <c r="B1585" s="1">
        <v>6.5</v>
      </c>
      <c r="C1585" s="1">
        <v>855</v>
      </c>
      <c r="D1585" s="1" t="s">
        <v>11</v>
      </c>
      <c r="E1585" s="1" t="s">
        <v>7</v>
      </c>
      <c r="F1585" s="1">
        <f t="shared" si="50"/>
        <v>650</v>
      </c>
      <c r="G1585" s="5">
        <f t="shared" si="49"/>
        <v>1.3153846153846154</v>
      </c>
    </row>
    <row r="1586" spans="1:7" ht="13">
      <c r="A1586" s="4" t="s">
        <v>117</v>
      </c>
      <c r="B1586" s="1">
        <v>4.8600000000000003</v>
      </c>
      <c r="C1586" s="1">
        <v>596</v>
      </c>
      <c r="D1586" s="1" t="s">
        <v>38</v>
      </c>
      <c r="E1586" s="1" t="s">
        <v>15</v>
      </c>
      <c r="F1586" s="1">
        <f t="shared" si="50"/>
        <v>486.00000000000006</v>
      </c>
      <c r="G1586" s="5">
        <f t="shared" si="49"/>
        <v>1.2263374485596705</v>
      </c>
    </row>
    <row r="1587" spans="1:7" ht="13">
      <c r="A1587" s="4" t="s">
        <v>117</v>
      </c>
      <c r="B1587" s="1">
        <v>4.1500000000000004</v>
      </c>
      <c r="C1587" s="1">
        <v>567</v>
      </c>
      <c r="D1587" s="1" t="s">
        <v>38</v>
      </c>
      <c r="E1587" s="1" t="s">
        <v>8</v>
      </c>
      <c r="F1587" s="1">
        <f t="shared" si="50"/>
        <v>415.00000000000006</v>
      </c>
      <c r="G1587" s="5">
        <f t="shared" si="49"/>
        <v>1.3662650602409636</v>
      </c>
    </row>
    <row r="1588" spans="1:7" ht="13">
      <c r="A1588" s="4" t="s">
        <v>117</v>
      </c>
      <c r="B1588" s="1">
        <v>8.1</v>
      </c>
      <c r="C1588" s="1">
        <v>971</v>
      </c>
      <c r="D1588" s="1" t="s">
        <v>35</v>
      </c>
      <c r="E1588" s="1" t="s">
        <v>7</v>
      </c>
      <c r="F1588" s="1">
        <f t="shared" si="50"/>
        <v>810</v>
      </c>
      <c r="G1588" s="5">
        <f t="shared" si="49"/>
        <v>1.1987654320987655</v>
      </c>
    </row>
    <row r="1589" spans="1:7" ht="13">
      <c r="A1589" s="4" t="s">
        <v>117</v>
      </c>
      <c r="B1589" s="1">
        <v>7.4</v>
      </c>
      <c r="C1589" s="1">
        <v>984</v>
      </c>
      <c r="D1589" s="1" t="s">
        <v>33</v>
      </c>
      <c r="E1589" s="1" t="s">
        <v>23</v>
      </c>
      <c r="F1589" s="1">
        <f t="shared" si="50"/>
        <v>740</v>
      </c>
      <c r="G1589" s="5">
        <f t="shared" si="49"/>
        <v>1.3297297297297297</v>
      </c>
    </row>
    <row r="1590" spans="1:7" ht="13">
      <c r="A1590" s="4" t="s">
        <v>117</v>
      </c>
      <c r="B1590" s="1">
        <v>4.0999999999999996</v>
      </c>
      <c r="C1590" s="1">
        <v>525</v>
      </c>
      <c r="D1590" s="1" t="s">
        <v>38</v>
      </c>
      <c r="E1590" s="1" t="s">
        <v>16</v>
      </c>
      <c r="F1590" s="1">
        <f t="shared" si="50"/>
        <v>409.99999999999994</v>
      </c>
      <c r="G1590" s="5">
        <f t="shared" si="49"/>
        <v>1.280487804878049</v>
      </c>
    </row>
    <row r="1591" spans="1:7" ht="13">
      <c r="A1591" s="4" t="s">
        <v>117</v>
      </c>
      <c r="B1591" s="1">
        <v>5.8</v>
      </c>
      <c r="C1591" s="1">
        <v>603</v>
      </c>
      <c r="D1591" s="1" t="s">
        <v>11</v>
      </c>
      <c r="E1591" s="1" t="s">
        <v>16</v>
      </c>
      <c r="F1591" s="1">
        <f t="shared" si="50"/>
        <v>580</v>
      </c>
      <c r="G1591" s="5">
        <f t="shared" si="49"/>
        <v>1.039655172413793</v>
      </c>
    </row>
    <row r="1592" spans="1:7" ht="13">
      <c r="A1592" s="4" t="s">
        <v>117</v>
      </c>
      <c r="B1592" s="1">
        <v>6.9</v>
      </c>
      <c r="C1592" s="1">
        <v>774</v>
      </c>
      <c r="D1592" s="1" t="s">
        <v>11</v>
      </c>
      <c r="E1592" s="1" t="s">
        <v>68</v>
      </c>
      <c r="F1592" s="1">
        <f t="shared" si="50"/>
        <v>690</v>
      </c>
      <c r="G1592" s="5">
        <f t="shared" si="49"/>
        <v>1.1217391304347826</v>
      </c>
    </row>
    <row r="1593" spans="1:7" ht="13">
      <c r="A1593" s="4" t="s">
        <v>117</v>
      </c>
      <c r="B1593" s="1">
        <v>5.6</v>
      </c>
      <c r="C1593" s="1">
        <v>595</v>
      </c>
      <c r="D1593" s="1" t="s">
        <v>33</v>
      </c>
      <c r="E1593" s="1" t="s">
        <v>7</v>
      </c>
      <c r="F1593" s="1">
        <f t="shared" si="50"/>
        <v>560</v>
      </c>
      <c r="G1593" s="5">
        <f t="shared" si="49"/>
        <v>1.0625</v>
      </c>
    </row>
    <row r="1594" spans="1:7" ht="13">
      <c r="A1594" s="4" t="s">
        <v>117</v>
      </c>
      <c r="B1594" s="1">
        <v>7.56</v>
      </c>
      <c r="C1594" s="1">
        <v>876</v>
      </c>
      <c r="D1594" s="1" t="s">
        <v>53</v>
      </c>
      <c r="E1594" s="1" t="s">
        <v>31</v>
      </c>
      <c r="F1594" s="1">
        <f t="shared" si="50"/>
        <v>756</v>
      </c>
      <c r="G1594" s="5">
        <f t="shared" si="49"/>
        <v>1.1587301587301588</v>
      </c>
    </row>
    <row r="1595" spans="1:7" ht="13">
      <c r="A1595" s="4" t="s">
        <v>117</v>
      </c>
      <c r="B1595" s="1">
        <v>7.74</v>
      </c>
      <c r="C1595" s="1">
        <v>832</v>
      </c>
      <c r="D1595" s="1" t="s">
        <v>33</v>
      </c>
      <c r="E1595" s="1" t="s">
        <v>26</v>
      </c>
      <c r="F1595" s="1">
        <f t="shared" si="50"/>
        <v>774</v>
      </c>
      <c r="G1595" s="5">
        <f t="shared" si="49"/>
        <v>1.0749354005167959</v>
      </c>
    </row>
    <row r="1596" spans="1:7" ht="13">
      <c r="A1596" s="4" t="s">
        <v>117</v>
      </c>
      <c r="B1596" s="1">
        <v>6.4</v>
      </c>
      <c r="C1596" s="1">
        <v>785</v>
      </c>
      <c r="D1596" s="1" t="s">
        <v>11</v>
      </c>
      <c r="E1596" s="1" t="s">
        <v>26</v>
      </c>
      <c r="F1596" s="1">
        <f t="shared" si="50"/>
        <v>640</v>
      </c>
      <c r="G1596" s="5">
        <f t="shared" si="49"/>
        <v>1.2265625</v>
      </c>
    </row>
    <row r="1597" spans="1:7" ht="13">
      <c r="A1597" s="4" t="s">
        <v>117</v>
      </c>
      <c r="B1597" s="1">
        <v>6.4</v>
      </c>
      <c r="C1597" s="1">
        <v>640</v>
      </c>
      <c r="D1597" s="1" t="s">
        <v>35</v>
      </c>
      <c r="E1597" s="1" t="s">
        <v>18</v>
      </c>
      <c r="F1597" s="1">
        <f t="shared" si="50"/>
        <v>640</v>
      </c>
      <c r="G1597" s="5">
        <f t="shared" si="49"/>
        <v>1</v>
      </c>
    </row>
    <row r="1598" spans="1:7" ht="13">
      <c r="A1598" s="4" t="s">
        <v>117</v>
      </c>
      <c r="B1598" s="1">
        <v>7.8</v>
      </c>
      <c r="C1598" s="1">
        <v>840</v>
      </c>
      <c r="D1598" s="1" t="s">
        <v>11</v>
      </c>
      <c r="E1598" s="1" t="s">
        <v>17</v>
      </c>
      <c r="F1598" s="1">
        <f t="shared" si="50"/>
        <v>780</v>
      </c>
      <c r="G1598" s="5">
        <f t="shared" si="49"/>
        <v>1.0769230769230769</v>
      </c>
    </row>
    <row r="1599" spans="1:7" ht="13">
      <c r="A1599" s="4" t="s">
        <v>117</v>
      </c>
      <c r="B1599" s="1">
        <v>7.56</v>
      </c>
      <c r="C1599" s="1">
        <v>853</v>
      </c>
      <c r="D1599" s="1" t="s">
        <v>11</v>
      </c>
      <c r="E1599" s="1" t="s">
        <v>21</v>
      </c>
      <c r="F1599" s="1">
        <f t="shared" si="50"/>
        <v>756</v>
      </c>
      <c r="G1599" s="5">
        <f t="shared" si="49"/>
        <v>1.1283068783068784</v>
      </c>
    </row>
    <row r="1600" spans="1:7" ht="13">
      <c r="A1600" s="4" t="s">
        <v>117</v>
      </c>
      <c r="B1600" s="1">
        <v>7.7</v>
      </c>
      <c r="C1600" s="1">
        <v>936</v>
      </c>
      <c r="D1600" s="1" t="s">
        <v>11</v>
      </c>
      <c r="E1600" s="1" t="s">
        <v>49</v>
      </c>
      <c r="F1600" s="1">
        <f t="shared" si="50"/>
        <v>770</v>
      </c>
      <c r="G1600" s="5">
        <f t="shared" si="49"/>
        <v>1.2155844155844155</v>
      </c>
    </row>
    <row r="1601" spans="1:7" ht="13">
      <c r="A1601" s="4" t="s">
        <v>117</v>
      </c>
      <c r="B1601" s="1">
        <v>4</v>
      </c>
      <c r="C1601" s="1">
        <v>478</v>
      </c>
      <c r="D1601" s="1" t="s">
        <v>43</v>
      </c>
      <c r="E1601" s="1" t="s">
        <v>15</v>
      </c>
      <c r="F1601" s="1">
        <f t="shared" si="50"/>
        <v>400</v>
      </c>
      <c r="G1601" s="5">
        <f t="shared" si="49"/>
        <v>1.1950000000000001</v>
      </c>
    </row>
    <row r="1602" spans="1:7" ht="13">
      <c r="A1602" s="4" t="s">
        <v>117</v>
      </c>
      <c r="B1602" s="1">
        <v>5.4</v>
      </c>
      <c r="C1602" s="1">
        <v>714</v>
      </c>
      <c r="D1602" s="1" t="s">
        <v>33</v>
      </c>
      <c r="E1602" s="1" t="s">
        <v>25</v>
      </c>
      <c r="F1602" s="1">
        <f t="shared" si="50"/>
        <v>540</v>
      </c>
      <c r="G1602" s="5">
        <f t="shared" ref="G1602:G1665" si="51">C1602/F1602</f>
        <v>1.3222222222222222</v>
      </c>
    </row>
    <row r="1603" spans="1:7" ht="13">
      <c r="A1603" s="4" t="s">
        <v>117</v>
      </c>
      <c r="B1603" s="1">
        <v>6</v>
      </c>
      <c r="C1603" s="1">
        <v>666.07</v>
      </c>
      <c r="D1603" s="1" t="s">
        <v>33</v>
      </c>
      <c r="E1603" s="1" t="s">
        <v>15</v>
      </c>
      <c r="F1603" s="1">
        <f t="shared" si="50"/>
        <v>600</v>
      </c>
      <c r="G1603" s="5">
        <f t="shared" si="51"/>
        <v>1.1101166666666666</v>
      </c>
    </row>
    <row r="1604" spans="1:7" ht="13">
      <c r="A1604" s="4" t="s">
        <v>117</v>
      </c>
      <c r="B1604" s="1">
        <v>12.04</v>
      </c>
      <c r="C1604" s="1">
        <v>1450</v>
      </c>
      <c r="D1604" s="1" t="s">
        <v>11</v>
      </c>
      <c r="E1604" s="1" t="s">
        <v>8</v>
      </c>
      <c r="F1604" s="1">
        <f t="shared" si="50"/>
        <v>1204</v>
      </c>
      <c r="G1604" s="5">
        <f t="shared" si="51"/>
        <v>1.2043189368770764</v>
      </c>
    </row>
    <row r="1605" spans="1:7" ht="13">
      <c r="A1605" s="4" t="s">
        <v>117</v>
      </c>
      <c r="B1605" s="1">
        <v>20</v>
      </c>
      <c r="C1605" s="1">
        <v>900</v>
      </c>
      <c r="D1605" s="1" t="s">
        <v>11</v>
      </c>
      <c r="E1605" s="1" t="s">
        <v>7</v>
      </c>
      <c r="F1605" s="1">
        <f t="shared" si="50"/>
        <v>2000</v>
      </c>
      <c r="G1605" s="5">
        <f t="shared" si="51"/>
        <v>0.45</v>
      </c>
    </row>
    <row r="1606" spans="1:7" ht="13">
      <c r="A1606" s="4" t="s">
        <v>117</v>
      </c>
      <c r="B1606" s="1">
        <v>9</v>
      </c>
      <c r="C1606" s="1">
        <v>1209</v>
      </c>
      <c r="D1606" s="1" t="s">
        <v>11</v>
      </c>
      <c r="E1606" s="1" t="s">
        <v>12</v>
      </c>
      <c r="F1606" s="1">
        <f t="shared" si="50"/>
        <v>900</v>
      </c>
      <c r="G1606" s="5">
        <f t="shared" si="51"/>
        <v>1.3433333333333333</v>
      </c>
    </row>
    <row r="1607" spans="1:7" ht="13">
      <c r="A1607" s="4" t="s">
        <v>117</v>
      </c>
      <c r="B1607" s="1">
        <v>6.4</v>
      </c>
      <c r="C1607" s="1">
        <v>835</v>
      </c>
      <c r="D1607" s="1" t="s">
        <v>45</v>
      </c>
      <c r="E1607" s="1" t="s">
        <v>8</v>
      </c>
      <c r="F1607" s="1">
        <f t="shared" si="50"/>
        <v>640</v>
      </c>
      <c r="G1607" s="5">
        <f t="shared" si="51"/>
        <v>1.3046875</v>
      </c>
    </row>
    <row r="1608" spans="1:7" ht="13">
      <c r="A1608" s="4" t="s">
        <v>117</v>
      </c>
      <c r="B1608" s="1">
        <v>6.24</v>
      </c>
      <c r="C1608" s="1">
        <v>980.8</v>
      </c>
      <c r="D1608" s="1" t="s">
        <v>11</v>
      </c>
      <c r="E1608" s="1" t="s">
        <v>17</v>
      </c>
      <c r="F1608" s="1">
        <f t="shared" si="50"/>
        <v>624</v>
      </c>
      <c r="G1608" s="5">
        <f t="shared" si="51"/>
        <v>1.5717948717948718</v>
      </c>
    </row>
    <row r="1609" spans="1:7" ht="13">
      <c r="A1609" s="4" t="s">
        <v>117</v>
      </c>
      <c r="B1609" s="1">
        <v>5.74</v>
      </c>
      <c r="C1609" s="1">
        <v>628</v>
      </c>
      <c r="D1609" s="1" t="s">
        <v>11</v>
      </c>
      <c r="E1609" s="1" t="s">
        <v>15</v>
      </c>
      <c r="F1609" s="1">
        <f t="shared" si="50"/>
        <v>574</v>
      </c>
      <c r="G1609" s="5">
        <f t="shared" si="51"/>
        <v>1.0940766550522647</v>
      </c>
    </row>
    <row r="1610" spans="1:7" ht="13">
      <c r="A1610" s="4" t="s">
        <v>117</v>
      </c>
      <c r="B1610" s="1">
        <v>4</v>
      </c>
      <c r="C1610" s="1">
        <v>479</v>
      </c>
      <c r="D1610" s="1" t="s">
        <v>11</v>
      </c>
      <c r="E1610" s="1" t="s">
        <v>8</v>
      </c>
      <c r="F1610" s="1">
        <f t="shared" si="50"/>
        <v>400</v>
      </c>
      <c r="G1610" s="5">
        <f t="shared" si="51"/>
        <v>1.1975</v>
      </c>
    </row>
    <row r="1611" spans="1:7" ht="13">
      <c r="A1611" s="4" t="s">
        <v>117</v>
      </c>
      <c r="B1611" s="1">
        <v>6.72</v>
      </c>
      <c r="C1611" s="1">
        <v>814</v>
      </c>
      <c r="D1611" s="1" t="s">
        <v>33</v>
      </c>
      <c r="E1611" s="1" t="s">
        <v>27</v>
      </c>
      <c r="F1611" s="1">
        <f t="shared" si="50"/>
        <v>672</v>
      </c>
      <c r="G1611" s="5">
        <f t="shared" si="51"/>
        <v>1.2113095238095237</v>
      </c>
    </row>
    <row r="1612" spans="1:7" ht="13">
      <c r="A1612" s="4" t="s">
        <v>117</v>
      </c>
      <c r="B1612" s="1">
        <v>5.39</v>
      </c>
      <c r="C1612" s="1">
        <v>843</v>
      </c>
      <c r="D1612" s="1" t="s">
        <v>11</v>
      </c>
      <c r="E1612" s="1" t="s">
        <v>26</v>
      </c>
      <c r="F1612" s="1">
        <f t="shared" si="50"/>
        <v>539</v>
      </c>
      <c r="G1612" s="5">
        <f t="shared" si="51"/>
        <v>1.5640074211502784</v>
      </c>
    </row>
    <row r="1613" spans="1:7" ht="13">
      <c r="A1613" s="4" t="s">
        <v>117</v>
      </c>
      <c r="B1613" s="1">
        <v>7.74</v>
      </c>
      <c r="C1613" s="1">
        <v>958</v>
      </c>
      <c r="D1613" s="1" t="s">
        <v>33</v>
      </c>
      <c r="E1613" s="1" t="s">
        <v>16</v>
      </c>
      <c r="F1613" s="1">
        <f t="shared" si="50"/>
        <v>774</v>
      </c>
      <c r="G1613" s="5">
        <f t="shared" si="51"/>
        <v>1.2377260981912144</v>
      </c>
    </row>
    <row r="1614" spans="1:7" ht="13">
      <c r="A1614" s="4" t="s">
        <v>117</v>
      </c>
      <c r="B1614" s="1">
        <v>8.6</v>
      </c>
      <c r="C1614" s="1">
        <v>966</v>
      </c>
      <c r="D1614" s="1" t="s">
        <v>40</v>
      </c>
      <c r="E1614" s="1" t="s">
        <v>68</v>
      </c>
      <c r="F1614" s="1">
        <f t="shared" si="50"/>
        <v>860</v>
      </c>
      <c r="G1614" s="5">
        <f t="shared" si="51"/>
        <v>1.1232558139534883</v>
      </c>
    </row>
    <row r="1615" spans="1:7" ht="13">
      <c r="A1615" s="4" t="s">
        <v>117</v>
      </c>
      <c r="B1615" s="1">
        <v>6</v>
      </c>
      <c r="C1615" s="1">
        <v>754</v>
      </c>
      <c r="D1615" s="1" t="s">
        <v>11</v>
      </c>
      <c r="E1615" s="1" t="s">
        <v>12</v>
      </c>
      <c r="F1615" s="1">
        <f t="shared" si="50"/>
        <v>600</v>
      </c>
      <c r="G1615" s="5">
        <f t="shared" si="51"/>
        <v>1.2566666666666666</v>
      </c>
    </row>
    <row r="1616" spans="1:7" ht="13">
      <c r="A1616" s="4" t="s">
        <v>117</v>
      </c>
      <c r="B1616" s="1">
        <v>7.74</v>
      </c>
      <c r="C1616" s="1">
        <v>884</v>
      </c>
      <c r="D1616" s="1" t="s">
        <v>37</v>
      </c>
      <c r="E1616" s="1" t="s">
        <v>16</v>
      </c>
      <c r="F1616" s="1">
        <f t="shared" si="50"/>
        <v>774</v>
      </c>
      <c r="G1616" s="5">
        <f t="shared" si="51"/>
        <v>1.1421188630490957</v>
      </c>
    </row>
    <row r="1617" spans="1:7" ht="13">
      <c r="A1617" s="4" t="s">
        <v>117</v>
      </c>
      <c r="B1617" s="1">
        <v>8.8000000000000007</v>
      </c>
      <c r="C1617" s="1">
        <v>874</v>
      </c>
      <c r="D1617" s="1" t="s">
        <v>47</v>
      </c>
      <c r="E1617" s="1" t="s">
        <v>30</v>
      </c>
      <c r="F1617" s="1">
        <f t="shared" si="50"/>
        <v>880.00000000000011</v>
      </c>
      <c r="G1617" s="5">
        <f t="shared" si="51"/>
        <v>0.99318181818181805</v>
      </c>
    </row>
    <row r="1618" spans="1:7" ht="13">
      <c r="A1618" s="4" t="s">
        <v>117</v>
      </c>
      <c r="B1618" s="1">
        <v>6.5</v>
      </c>
      <c r="C1618" s="1">
        <v>747</v>
      </c>
      <c r="D1618" s="1" t="s">
        <v>39</v>
      </c>
      <c r="E1618" s="1" t="s">
        <v>30</v>
      </c>
      <c r="F1618" s="1">
        <f t="shared" si="50"/>
        <v>650</v>
      </c>
      <c r="G1618" s="5">
        <f t="shared" si="51"/>
        <v>1.1492307692307693</v>
      </c>
    </row>
    <row r="1619" spans="1:7" ht="13">
      <c r="A1619" s="4" t="s">
        <v>117</v>
      </c>
      <c r="B1619" s="1">
        <v>6.04</v>
      </c>
      <c r="C1619" s="1">
        <v>862</v>
      </c>
      <c r="D1619" s="1" t="s">
        <v>99</v>
      </c>
      <c r="E1619" s="1" t="s">
        <v>8</v>
      </c>
      <c r="F1619" s="1">
        <f t="shared" si="50"/>
        <v>604</v>
      </c>
      <c r="G1619" s="5">
        <f t="shared" si="51"/>
        <v>1.4271523178807948</v>
      </c>
    </row>
    <row r="1620" spans="1:7" ht="13">
      <c r="A1620" s="4" t="s">
        <v>117</v>
      </c>
      <c r="B1620" s="1">
        <v>4.3</v>
      </c>
      <c r="C1620" s="1">
        <v>538</v>
      </c>
      <c r="D1620" s="1" t="s">
        <v>39</v>
      </c>
      <c r="E1620" s="1" t="s">
        <v>16</v>
      </c>
      <c r="F1620" s="1">
        <f t="shared" si="50"/>
        <v>430</v>
      </c>
      <c r="G1620" s="5">
        <f t="shared" si="51"/>
        <v>1.2511627906976743</v>
      </c>
    </row>
    <row r="1621" spans="1:7" ht="13">
      <c r="A1621" s="4" t="s">
        <v>117</v>
      </c>
      <c r="B1621" s="1">
        <v>5</v>
      </c>
      <c r="C1621" s="1">
        <v>656</v>
      </c>
      <c r="D1621" s="1" t="s">
        <v>34</v>
      </c>
      <c r="E1621" s="1" t="s">
        <v>30</v>
      </c>
      <c r="F1621" s="1">
        <f t="shared" si="50"/>
        <v>500</v>
      </c>
      <c r="G1621" s="5">
        <f t="shared" si="51"/>
        <v>1.3120000000000001</v>
      </c>
    </row>
    <row r="1622" spans="1:7" ht="13">
      <c r="A1622" s="4" t="s">
        <v>117</v>
      </c>
      <c r="B1622" s="1">
        <v>10.3</v>
      </c>
      <c r="C1622" s="1">
        <v>1230</v>
      </c>
      <c r="D1622" s="1" t="s">
        <v>40</v>
      </c>
      <c r="E1622" s="1" t="s">
        <v>17</v>
      </c>
      <c r="F1622" s="1">
        <f t="shared" si="50"/>
        <v>1030</v>
      </c>
      <c r="G1622" s="5">
        <f t="shared" si="51"/>
        <v>1.1941747572815533</v>
      </c>
    </row>
    <row r="1623" spans="1:7" ht="13">
      <c r="A1623" s="4" t="s">
        <v>117</v>
      </c>
      <c r="B1623" s="1">
        <v>6.4</v>
      </c>
      <c r="C1623" s="1">
        <v>784.7</v>
      </c>
      <c r="D1623" s="1" t="s">
        <v>33</v>
      </c>
      <c r="E1623" s="1" t="s">
        <v>15</v>
      </c>
      <c r="F1623" s="1">
        <f t="shared" si="50"/>
        <v>640</v>
      </c>
      <c r="G1623" s="5">
        <f t="shared" si="51"/>
        <v>1.22609375</v>
      </c>
    </row>
    <row r="1624" spans="1:7" ht="13">
      <c r="A1624" s="4" t="s">
        <v>117</v>
      </c>
      <c r="B1624" s="1">
        <v>7.8</v>
      </c>
      <c r="C1624" s="1">
        <v>1008</v>
      </c>
      <c r="D1624" s="1" t="s">
        <v>47</v>
      </c>
      <c r="E1624" s="1" t="s">
        <v>8</v>
      </c>
      <c r="F1624" s="1">
        <f t="shared" si="50"/>
        <v>780</v>
      </c>
      <c r="G1624" s="5">
        <f t="shared" si="51"/>
        <v>1.2923076923076924</v>
      </c>
    </row>
    <row r="1625" spans="1:7" ht="13">
      <c r="A1625" s="4" t="s">
        <v>117</v>
      </c>
      <c r="B1625" s="1">
        <v>5.12</v>
      </c>
      <c r="C1625" s="1">
        <v>608</v>
      </c>
      <c r="D1625" s="1" t="s">
        <v>39</v>
      </c>
      <c r="E1625" s="1" t="s">
        <v>15</v>
      </c>
      <c r="F1625" s="1">
        <f t="shared" si="50"/>
        <v>512</v>
      </c>
      <c r="G1625" s="5">
        <f t="shared" si="51"/>
        <v>1.1875</v>
      </c>
    </row>
    <row r="1626" spans="1:7" ht="13">
      <c r="A1626" s="4" t="s">
        <v>117</v>
      </c>
      <c r="B1626" s="1">
        <v>7.74</v>
      </c>
      <c r="C1626" s="1">
        <v>987</v>
      </c>
      <c r="D1626" s="1" t="s">
        <v>11</v>
      </c>
      <c r="E1626" s="1" t="s">
        <v>29</v>
      </c>
      <c r="F1626" s="1">
        <f t="shared" si="50"/>
        <v>774</v>
      </c>
      <c r="G1626" s="5">
        <f t="shared" si="51"/>
        <v>1.2751937984496124</v>
      </c>
    </row>
    <row r="1627" spans="1:7" ht="13">
      <c r="A1627" s="4" t="s">
        <v>117</v>
      </c>
      <c r="B1627" s="1">
        <v>6.96</v>
      </c>
      <c r="C1627" s="1">
        <v>842</v>
      </c>
      <c r="D1627" s="1" t="s">
        <v>45</v>
      </c>
      <c r="E1627" s="1" t="s">
        <v>24</v>
      </c>
      <c r="F1627" s="1">
        <f t="shared" si="50"/>
        <v>696</v>
      </c>
      <c r="G1627" s="5">
        <f t="shared" si="51"/>
        <v>1.2097701149425288</v>
      </c>
    </row>
    <row r="1628" spans="1:7" ht="13">
      <c r="A1628" s="4" t="s">
        <v>117</v>
      </c>
      <c r="B1628" s="1">
        <v>7.56</v>
      </c>
      <c r="C1628" s="1">
        <v>941</v>
      </c>
      <c r="D1628" s="1" t="s">
        <v>44</v>
      </c>
      <c r="E1628" s="1" t="s">
        <v>10</v>
      </c>
      <c r="F1628" s="1">
        <f t="shared" si="50"/>
        <v>756</v>
      </c>
      <c r="G1628" s="5">
        <f t="shared" si="51"/>
        <v>1.2447089947089947</v>
      </c>
    </row>
    <row r="1629" spans="1:7" ht="13">
      <c r="A1629" s="4" t="s">
        <v>117</v>
      </c>
      <c r="B1629" s="1">
        <v>8.17</v>
      </c>
      <c r="C1629" s="1">
        <v>963</v>
      </c>
      <c r="D1629" s="1" t="s">
        <v>44</v>
      </c>
      <c r="E1629" s="1" t="s">
        <v>26</v>
      </c>
      <c r="F1629" s="1">
        <f t="shared" si="50"/>
        <v>817</v>
      </c>
      <c r="G1629" s="5">
        <f t="shared" si="51"/>
        <v>1.1787025703794369</v>
      </c>
    </row>
    <row r="1630" spans="1:7" ht="13">
      <c r="A1630" s="4" t="s">
        <v>117</v>
      </c>
      <c r="B1630" s="1">
        <v>5.28</v>
      </c>
      <c r="C1630" s="1">
        <v>424</v>
      </c>
      <c r="D1630" s="1" t="s">
        <v>39</v>
      </c>
      <c r="E1630" s="1" t="s">
        <v>62</v>
      </c>
      <c r="F1630" s="1">
        <f t="shared" si="50"/>
        <v>528</v>
      </c>
      <c r="G1630" s="5">
        <f t="shared" si="51"/>
        <v>0.80303030303030298</v>
      </c>
    </row>
    <row r="1631" spans="1:7" ht="13">
      <c r="A1631" s="4" t="s">
        <v>117</v>
      </c>
      <c r="B1631" s="1">
        <v>6.02</v>
      </c>
      <c r="C1631" s="1">
        <v>782</v>
      </c>
      <c r="D1631" s="1" t="s">
        <v>43</v>
      </c>
      <c r="E1631" s="1" t="s">
        <v>8</v>
      </c>
      <c r="F1631" s="1">
        <f t="shared" si="50"/>
        <v>602</v>
      </c>
      <c r="G1631" s="5">
        <f t="shared" si="51"/>
        <v>1.2990033222591362</v>
      </c>
    </row>
    <row r="1632" spans="1:7" ht="13">
      <c r="A1632" s="4" t="s">
        <v>117</v>
      </c>
      <c r="B1632" s="1">
        <v>8.8000000000000007</v>
      </c>
      <c r="C1632" s="1">
        <v>1031</v>
      </c>
      <c r="D1632" s="1" t="s">
        <v>11</v>
      </c>
      <c r="E1632" s="1" t="s">
        <v>49</v>
      </c>
      <c r="F1632" s="1">
        <f t="shared" ref="F1632:F1695" si="52">B1632*100</f>
        <v>880.00000000000011</v>
      </c>
      <c r="G1632" s="5">
        <f t="shared" si="51"/>
        <v>1.1715909090909089</v>
      </c>
    </row>
    <row r="1633" spans="1:7" ht="13">
      <c r="A1633" s="4" t="s">
        <v>117</v>
      </c>
      <c r="B1633" s="1">
        <v>7.8</v>
      </c>
      <c r="C1633" s="1">
        <v>987</v>
      </c>
      <c r="D1633" s="1" t="s">
        <v>11</v>
      </c>
      <c r="E1633" s="1" t="s">
        <v>9</v>
      </c>
      <c r="F1633" s="1">
        <f t="shared" si="52"/>
        <v>780</v>
      </c>
      <c r="G1633" s="5">
        <f t="shared" si="51"/>
        <v>1.2653846153846153</v>
      </c>
    </row>
    <row r="1634" spans="1:7" ht="13">
      <c r="A1634" s="4" t="s">
        <v>117</v>
      </c>
      <c r="B1634" s="1">
        <v>6.45</v>
      </c>
      <c r="C1634" s="1">
        <v>769</v>
      </c>
      <c r="D1634" s="1" t="s">
        <v>11</v>
      </c>
      <c r="E1634" s="1" t="s">
        <v>30</v>
      </c>
      <c r="F1634" s="1">
        <f t="shared" si="52"/>
        <v>645</v>
      </c>
      <c r="G1634" s="5">
        <f t="shared" si="51"/>
        <v>1.1922480620155038</v>
      </c>
    </row>
    <row r="1635" spans="1:7" ht="13">
      <c r="A1635" s="4" t="s">
        <v>117</v>
      </c>
      <c r="B1635" s="1">
        <v>6.88</v>
      </c>
      <c r="C1635" s="1">
        <v>892</v>
      </c>
      <c r="D1635" s="1" t="s">
        <v>33</v>
      </c>
      <c r="E1635" s="1" t="s">
        <v>20</v>
      </c>
      <c r="F1635" s="1">
        <f t="shared" si="52"/>
        <v>688</v>
      </c>
      <c r="G1635" s="5">
        <f t="shared" si="51"/>
        <v>1.2965116279069768</v>
      </c>
    </row>
    <row r="1636" spans="1:7" ht="13">
      <c r="A1636" s="4" t="s">
        <v>117</v>
      </c>
      <c r="B1636" s="1">
        <v>8.6999999999999993</v>
      </c>
      <c r="C1636" s="1">
        <v>1043</v>
      </c>
      <c r="D1636" s="1" t="s">
        <v>11</v>
      </c>
      <c r="E1636" s="1" t="s">
        <v>20</v>
      </c>
      <c r="F1636" s="1">
        <f t="shared" si="52"/>
        <v>869.99999999999989</v>
      </c>
      <c r="G1636" s="5">
        <f t="shared" si="51"/>
        <v>1.1988505747126439</v>
      </c>
    </row>
    <row r="1637" spans="1:7" ht="13">
      <c r="A1637" s="4" t="s">
        <v>117</v>
      </c>
      <c r="B1637" s="1">
        <v>7.4</v>
      </c>
      <c r="C1637" s="1">
        <v>908.42</v>
      </c>
      <c r="D1637" s="1" t="s">
        <v>91</v>
      </c>
      <c r="E1637" s="1" t="s">
        <v>24</v>
      </c>
      <c r="F1637" s="1">
        <f t="shared" si="52"/>
        <v>740</v>
      </c>
      <c r="G1637" s="5">
        <f t="shared" si="51"/>
        <v>1.2275945945945945</v>
      </c>
    </row>
    <row r="1638" spans="1:7" ht="13">
      <c r="A1638" s="4" t="s">
        <v>117</v>
      </c>
      <c r="B1638" s="1">
        <v>6.7</v>
      </c>
      <c r="C1638" s="1">
        <v>793</v>
      </c>
      <c r="D1638" s="1" t="s">
        <v>33</v>
      </c>
      <c r="E1638" s="1" t="s">
        <v>21</v>
      </c>
      <c r="F1638" s="1">
        <f t="shared" si="52"/>
        <v>670</v>
      </c>
      <c r="G1638" s="5">
        <f t="shared" si="51"/>
        <v>1.1835820895522389</v>
      </c>
    </row>
    <row r="1639" spans="1:7" ht="13">
      <c r="A1639" s="4" t="s">
        <v>117</v>
      </c>
      <c r="B1639" s="1">
        <v>7.7</v>
      </c>
      <c r="C1639" s="1">
        <v>1058</v>
      </c>
      <c r="D1639" s="1" t="s">
        <v>34</v>
      </c>
      <c r="E1639" s="1" t="s">
        <v>10</v>
      </c>
      <c r="F1639" s="1">
        <f t="shared" si="52"/>
        <v>770</v>
      </c>
      <c r="G1639" s="5">
        <f t="shared" si="51"/>
        <v>1.3740259740259739</v>
      </c>
    </row>
    <row r="1640" spans="1:7" ht="13">
      <c r="A1640" s="4" t="s">
        <v>117</v>
      </c>
      <c r="B1640" s="1">
        <v>7.74</v>
      </c>
      <c r="C1640" s="1">
        <v>970</v>
      </c>
      <c r="D1640" s="1" t="s">
        <v>11</v>
      </c>
      <c r="E1640" s="1" t="s">
        <v>9</v>
      </c>
      <c r="F1640" s="1">
        <f t="shared" si="52"/>
        <v>774</v>
      </c>
      <c r="G1640" s="5">
        <f t="shared" si="51"/>
        <v>1.2532299741602067</v>
      </c>
    </row>
    <row r="1641" spans="1:7" ht="13">
      <c r="A1641" s="4" t="s">
        <v>117</v>
      </c>
      <c r="B1641" s="1">
        <v>5.81</v>
      </c>
      <c r="C1641" s="1">
        <v>795</v>
      </c>
      <c r="D1641" s="1" t="s">
        <v>38</v>
      </c>
      <c r="E1641" s="1" t="s">
        <v>8</v>
      </c>
      <c r="F1641" s="1">
        <f t="shared" si="52"/>
        <v>581</v>
      </c>
      <c r="G1641" s="5">
        <f t="shared" si="51"/>
        <v>1.3683304647160068</v>
      </c>
    </row>
    <row r="1642" spans="1:7" ht="13">
      <c r="A1642" s="4" t="s">
        <v>117</v>
      </c>
      <c r="B1642" s="1">
        <v>7.5</v>
      </c>
      <c r="C1642" s="1">
        <v>936</v>
      </c>
      <c r="D1642" s="1" t="s">
        <v>11</v>
      </c>
      <c r="E1642" s="1" t="s">
        <v>15</v>
      </c>
      <c r="F1642" s="1">
        <f t="shared" si="52"/>
        <v>750</v>
      </c>
      <c r="G1642" s="5">
        <f t="shared" si="51"/>
        <v>1.248</v>
      </c>
    </row>
    <row r="1643" spans="1:7" ht="13">
      <c r="A1643" s="4" t="s">
        <v>117</v>
      </c>
      <c r="B1643" s="1">
        <v>8.75</v>
      </c>
      <c r="C1643" s="1">
        <v>1087</v>
      </c>
      <c r="D1643" s="1" t="s">
        <v>38</v>
      </c>
      <c r="E1643" s="1" t="s">
        <v>31</v>
      </c>
      <c r="F1643" s="1">
        <f t="shared" si="52"/>
        <v>875</v>
      </c>
      <c r="G1643" s="5">
        <f t="shared" si="51"/>
        <v>1.2422857142857142</v>
      </c>
    </row>
    <row r="1644" spans="1:7" ht="13">
      <c r="A1644" s="4" t="s">
        <v>117</v>
      </c>
      <c r="B1644" s="1">
        <v>6</v>
      </c>
      <c r="C1644" s="1">
        <v>695</v>
      </c>
      <c r="D1644" s="1" t="s">
        <v>11</v>
      </c>
      <c r="E1644" s="1" t="s">
        <v>14</v>
      </c>
      <c r="F1644" s="1">
        <f t="shared" si="52"/>
        <v>600</v>
      </c>
      <c r="G1644" s="5">
        <f t="shared" si="51"/>
        <v>1.1583333333333334</v>
      </c>
    </row>
    <row r="1645" spans="1:7" ht="13">
      <c r="A1645" s="4" t="s">
        <v>117</v>
      </c>
      <c r="B1645" s="1">
        <v>5.2</v>
      </c>
      <c r="C1645" s="1">
        <v>600</v>
      </c>
      <c r="D1645" s="1" t="s">
        <v>60</v>
      </c>
      <c r="E1645" s="1" t="s">
        <v>24</v>
      </c>
      <c r="F1645" s="1">
        <f t="shared" si="52"/>
        <v>520</v>
      </c>
      <c r="G1645" s="5">
        <f t="shared" si="51"/>
        <v>1.1538461538461537</v>
      </c>
    </row>
    <row r="1646" spans="1:7" ht="13">
      <c r="A1646" s="4" t="s">
        <v>117</v>
      </c>
      <c r="B1646" s="1">
        <v>5.6</v>
      </c>
      <c r="C1646" s="1">
        <v>700</v>
      </c>
      <c r="D1646" s="1" t="s">
        <v>54</v>
      </c>
      <c r="E1646" s="1" t="s">
        <v>22</v>
      </c>
      <c r="F1646" s="1">
        <f t="shared" si="52"/>
        <v>560</v>
      </c>
      <c r="G1646" s="5">
        <f t="shared" si="51"/>
        <v>1.25</v>
      </c>
    </row>
    <row r="1647" spans="1:7" ht="13">
      <c r="A1647" s="4" t="s">
        <v>117</v>
      </c>
      <c r="B1647" s="1">
        <v>7.29</v>
      </c>
      <c r="C1647" s="1">
        <v>795</v>
      </c>
      <c r="D1647" s="1" t="s">
        <v>11</v>
      </c>
      <c r="E1647" s="1" t="s">
        <v>18</v>
      </c>
      <c r="F1647" s="1">
        <f t="shared" si="52"/>
        <v>729</v>
      </c>
      <c r="G1647" s="5">
        <f t="shared" si="51"/>
        <v>1.0905349794238683</v>
      </c>
    </row>
    <row r="1648" spans="1:7" ht="13">
      <c r="A1648" s="4" t="s">
        <v>117</v>
      </c>
      <c r="B1648" s="1">
        <v>7.9</v>
      </c>
      <c r="C1648" s="1">
        <v>938</v>
      </c>
      <c r="D1648" s="1" t="s">
        <v>33</v>
      </c>
      <c r="E1648" s="1" t="s">
        <v>16</v>
      </c>
      <c r="F1648" s="1">
        <f t="shared" si="52"/>
        <v>790</v>
      </c>
      <c r="G1648" s="5">
        <f t="shared" si="51"/>
        <v>1.1873417721518988</v>
      </c>
    </row>
    <row r="1649" spans="1:7" ht="13">
      <c r="A1649" s="4" t="s">
        <v>117</v>
      </c>
      <c r="B1649" s="1">
        <v>9.57</v>
      </c>
      <c r="C1649" s="1">
        <v>1020</v>
      </c>
      <c r="D1649" s="1" t="s">
        <v>37</v>
      </c>
      <c r="E1649" s="1" t="s">
        <v>7</v>
      </c>
      <c r="F1649" s="1">
        <f t="shared" si="52"/>
        <v>957</v>
      </c>
      <c r="G1649" s="5">
        <f t="shared" si="51"/>
        <v>1.0658307210031348</v>
      </c>
    </row>
    <row r="1650" spans="1:7" ht="13">
      <c r="A1650" s="4" t="s">
        <v>117</v>
      </c>
      <c r="B1650" s="1">
        <v>5</v>
      </c>
      <c r="C1650" s="1">
        <v>850</v>
      </c>
      <c r="D1650" s="1" t="s">
        <v>11</v>
      </c>
      <c r="E1650" s="1" t="s">
        <v>28</v>
      </c>
      <c r="F1650" s="1">
        <f t="shared" si="52"/>
        <v>500</v>
      </c>
      <c r="G1650" s="5">
        <f t="shared" si="51"/>
        <v>1.7</v>
      </c>
    </row>
    <row r="1651" spans="1:7" ht="13">
      <c r="A1651" s="4" t="s">
        <v>117</v>
      </c>
      <c r="B1651" s="1">
        <v>4</v>
      </c>
      <c r="C1651" s="1">
        <v>537</v>
      </c>
      <c r="D1651" s="1" t="s">
        <v>11</v>
      </c>
      <c r="E1651" s="1" t="s">
        <v>10</v>
      </c>
      <c r="F1651" s="1">
        <f t="shared" si="52"/>
        <v>400</v>
      </c>
      <c r="G1651" s="5">
        <f t="shared" si="51"/>
        <v>1.3425</v>
      </c>
    </row>
    <row r="1652" spans="1:7" ht="13">
      <c r="A1652" s="4" t="s">
        <v>117</v>
      </c>
      <c r="B1652" s="1">
        <v>6.88</v>
      </c>
      <c r="C1652" s="1">
        <v>898</v>
      </c>
      <c r="D1652" s="1" t="s">
        <v>43</v>
      </c>
      <c r="E1652" s="1" t="s">
        <v>16</v>
      </c>
      <c r="F1652" s="1">
        <f t="shared" si="52"/>
        <v>688</v>
      </c>
      <c r="G1652" s="5">
        <f t="shared" si="51"/>
        <v>1.305232558139535</v>
      </c>
    </row>
    <row r="1653" spans="1:7" ht="13">
      <c r="A1653" s="4" t="s">
        <v>117</v>
      </c>
      <c r="B1653" s="1">
        <v>4.0999999999999996</v>
      </c>
      <c r="C1653" s="1">
        <v>617</v>
      </c>
      <c r="D1653" s="1" t="s">
        <v>35</v>
      </c>
      <c r="E1653" s="1" t="s">
        <v>32</v>
      </c>
      <c r="F1653" s="1">
        <f t="shared" si="52"/>
        <v>409.99999999999994</v>
      </c>
      <c r="G1653" s="5">
        <f t="shared" si="51"/>
        <v>1.504878048780488</v>
      </c>
    </row>
    <row r="1654" spans="1:7" ht="13">
      <c r="A1654" s="4" t="s">
        <v>117</v>
      </c>
      <c r="B1654" s="1">
        <v>9</v>
      </c>
      <c r="C1654" s="1">
        <v>1050</v>
      </c>
      <c r="D1654" s="1" t="s">
        <v>39</v>
      </c>
      <c r="E1654" s="1" t="s">
        <v>49</v>
      </c>
      <c r="F1654" s="1">
        <f t="shared" si="52"/>
        <v>900</v>
      </c>
      <c r="G1654" s="5">
        <f t="shared" si="51"/>
        <v>1.1666666666666667</v>
      </c>
    </row>
    <row r="1655" spans="1:7" ht="13">
      <c r="A1655" s="4" t="s">
        <v>117</v>
      </c>
      <c r="B1655" s="1">
        <v>4.5</v>
      </c>
      <c r="C1655" s="1">
        <v>626</v>
      </c>
      <c r="D1655" s="1" t="s">
        <v>38</v>
      </c>
      <c r="E1655" s="1" t="s">
        <v>9</v>
      </c>
      <c r="F1655" s="1">
        <f t="shared" si="52"/>
        <v>450</v>
      </c>
      <c r="G1655" s="5">
        <f t="shared" si="51"/>
        <v>1.3911111111111112</v>
      </c>
    </row>
    <row r="1656" spans="1:7" ht="13">
      <c r="A1656" s="4" t="s">
        <v>117</v>
      </c>
      <c r="B1656" s="1">
        <v>4.2</v>
      </c>
      <c r="C1656" s="1">
        <v>512</v>
      </c>
      <c r="D1656" s="1" t="s">
        <v>38</v>
      </c>
      <c r="E1656" s="1" t="s">
        <v>15</v>
      </c>
      <c r="F1656" s="1">
        <f t="shared" si="52"/>
        <v>420</v>
      </c>
      <c r="G1656" s="5">
        <f t="shared" si="51"/>
        <v>1.2190476190476192</v>
      </c>
    </row>
    <row r="1657" spans="1:7" ht="13">
      <c r="A1657" s="4" t="s">
        <v>117</v>
      </c>
      <c r="B1657" s="1">
        <v>7</v>
      </c>
      <c r="C1657" s="1">
        <v>810</v>
      </c>
      <c r="D1657" s="1" t="s">
        <v>33</v>
      </c>
      <c r="E1657" s="1" t="s">
        <v>25</v>
      </c>
      <c r="F1657" s="1">
        <f t="shared" si="52"/>
        <v>700</v>
      </c>
      <c r="G1657" s="5">
        <f t="shared" si="51"/>
        <v>1.1571428571428573</v>
      </c>
    </row>
    <row r="1658" spans="1:7" ht="13">
      <c r="A1658" s="4" t="s">
        <v>117</v>
      </c>
      <c r="B1658" s="1">
        <v>5.18</v>
      </c>
      <c r="C1658" s="1">
        <v>672</v>
      </c>
      <c r="D1658" s="1" t="s">
        <v>11</v>
      </c>
      <c r="E1658" s="1" t="s">
        <v>16</v>
      </c>
      <c r="F1658" s="1">
        <f t="shared" si="52"/>
        <v>518</v>
      </c>
      <c r="G1658" s="5">
        <f t="shared" si="51"/>
        <v>1.2972972972972974</v>
      </c>
    </row>
    <row r="1659" spans="1:7" ht="13">
      <c r="A1659" s="4" t="s">
        <v>117</v>
      </c>
      <c r="B1659" s="1">
        <v>6.25</v>
      </c>
      <c r="C1659" s="1">
        <v>482</v>
      </c>
      <c r="D1659" s="1" t="s">
        <v>11</v>
      </c>
      <c r="E1659" s="1" t="s">
        <v>32</v>
      </c>
      <c r="F1659" s="1">
        <f t="shared" si="52"/>
        <v>625</v>
      </c>
      <c r="G1659" s="5">
        <f t="shared" si="51"/>
        <v>0.7712</v>
      </c>
    </row>
    <row r="1660" spans="1:7" ht="13">
      <c r="A1660" s="4" t="s">
        <v>117</v>
      </c>
      <c r="B1660" s="1">
        <v>7.56</v>
      </c>
      <c r="C1660" s="1">
        <v>808</v>
      </c>
      <c r="D1660" s="1" t="s">
        <v>33</v>
      </c>
      <c r="E1660" s="1" t="s">
        <v>15</v>
      </c>
      <c r="F1660" s="1">
        <f t="shared" si="52"/>
        <v>756</v>
      </c>
      <c r="G1660" s="5">
        <f t="shared" si="51"/>
        <v>1.0687830687830688</v>
      </c>
    </row>
    <row r="1661" spans="1:7" ht="13">
      <c r="A1661" s="4" t="s">
        <v>117</v>
      </c>
      <c r="B1661" s="1">
        <v>9.4</v>
      </c>
      <c r="C1661" s="1">
        <v>499</v>
      </c>
      <c r="D1661" s="1" t="s">
        <v>33</v>
      </c>
      <c r="E1661" s="1" t="s">
        <v>8</v>
      </c>
      <c r="F1661" s="1">
        <f t="shared" si="52"/>
        <v>940</v>
      </c>
      <c r="G1661" s="5">
        <f t="shared" si="51"/>
        <v>0.5308510638297872</v>
      </c>
    </row>
    <row r="1662" spans="1:7" ht="13">
      <c r="A1662" s="4" t="s">
        <v>117</v>
      </c>
      <c r="B1662" s="1">
        <v>6.5</v>
      </c>
      <c r="C1662" s="1">
        <v>807</v>
      </c>
      <c r="D1662" s="1" t="s">
        <v>11</v>
      </c>
      <c r="E1662" s="1" t="s">
        <v>17</v>
      </c>
      <c r="F1662" s="1">
        <f t="shared" si="52"/>
        <v>650</v>
      </c>
      <c r="G1662" s="5">
        <f t="shared" si="51"/>
        <v>1.2415384615384615</v>
      </c>
    </row>
    <row r="1663" spans="1:7" ht="13">
      <c r="A1663" s="4" t="s">
        <v>117</v>
      </c>
      <c r="B1663" s="1">
        <v>7.74</v>
      </c>
      <c r="C1663" s="1">
        <v>996</v>
      </c>
      <c r="D1663" s="1" t="s">
        <v>33</v>
      </c>
      <c r="E1663" s="1" t="s">
        <v>9</v>
      </c>
      <c r="F1663" s="1">
        <f t="shared" si="52"/>
        <v>774</v>
      </c>
      <c r="G1663" s="5">
        <f t="shared" si="51"/>
        <v>1.2868217054263567</v>
      </c>
    </row>
    <row r="1664" spans="1:7" ht="13">
      <c r="A1664" s="4" t="s">
        <v>117</v>
      </c>
      <c r="B1664" s="1">
        <v>5.88</v>
      </c>
      <c r="C1664" s="1">
        <v>703</v>
      </c>
      <c r="D1664" s="1" t="s">
        <v>11</v>
      </c>
      <c r="E1664" s="1" t="s">
        <v>15</v>
      </c>
      <c r="F1664" s="1">
        <f t="shared" si="52"/>
        <v>588</v>
      </c>
      <c r="G1664" s="5">
        <f t="shared" si="51"/>
        <v>1.1955782312925169</v>
      </c>
    </row>
    <row r="1665" spans="1:7" ht="13">
      <c r="A1665" s="4" t="s">
        <v>117</v>
      </c>
      <c r="B1665" s="1">
        <v>5.12</v>
      </c>
      <c r="C1665" s="1">
        <v>617</v>
      </c>
      <c r="D1665" s="1" t="s">
        <v>11</v>
      </c>
      <c r="E1665" s="1" t="s">
        <v>16</v>
      </c>
      <c r="F1665" s="1">
        <f t="shared" si="52"/>
        <v>512</v>
      </c>
      <c r="G1665" s="5">
        <f t="shared" si="51"/>
        <v>1.205078125</v>
      </c>
    </row>
    <row r="1666" spans="1:7" ht="13">
      <c r="A1666" s="4" t="s">
        <v>117</v>
      </c>
      <c r="B1666" s="1">
        <v>7.56</v>
      </c>
      <c r="C1666" s="1">
        <v>912</v>
      </c>
      <c r="D1666" s="1" t="s">
        <v>11</v>
      </c>
      <c r="E1666" s="1" t="s">
        <v>25</v>
      </c>
      <c r="F1666" s="1">
        <f t="shared" si="52"/>
        <v>756</v>
      </c>
      <c r="G1666" s="5">
        <f t="shared" ref="G1666:G1729" si="53">C1666/F1666</f>
        <v>1.2063492063492063</v>
      </c>
    </row>
    <row r="1667" spans="1:7" ht="13">
      <c r="A1667" s="4" t="s">
        <v>117</v>
      </c>
      <c r="B1667" s="1">
        <v>4.7300000000000004</v>
      </c>
      <c r="C1667" s="1">
        <v>648</v>
      </c>
      <c r="D1667" s="1" t="s">
        <v>33</v>
      </c>
      <c r="E1667" s="1" t="s">
        <v>8</v>
      </c>
      <c r="F1667" s="1">
        <f t="shared" si="52"/>
        <v>473.00000000000006</v>
      </c>
      <c r="G1667" s="5">
        <f t="shared" si="53"/>
        <v>1.3699788583509511</v>
      </c>
    </row>
    <row r="1668" spans="1:7" ht="13">
      <c r="A1668" s="4" t="s">
        <v>117</v>
      </c>
      <c r="B1668" s="1">
        <v>5.88</v>
      </c>
      <c r="C1668" s="1">
        <v>617</v>
      </c>
      <c r="D1668" s="1" t="s">
        <v>39</v>
      </c>
      <c r="E1668" s="1" t="s">
        <v>19</v>
      </c>
      <c r="F1668" s="1">
        <f t="shared" si="52"/>
        <v>588</v>
      </c>
      <c r="G1668" s="5">
        <f t="shared" si="53"/>
        <v>1.0493197278911566</v>
      </c>
    </row>
    <row r="1669" spans="1:7" ht="13">
      <c r="A1669" s="4" t="s">
        <v>117</v>
      </c>
      <c r="B1669" s="1">
        <v>5.46</v>
      </c>
      <c r="C1669" s="1">
        <v>673</v>
      </c>
      <c r="D1669" s="1" t="s">
        <v>43</v>
      </c>
      <c r="E1669" s="1" t="s">
        <v>15</v>
      </c>
      <c r="F1669" s="1">
        <f t="shared" si="52"/>
        <v>546</v>
      </c>
      <c r="G1669" s="5">
        <f t="shared" si="53"/>
        <v>1.2326007326007327</v>
      </c>
    </row>
    <row r="1670" spans="1:7" ht="13">
      <c r="A1670" s="4" t="s">
        <v>117</v>
      </c>
      <c r="B1670" s="1">
        <v>6.09</v>
      </c>
      <c r="C1670" s="1">
        <v>737</v>
      </c>
      <c r="D1670" s="1" t="s">
        <v>11</v>
      </c>
      <c r="E1670" s="1" t="s">
        <v>26</v>
      </c>
      <c r="F1670" s="1">
        <f t="shared" si="52"/>
        <v>609</v>
      </c>
      <c r="G1670" s="5">
        <f t="shared" si="53"/>
        <v>1.2101806239737274</v>
      </c>
    </row>
    <row r="1671" spans="1:7" ht="13">
      <c r="A1671" s="4" t="s">
        <v>117</v>
      </c>
      <c r="B1671" s="1">
        <v>7.29</v>
      </c>
      <c r="C1671" s="1">
        <v>914</v>
      </c>
      <c r="D1671" s="1" t="s">
        <v>11</v>
      </c>
      <c r="E1671" s="1" t="s">
        <v>7</v>
      </c>
      <c r="F1671" s="1">
        <f t="shared" si="52"/>
        <v>729</v>
      </c>
      <c r="G1671" s="5">
        <f t="shared" si="53"/>
        <v>1.2537722908093278</v>
      </c>
    </row>
    <row r="1672" spans="1:7" ht="13">
      <c r="A1672" s="4" t="s">
        <v>117</v>
      </c>
      <c r="B1672" s="1">
        <v>5.8</v>
      </c>
      <c r="C1672" s="1">
        <v>738</v>
      </c>
      <c r="D1672" s="1" t="s">
        <v>39</v>
      </c>
      <c r="E1672" s="1" t="s">
        <v>49</v>
      </c>
      <c r="F1672" s="1">
        <f t="shared" si="52"/>
        <v>580</v>
      </c>
      <c r="G1672" s="5">
        <f t="shared" si="53"/>
        <v>1.2724137931034483</v>
      </c>
    </row>
    <row r="1673" spans="1:7" ht="13">
      <c r="A1673" s="4" t="s">
        <v>117</v>
      </c>
      <c r="B1673" s="1">
        <v>6.72</v>
      </c>
      <c r="C1673" s="1">
        <v>813</v>
      </c>
      <c r="D1673" s="1" t="s">
        <v>11</v>
      </c>
      <c r="E1673" s="1" t="s">
        <v>15</v>
      </c>
      <c r="F1673" s="1">
        <f t="shared" si="52"/>
        <v>672</v>
      </c>
      <c r="G1673" s="5">
        <f t="shared" si="53"/>
        <v>1.2098214285714286</v>
      </c>
    </row>
    <row r="1674" spans="1:7" ht="13">
      <c r="A1674" s="4" t="s">
        <v>117</v>
      </c>
      <c r="B1674" s="1">
        <v>6.96</v>
      </c>
      <c r="C1674" s="1">
        <v>886</v>
      </c>
      <c r="D1674" s="1" t="s">
        <v>38</v>
      </c>
      <c r="E1674" s="1" t="s">
        <v>8</v>
      </c>
      <c r="F1674" s="1">
        <f t="shared" si="52"/>
        <v>696</v>
      </c>
      <c r="G1674" s="5">
        <f t="shared" si="53"/>
        <v>1.2729885057471264</v>
      </c>
    </row>
    <row r="1675" spans="1:7" ht="13">
      <c r="A1675" s="4" t="s">
        <v>117</v>
      </c>
      <c r="B1675" s="1">
        <v>4.4000000000000004</v>
      </c>
      <c r="C1675" s="1">
        <v>415</v>
      </c>
      <c r="D1675" s="1" t="s">
        <v>42</v>
      </c>
      <c r="E1675" s="1" t="s">
        <v>22</v>
      </c>
      <c r="F1675" s="1">
        <f t="shared" si="52"/>
        <v>440.00000000000006</v>
      </c>
      <c r="G1675" s="5">
        <f t="shared" si="53"/>
        <v>0.94318181818181801</v>
      </c>
    </row>
    <row r="1676" spans="1:7" ht="13">
      <c r="A1676" s="4" t="s">
        <v>117</v>
      </c>
      <c r="B1676" s="1">
        <v>4.92</v>
      </c>
      <c r="C1676" s="1">
        <v>613</v>
      </c>
      <c r="D1676" s="1" t="s">
        <v>43</v>
      </c>
      <c r="E1676" s="1" t="s">
        <v>10</v>
      </c>
      <c r="F1676" s="1">
        <f t="shared" si="52"/>
        <v>492</v>
      </c>
      <c r="G1676" s="5">
        <f t="shared" si="53"/>
        <v>1.2459349593495934</v>
      </c>
    </row>
    <row r="1677" spans="1:7" ht="13">
      <c r="A1677" s="4" t="s">
        <v>117</v>
      </c>
      <c r="B1677" s="1">
        <v>6.375</v>
      </c>
      <c r="C1677" s="1">
        <v>784</v>
      </c>
      <c r="D1677" s="1" t="s">
        <v>11</v>
      </c>
      <c r="E1677" s="1" t="s">
        <v>12</v>
      </c>
      <c r="F1677" s="1">
        <f t="shared" si="52"/>
        <v>637.5</v>
      </c>
      <c r="G1677" s="5">
        <f t="shared" si="53"/>
        <v>1.2298039215686274</v>
      </c>
    </row>
    <row r="1678" spans="1:7" ht="13">
      <c r="A1678" s="4" t="s">
        <v>117</v>
      </c>
      <c r="B1678" s="1">
        <v>6.88</v>
      </c>
      <c r="C1678" s="1">
        <v>871</v>
      </c>
      <c r="D1678" s="1" t="s">
        <v>38</v>
      </c>
      <c r="E1678" s="1" t="s">
        <v>7</v>
      </c>
      <c r="F1678" s="1">
        <f t="shared" si="52"/>
        <v>688</v>
      </c>
      <c r="G1678" s="5">
        <f t="shared" si="53"/>
        <v>1.2659883720930232</v>
      </c>
    </row>
    <row r="1679" spans="1:7" ht="13">
      <c r="A1679" s="4" t="s">
        <v>117</v>
      </c>
      <c r="B1679" s="1">
        <v>4.3</v>
      </c>
      <c r="C1679" s="1">
        <v>508</v>
      </c>
      <c r="D1679" s="1" t="s">
        <v>35</v>
      </c>
      <c r="E1679" s="1" t="s">
        <v>10</v>
      </c>
      <c r="F1679" s="1">
        <f t="shared" si="52"/>
        <v>430</v>
      </c>
      <c r="G1679" s="5">
        <f t="shared" si="53"/>
        <v>1.1813953488372093</v>
      </c>
    </row>
    <row r="1680" spans="1:7" ht="13">
      <c r="A1680" s="4" t="s">
        <v>117</v>
      </c>
      <c r="B1680" s="1">
        <v>6.9</v>
      </c>
      <c r="C1680" s="1">
        <v>880</v>
      </c>
      <c r="D1680" s="1" t="s">
        <v>42</v>
      </c>
      <c r="E1680" s="1" t="s">
        <v>17</v>
      </c>
      <c r="F1680" s="1">
        <f t="shared" si="52"/>
        <v>690</v>
      </c>
      <c r="G1680" s="5">
        <f t="shared" si="53"/>
        <v>1.2753623188405796</v>
      </c>
    </row>
    <row r="1681" spans="1:7" ht="13">
      <c r="A1681" s="4" t="s">
        <v>117</v>
      </c>
      <c r="B1681" s="1">
        <v>6.96</v>
      </c>
      <c r="C1681" s="1">
        <v>1000</v>
      </c>
      <c r="D1681" s="1" t="s">
        <v>11</v>
      </c>
      <c r="E1681" s="1" t="s">
        <v>8</v>
      </c>
      <c r="F1681" s="1">
        <f t="shared" si="52"/>
        <v>696</v>
      </c>
      <c r="G1681" s="5">
        <f t="shared" si="53"/>
        <v>1.4367816091954022</v>
      </c>
    </row>
    <row r="1682" spans="1:7" ht="13">
      <c r="A1682" s="4" t="s">
        <v>117</v>
      </c>
      <c r="B1682" s="1">
        <v>5</v>
      </c>
      <c r="C1682" s="1">
        <v>600</v>
      </c>
      <c r="D1682" s="1" t="s">
        <v>11</v>
      </c>
      <c r="E1682" s="1" t="s">
        <v>14</v>
      </c>
      <c r="F1682" s="1">
        <f t="shared" si="52"/>
        <v>500</v>
      </c>
      <c r="G1682" s="5">
        <f t="shared" si="53"/>
        <v>1.2</v>
      </c>
    </row>
    <row r="1683" spans="1:7" ht="13">
      <c r="A1683" s="4" t="s">
        <v>117</v>
      </c>
      <c r="B1683" s="1">
        <v>6</v>
      </c>
      <c r="C1683" s="1">
        <v>806.2</v>
      </c>
      <c r="D1683" s="1" t="s">
        <v>11</v>
      </c>
      <c r="E1683" s="1" t="s">
        <v>22</v>
      </c>
      <c r="F1683" s="1">
        <f t="shared" si="52"/>
        <v>600</v>
      </c>
      <c r="G1683" s="5">
        <f t="shared" si="53"/>
        <v>1.3436666666666668</v>
      </c>
    </row>
    <row r="1684" spans="1:7" ht="13">
      <c r="A1684" s="4" t="s">
        <v>117</v>
      </c>
      <c r="B1684" s="1">
        <v>3.448</v>
      </c>
      <c r="C1684" s="1">
        <v>449</v>
      </c>
      <c r="D1684" s="1" t="s">
        <v>11</v>
      </c>
      <c r="E1684" s="1" t="s">
        <v>15</v>
      </c>
      <c r="F1684" s="1">
        <f t="shared" si="52"/>
        <v>344.8</v>
      </c>
      <c r="G1684" s="5">
        <f t="shared" si="53"/>
        <v>1.3022041763341068</v>
      </c>
    </row>
    <row r="1685" spans="1:7" ht="13">
      <c r="A1685" s="4" t="s">
        <v>117</v>
      </c>
      <c r="B1685" s="1">
        <v>8.1</v>
      </c>
      <c r="C1685" s="1">
        <v>1124</v>
      </c>
      <c r="D1685" s="1" t="s">
        <v>11</v>
      </c>
      <c r="E1685" s="1" t="s">
        <v>8</v>
      </c>
      <c r="F1685" s="1">
        <f t="shared" si="52"/>
        <v>810</v>
      </c>
      <c r="G1685" s="5">
        <f t="shared" si="53"/>
        <v>1.3876543209876544</v>
      </c>
    </row>
    <row r="1686" spans="1:7" ht="13">
      <c r="A1686" s="4" t="s">
        <v>117</v>
      </c>
      <c r="B1686" s="1">
        <v>7.9</v>
      </c>
      <c r="C1686" s="1">
        <v>987</v>
      </c>
      <c r="D1686" s="1" t="s">
        <v>11</v>
      </c>
      <c r="E1686" s="1" t="s">
        <v>27</v>
      </c>
      <c r="F1686" s="1">
        <f t="shared" si="52"/>
        <v>790</v>
      </c>
      <c r="G1686" s="5">
        <f t="shared" si="53"/>
        <v>1.2493670886075949</v>
      </c>
    </row>
    <row r="1687" spans="1:7" ht="13">
      <c r="A1687" s="4" t="s">
        <v>117</v>
      </c>
      <c r="B1687" s="1">
        <v>5.2</v>
      </c>
      <c r="C1687" s="1">
        <v>673</v>
      </c>
      <c r="D1687" s="1" t="s">
        <v>42</v>
      </c>
      <c r="E1687" s="1" t="s">
        <v>30</v>
      </c>
      <c r="F1687" s="1">
        <f t="shared" si="52"/>
        <v>520</v>
      </c>
      <c r="G1687" s="5">
        <f t="shared" si="53"/>
        <v>1.2942307692307693</v>
      </c>
    </row>
    <row r="1688" spans="1:7" ht="13">
      <c r="A1688" s="4" t="s">
        <v>117</v>
      </c>
      <c r="B1688" s="1">
        <v>6.3</v>
      </c>
      <c r="C1688" s="1">
        <v>702</v>
      </c>
      <c r="D1688" s="1" t="s">
        <v>43</v>
      </c>
      <c r="E1688" s="1" t="s">
        <v>29</v>
      </c>
      <c r="F1688" s="1">
        <f t="shared" si="52"/>
        <v>630</v>
      </c>
      <c r="G1688" s="5">
        <f t="shared" si="53"/>
        <v>1.1142857142857143</v>
      </c>
    </row>
    <row r="1689" spans="1:7" ht="13">
      <c r="A1689" s="4" t="s">
        <v>117</v>
      </c>
      <c r="B1689" s="1">
        <v>8.64</v>
      </c>
      <c r="C1689" s="1">
        <v>1060</v>
      </c>
      <c r="D1689" s="1" t="s">
        <v>11</v>
      </c>
      <c r="E1689" s="1" t="s">
        <v>9</v>
      </c>
      <c r="F1689" s="1">
        <f t="shared" si="52"/>
        <v>864</v>
      </c>
      <c r="G1689" s="5">
        <f t="shared" si="53"/>
        <v>1.2268518518518519</v>
      </c>
    </row>
    <row r="1690" spans="1:7" ht="13">
      <c r="A1690" s="4" t="s">
        <v>117</v>
      </c>
      <c r="B1690" s="1">
        <v>6.5</v>
      </c>
      <c r="C1690" s="1">
        <v>745</v>
      </c>
      <c r="D1690" s="1" t="s">
        <v>11</v>
      </c>
      <c r="E1690" s="1" t="s">
        <v>18</v>
      </c>
      <c r="F1690" s="1">
        <f t="shared" si="52"/>
        <v>650</v>
      </c>
      <c r="G1690" s="5">
        <f t="shared" si="53"/>
        <v>1.1461538461538461</v>
      </c>
    </row>
    <row r="1691" spans="1:7" ht="13">
      <c r="A1691" s="4" t="s">
        <v>117</v>
      </c>
      <c r="B1691" s="1">
        <v>9.1300000000000008</v>
      </c>
      <c r="C1691" s="1">
        <v>1170</v>
      </c>
      <c r="D1691" s="1" t="s">
        <v>11</v>
      </c>
      <c r="E1691" s="1" t="s">
        <v>23</v>
      </c>
      <c r="F1691" s="1">
        <f t="shared" si="52"/>
        <v>913.00000000000011</v>
      </c>
      <c r="G1691" s="5">
        <f t="shared" si="53"/>
        <v>1.2814895947426066</v>
      </c>
    </row>
    <row r="1692" spans="1:7" ht="13">
      <c r="A1692" s="4" t="s">
        <v>117</v>
      </c>
      <c r="B1692" s="1">
        <v>4.92</v>
      </c>
      <c r="C1692" s="1">
        <v>568</v>
      </c>
      <c r="D1692" s="1" t="s">
        <v>33</v>
      </c>
      <c r="E1692" s="1" t="s">
        <v>26</v>
      </c>
      <c r="F1692" s="1">
        <f t="shared" si="52"/>
        <v>492</v>
      </c>
      <c r="G1692" s="5">
        <f t="shared" si="53"/>
        <v>1.1544715447154472</v>
      </c>
    </row>
    <row r="1693" spans="1:7" ht="13">
      <c r="A1693" s="4" t="s">
        <v>117</v>
      </c>
      <c r="B1693" s="1">
        <v>8.4</v>
      </c>
      <c r="C1693" s="1">
        <v>1050</v>
      </c>
      <c r="D1693" s="1" t="s">
        <v>33</v>
      </c>
      <c r="E1693" s="1" t="s">
        <v>25</v>
      </c>
      <c r="F1693" s="1">
        <f t="shared" si="52"/>
        <v>840</v>
      </c>
      <c r="G1693" s="5">
        <f t="shared" si="53"/>
        <v>1.25</v>
      </c>
    </row>
    <row r="1694" spans="1:7" ht="13">
      <c r="A1694" s="4" t="s">
        <v>117</v>
      </c>
      <c r="B1694" s="1">
        <v>7.3949999999999996</v>
      </c>
      <c r="C1694" s="1">
        <v>921</v>
      </c>
      <c r="D1694" s="1" t="s">
        <v>42</v>
      </c>
      <c r="E1694" s="1" t="s">
        <v>25</v>
      </c>
      <c r="F1694" s="1">
        <f t="shared" si="52"/>
        <v>739.5</v>
      </c>
      <c r="G1694" s="5">
        <f t="shared" si="53"/>
        <v>1.2454361054766734</v>
      </c>
    </row>
    <row r="1695" spans="1:7" ht="13">
      <c r="A1695" s="4" t="s">
        <v>117</v>
      </c>
      <c r="B1695" s="1">
        <v>7.7</v>
      </c>
      <c r="C1695" s="1">
        <v>892</v>
      </c>
      <c r="D1695" s="1" t="s">
        <v>42</v>
      </c>
      <c r="E1695" s="1" t="s">
        <v>49</v>
      </c>
      <c r="F1695" s="1">
        <f t="shared" si="52"/>
        <v>770</v>
      </c>
      <c r="G1695" s="5">
        <f t="shared" si="53"/>
        <v>1.1584415584415584</v>
      </c>
    </row>
    <row r="1696" spans="1:7" ht="13">
      <c r="A1696" s="4" t="s">
        <v>117</v>
      </c>
      <c r="B1696" s="1">
        <v>6.96</v>
      </c>
      <c r="C1696" s="1">
        <v>785</v>
      </c>
      <c r="D1696" s="1" t="s">
        <v>33</v>
      </c>
      <c r="E1696" s="1" t="s">
        <v>15</v>
      </c>
      <c r="F1696" s="1">
        <f t="shared" ref="F1696:F1759" si="54">B1696*100</f>
        <v>696</v>
      </c>
      <c r="G1696" s="5">
        <f t="shared" si="53"/>
        <v>1.1278735632183907</v>
      </c>
    </row>
    <row r="1697" spans="1:7" ht="13">
      <c r="A1697" s="4" t="s">
        <v>117</v>
      </c>
      <c r="B1697" s="1">
        <v>2.87</v>
      </c>
      <c r="C1697" s="1">
        <v>419</v>
      </c>
      <c r="D1697" s="1" t="s">
        <v>11</v>
      </c>
      <c r="E1697" s="1" t="s">
        <v>8</v>
      </c>
      <c r="F1697" s="1">
        <f t="shared" si="54"/>
        <v>287</v>
      </c>
      <c r="G1697" s="5">
        <f t="shared" si="53"/>
        <v>1.4599303135888502</v>
      </c>
    </row>
    <row r="1698" spans="1:7" ht="13">
      <c r="A1698" s="4" t="s">
        <v>117</v>
      </c>
      <c r="B1698" s="1">
        <v>4.9000000000000004</v>
      </c>
      <c r="C1698" s="1">
        <v>467</v>
      </c>
      <c r="D1698" s="1" t="s">
        <v>11</v>
      </c>
      <c r="E1698" s="1" t="s">
        <v>18</v>
      </c>
      <c r="F1698" s="1">
        <f t="shared" si="54"/>
        <v>490.00000000000006</v>
      </c>
      <c r="G1698" s="5">
        <f t="shared" si="53"/>
        <v>0.9530612244897958</v>
      </c>
    </row>
    <row r="1699" spans="1:7" ht="13">
      <c r="A1699" s="4" t="s">
        <v>117</v>
      </c>
      <c r="B1699" s="1">
        <v>6.7</v>
      </c>
      <c r="C1699" s="1">
        <v>793</v>
      </c>
      <c r="D1699" s="1" t="s">
        <v>58</v>
      </c>
      <c r="E1699" s="1" t="s">
        <v>22</v>
      </c>
      <c r="F1699" s="1">
        <f t="shared" si="54"/>
        <v>670</v>
      </c>
      <c r="G1699" s="5">
        <f t="shared" si="53"/>
        <v>1.1835820895522389</v>
      </c>
    </row>
    <row r="1700" spans="1:7" ht="13">
      <c r="A1700" s="4" t="s">
        <v>117</v>
      </c>
      <c r="B1700" s="1">
        <v>7.74</v>
      </c>
      <c r="C1700" s="1">
        <v>828</v>
      </c>
      <c r="D1700" s="1" t="s">
        <v>33</v>
      </c>
      <c r="E1700" s="1" t="s">
        <v>26</v>
      </c>
      <c r="F1700" s="1">
        <f t="shared" si="54"/>
        <v>774</v>
      </c>
      <c r="G1700" s="5">
        <f t="shared" si="53"/>
        <v>1.069767441860465</v>
      </c>
    </row>
    <row r="1701" spans="1:7" ht="13">
      <c r="A1701" s="4" t="s">
        <v>117</v>
      </c>
      <c r="B1701" s="1">
        <v>4.05</v>
      </c>
      <c r="C1701" s="1">
        <v>484</v>
      </c>
      <c r="D1701" s="1" t="s">
        <v>38</v>
      </c>
      <c r="E1701" s="1" t="s">
        <v>30</v>
      </c>
      <c r="F1701" s="1">
        <f t="shared" si="54"/>
        <v>405</v>
      </c>
      <c r="G1701" s="5">
        <f t="shared" si="53"/>
        <v>1.1950617283950618</v>
      </c>
    </row>
    <row r="1702" spans="1:7" ht="13">
      <c r="A1702" s="4" t="s">
        <v>117</v>
      </c>
      <c r="B1702" s="1">
        <v>5.16</v>
      </c>
      <c r="C1702" s="1">
        <v>641</v>
      </c>
      <c r="D1702" s="1" t="s">
        <v>42</v>
      </c>
      <c r="E1702" s="1" t="s">
        <v>22</v>
      </c>
      <c r="F1702" s="1">
        <f t="shared" si="54"/>
        <v>516</v>
      </c>
      <c r="G1702" s="5">
        <f t="shared" si="53"/>
        <v>1.2422480620155039</v>
      </c>
    </row>
    <row r="1703" spans="1:7" ht="13">
      <c r="A1703" s="4" t="s">
        <v>117</v>
      </c>
      <c r="B1703" s="1">
        <v>7.5</v>
      </c>
      <c r="C1703" s="1">
        <v>850</v>
      </c>
      <c r="D1703" s="1" t="s">
        <v>79</v>
      </c>
      <c r="E1703" s="1" t="s">
        <v>22</v>
      </c>
      <c r="F1703" s="1">
        <f t="shared" si="54"/>
        <v>750</v>
      </c>
      <c r="G1703" s="5">
        <f t="shared" si="53"/>
        <v>1.1333333333333333</v>
      </c>
    </row>
    <row r="1704" spans="1:7" ht="13">
      <c r="A1704" s="4" t="s">
        <v>117</v>
      </c>
      <c r="B1704" s="1">
        <v>4.3</v>
      </c>
      <c r="C1704" s="1">
        <v>555</v>
      </c>
      <c r="D1704" s="1" t="s">
        <v>39</v>
      </c>
      <c r="E1704" s="1" t="s">
        <v>15</v>
      </c>
      <c r="F1704" s="1">
        <f t="shared" si="54"/>
        <v>430</v>
      </c>
      <c r="G1704" s="5">
        <f t="shared" si="53"/>
        <v>1.2906976744186047</v>
      </c>
    </row>
    <row r="1705" spans="1:7" ht="13">
      <c r="A1705" s="4" t="s">
        <v>117</v>
      </c>
      <c r="B1705" s="1">
        <v>4.3</v>
      </c>
      <c r="C1705" s="1">
        <v>427</v>
      </c>
      <c r="D1705" s="1" t="s">
        <v>11</v>
      </c>
      <c r="E1705" s="1" t="s">
        <v>16</v>
      </c>
      <c r="F1705" s="1">
        <f t="shared" si="54"/>
        <v>430</v>
      </c>
      <c r="G1705" s="5">
        <f t="shared" si="53"/>
        <v>0.99302325581395345</v>
      </c>
    </row>
    <row r="1706" spans="1:7" ht="13">
      <c r="A1706" s="4" t="s">
        <v>117</v>
      </c>
      <c r="B1706" s="1">
        <v>5.6</v>
      </c>
      <c r="C1706" s="1">
        <v>763</v>
      </c>
      <c r="D1706" s="1" t="s">
        <v>33</v>
      </c>
      <c r="E1706" s="1" t="s">
        <v>12</v>
      </c>
      <c r="F1706" s="1">
        <f t="shared" si="54"/>
        <v>560</v>
      </c>
      <c r="G1706" s="5">
        <f t="shared" si="53"/>
        <v>1.3625</v>
      </c>
    </row>
    <row r="1707" spans="1:7" ht="13">
      <c r="A1707" s="4" t="s">
        <v>117</v>
      </c>
      <c r="B1707" s="1">
        <v>6</v>
      </c>
      <c r="C1707" s="1">
        <v>807</v>
      </c>
      <c r="D1707" s="1" t="s">
        <v>11</v>
      </c>
      <c r="E1707" s="1" t="s">
        <v>7</v>
      </c>
      <c r="F1707" s="1">
        <f t="shared" si="54"/>
        <v>600</v>
      </c>
      <c r="G1707" s="5">
        <f t="shared" si="53"/>
        <v>1.345</v>
      </c>
    </row>
    <row r="1708" spans="1:7" ht="13">
      <c r="A1708" s="4" t="s">
        <v>117</v>
      </c>
      <c r="B1708" s="1">
        <v>4.3</v>
      </c>
      <c r="C1708" s="1">
        <v>639</v>
      </c>
      <c r="D1708" s="1" t="s">
        <v>47</v>
      </c>
      <c r="E1708" s="1" t="s">
        <v>8</v>
      </c>
      <c r="F1708" s="1">
        <f t="shared" si="54"/>
        <v>430</v>
      </c>
      <c r="G1708" s="5">
        <f t="shared" si="53"/>
        <v>1.4860465116279069</v>
      </c>
    </row>
    <row r="1709" spans="1:7" ht="13">
      <c r="A1709" s="4" t="s">
        <v>117</v>
      </c>
      <c r="B1709" s="1">
        <v>6.72</v>
      </c>
      <c r="C1709" s="1">
        <v>967</v>
      </c>
      <c r="D1709" s="1" t="s">
        <v>43</v>
      </c>
      <c r="E1709" s="1" t="s">
        <v>20</v>
      </c>
      <c r="F1709" s="1">
        <f t="shared" si="54"/>
        <v>672</v>
      </c>
      <c r="G1709" s="5">
        <f t="shared" si="53"/>
        <v>1.4389880952380953</v>
      </c>
    </row>
    <row r="1710" spans="1:7" ht="13">
      <c r="A1710" s="4" t="s">
        <v>117</v>
      </c>
      <c r="B1710" s="1">
        <v>5.3949999999999996</v>
      </c>
      <c r="C1710" s="1">
        <v>600</v>
      </c>
      <c r="D1710" s="1" t="s">
        <v>44</v>
      </c>
      <c r="E1710" s="1" t="s">
        <v>15</v>
      </c>
      <c r="F1710" s="1">
        <f t="shared" si="54"/>
        <v>539.5</v>
      </c>
      <c r="G1710" s="5">
        <f t="shared" si="53"/>
        <v>1.1121408711770158</v>
      </c>
    </row>
    <row r="1711" spans="1:7" ht="13">
      <c r="A1711" s="4" t="s">
        <v>117</v>
      </c>
      <c r="B1711" s="1">
        <v>5.2</v>
      </c>
      <c r="C1711" s="1">
        <v>605</v>
      </c>
      <c r="D1711" s="1" t="s">
        <v>44</v>
      </c>
      <c r="E1711" s="1" t="s">
        <v>15</v>
      </c>
      <c r="F1711" s="1">
        <f t="shared" si="54"/>
        <v>520</v>
      </c>
      <c r="G1711" s="5">
        <f t="shared" si="53"/>
        <v>1.1634615384615385</v>
      </c>
    </row>
    <row r="1712" spans="1:7" ht="13">
      <c r="A1712" s="4" t="s">
        <v>117</v>
      </c>
      <c r="B1712" s="1">
        <v>6.7</v>
      </c>
      <c r="C1712" s="1">
        <v>875</v>
      </c>
      <c r="D1712" s="1" t="s">
        <v>11</v>
      </c>
      <c r="E1712" s="1" t="s">
        <v>16</v>
      </c>
      <c r="F1712" s="1">
        <f t="shared" si="54"/>
        <v>670</v>
      </c>
      <c r="G1712" s="5">
        <f t="shared" si="53"/>
        <v>1.3059701492537314</v>
      </c>
    </row>
    <row r="1713" spans="1:7" ht="13">
      <c r="A1713" s="4" t="s">
        <v>117</v>
      </c>
      <c r="B1713" s="1">
        <v>9.4600000000000009</v>
      </c>
      <c r="C1713" s="1">
        <v>1029</v>
      </c>
      <c r="D1713" s="1" t="s">
        <v>11</v>
      </c>
      <c r="E1713" s="1" t="s">
        <v>25</v>
      </c>
      <c r="F1713" s="1">
        <f t="shared" si="54"/>
        <v>946.00000000000011</v>
      </c>
      <c r="G1713" s="5">
        <f t="shared" si="53"/>
        <v>1.0877378435517968</v>
      </c>
    </row>
    <row r="1714" spans="1:7" ht="13">
      <c r="A1714" s="4" t="s">
        <v>117</v>
      </c>
      <c r="B1714" s="1">
        <v>7.7</v>
      </c>
      <c r="C1714" s="1">
        <v>1020</v>
      </c>
      <c r="D1714" s="1" t="s">
        <v>53</v>
      </c>
      <c r="E1714" s="1" t="s">
        <v>17</v>
      </c>
      <c r="F1714" s="1">
        <f t="shared" si="54"/>
        <v>770</v>
      </c>
      <c r="G1714" s="5">
        <f t="shared" si="53"/>
        <v>1.3246753246753247</v>
      </c>
    </row>
    <row r="1715" spans="1:7" ht="13">
      <c r="A1715" s="4" t="s">
        <v>117</v>
      </c>
      <c r="B1715" s="1">
        <v>5.5</v>
      </c>
      <c r="C1715" s="1">
        <v>803</v>
      </c>
      <c r="D1715" s="1" t="s">
        <v>35</v>
      </c>
      <c r="E1715" s="1" t="s">
        <v>8</v>
      </c>
      <c r="F1715" s="1">
        <f t="shared" si="54"/>
        <v>550</v>
      </c>
      <c r="G1715" s="5">
        <f t="shared" si="53"/>
        <v>1.46</v>
      </c>
    </row>
    <row r="1716" spans="1:7" ht="13">
      <c r="A1716" s="4" t="s">
        <v>117</v>
      </c>
      <c r="B1716" s="1">
        <v>6.96</v>
      </c>
      <c r="C1716" s="1">
        <v>841</v>
      </c>
      <c r="D1716" s="1" t="s">
        <v>11</v>
      </c>
      <c r="E1716" s="1" t="s">
        <v>31</v>
      </c>
      <c r="F1716" s="1">
        <f t="shared" si="54"/>
        <v>696</v>
      </c>
      <c r="G1716" s="5">
        <f t="shared" si="53"/>
        <v>1.2083333333333333</v>
      </c>
    </row>
    <row r="1717" spans="1:7" ht="13">
      <c r="A1717" s="4" t="s">
        <v>117</v>
      </c>
      <c r="B1717" s="1">
        <v>3.87</v>
      </c>
      <c r="C1717" s="1">
        <v>480</v>
      </c>
      <c r="D1717" s="1" t="s">
        <v>67</v>
      </c>
      <c r="E1717" s="1" t="s">
        <v>8</v>
      </c>
      <c r="F1717" s="1">
        <f t="shared" si="54"/>
        <v>387</v>
      </c>
      <c r="G1717" s="5">
        <f t="shared" si="53"/>
        <v>1.2403100775193798</v>
      </c>
    </row>
    <row r="1718" spans="1:7" ht="13">
      <c r="A1718" s="4" t="s">
        <v>117</v>
      </c>
      <c r="B1718" s="1">
        <v>7.56</v>
      </c>
      <c r="C1718" s="1">
        <v>1038</v>
      </c>
      <c r="D1718" s="1" t="s">
        <v>11</v>
      </c>
      <c r="E1718" s="1" t="s">
        <v>9</v>
      </c>
      <c r="F1718" s="1">
        <f t="shared" si="54"/>
        <v>756</v>
      </c>
      <c r="G1718" s="5">
        <f t="shared" si="53"/>
        <v>1.373015873015873</v>
      </c>
    </row>
    <row r="1719" spans="1:7" ht="13">
      <c r="A1719" s="4" t="s">
        <v>117</v>
      </c>
      <c r="B1719" s="1">
        <v>6.96</v>
      </c>
      <c r="C1719" s="1">
        <v>765</v>
      </c>
      <c r="D1719" s="1" t="s">
        <v>33</v>
      </c>
      <c r="E1719" s="1" t="s">
        <v>25</v>
      </c>
      <c r="F1719" s="1">
        <f t="shared" si="54"/>
        <v>696</v>
      </c>
      <c r="G1719" s="5">
        <f t="shared" si="53"/>
        <v>1.0991379310344827</v>
      </c>
    </row>
    <row r="1720" spans="1:7" ht="13">
      <c r="A1720" s="4" t="s">
        <v>117</v>
      </c>
      <c r="B1720" s="1">
        <v>9.5</v>
      </c>
      <c r="C1720" s="1">
        <v>1160</v>
      </c>
      <c r="D1720" s="1" t="s">
        <v>11</v>
      </c>
      <c r="E1720" s="1" t="s">
        <v>31</v>
      </c>
      <c r="F1720" s="1">
        <f t="shared" si="54"/>
        <v>950</v>
      </c>
      <c r="G1720" s="5">
        <f t="shared" si="53"/>
        <v>1.2210526315789474</v>
      </c>
    </row>
    <row r="1721" spans="1:7" ht="13">
      <c r="A1721" s="4" t="s">
        <v>117</v>
      </c>
      <c r="B1721" s="1">
        <v>6.7</v>
      </c>
      <c r="C1721" s="1">
        <v>740</v>
      </c>
      <c r="D1721" s="1" t="s">
        <v>11</v>
      </c>
      <c r="E1721" s="1" t="s">
        <v>30</v>
      </c>
      <c r="F1721" s="1">
        <f t="shared" si="54"/>
        <v>670</v>
      </c>
      <c r="G1721" s="5">
        <f t="shared" si="53"/>
        <v>1.1044776119402986</v>
      </c>
    </row>
    <row r="1722" spans="1:7" ht="13">
      <c r="A1722" s="4" t="s">
        <v>117</v>
      </c>
      <c r="B1722" s="1">
        <v>5.0999999999999996</v>
      </c>
      <c r="C1722" s="1">
        <v>626.5</v>
      </c>
      <c r="D1722" s="1" t="s">
        <v>11</v>
      </c>
      <c r="E1722" s="1" t="s">
        <v>21</v>
      </c>
      <c r="F1722" s="1">
        <f t="shared" si="54"/>
        <v>509.99999999999994</v>
      </c>
      <c r="G1722" s="5">
        <f t="shared" si="53"/>
        <v>1.2284313725490197</v>
      </c>
    </row>
    <row r="1723" spans="1:7" ht="13">
      <c r="A1723" s="4" t="s">
        <v>117</v>
      </c>
      <c r="B1723" s="1">
        <v>5.4</v>
      </c>
      <c r="C1723" s="1">
        <v>653</v>
      </c>
      <c r="D1723" s="1" t="s">
        <v>35</v>
      </c>
      <c r="E1723" s="1" t="s">
        <v>8</v>
      </c>
      <c r="F1723" s="1">
        <f t="shared" si="54"/>
        <v>540</v>
      </c>
      <c r="G1723" s="5">
        <f t="shared" si="53"/>
        <v>1.2092592592592593</v>
      </c>
    </row>
    <row r="1724" spans="1:7" ht="13">
      <c r="A1724" s="4" t="s">
        <v>117</v>
      </c>
      <c r="B1724" s="1">
        <v>3.85</v>
      </c>
      <c r="C1724" s="1">
        <v>467</v>
      </c>
      <c r="D1724" s="1" t="s">
        <v>11</v>
      </c>
      <c r="E1724" s="1" t="s">
        <v>20</v>
      </c>
      <c r="F1724" s="1">
        <f t="shared" si="54"/>
        <v>385</v>
      </c>
      <c r="G1724" s="5">
        <f t="shared" si="53"/>
        <v>1.2129870129870131</v>
      </c>
    </row>
    <row r="1725" spans="1:7" ht="13">
      <c r="A1725" s="4" t="s">
        <v>117</v>
      </c>
      <c r="B1725" s="1">
        <v>7.86</v>
      </c>
      <c r="C1725" s="1">
        <v>909</v>
      </c>
      <c r="D1725" s="1" t="s">
        <v>33</v>
      </c>
      <c r="E1725" s="1" t="s">
        <v>24</v>
      </c>
      <c r="F1725" s="1">
        <f t="shared" si="54"/>
        <v>786</v>
      </c>
      <c r="G1725" s="5">
        <f t="shared" si="53"/>
        <v>1.1564885496183206</v>
      </c>
    </row>
    <row r="1726" spans="1:7" ht="13">
      <c r="A1726" s="4" t="s">
        <v>117</v>
      </c>
      <c r="B1726" s="1">
        <v>7.56</v>
      </c>
      <c r="C1726" s="1">
        <v>907</v>
      </c>
      <c r="D1726" s="1" t="s">
        <v>65</v>
      </c>
      <c r="E1726" s="1" t="s">
        <v>17</v>
      </c>
      <c r="F1726" s="1">
        <f t="shared" si="54"/>
        <v>756</v>
      </c>
      <c r="G1726" s="5">
        <f t="shared" si="53"/>
        <v>1.1997354497354498</v>
      </c>
    </row>
    <row r="1727" spans="1:7" ht="13">
      <c r="A1727" s="4" t="s">
        <v>117</v>
      </c>
      <c r="B1727" s="1">
        <v>7</v>
      </c>
      <c r="C1727" s="1">
        <v>920</v>
      </c>
      <c r="D1727" s="1" t="s">
        <v>11</v>
      </c>
      <c r="E1727" s="1" t="s">
        <v>10</v>
      </c>
      <c r="F1727" s="1">
        <f t="shared" si="54"/>
        <v>700</v>
      </c>
      <c r="G1727" s="5">
        <f t="shared" si="53"/>
        <v>1.3142857142857143</v>
      </c>
    </row>
    <row r="1728" spans="1:7" ht="13">
      <c r="A1728" s="4" t="s">
        <v>117</v>
      </c>
      <c r="B1728" s="1">
        <v>7.14</v>
      </c>
      <c r="C1728" s="1">
        <v>924</v>
      </c>
      <c r="D1728" s="1" t="s">
        <v>42</v>
      </c>
      <c r="E1728" s="1" t="s">
        <v>10</v>
      </c>
      <c r="F1728" s="1">
        <f t="shared" si="54"/>
        <v>714</v>
      </c>
      <c r="G1728" s="5">
        <f t="shared" si="53"/>
        <v>1.2941176470588236</v>
      </c>
    </row>
    <row r="1729" spans="1:7" ht="13">
      <c r="A1729" s="4" t="s">
        <v>117</v>
      </c>
      <c r="B1729" s="1">
        <v>9.57</v>
      </c>
      <c r="C1729" s="1">
        <v>1070</v>
      </c>
      <c r="D1729" s="1" t="s">
        <v>42</v>
      </c>
      <c r="E1729" s="1" t="s">
        <v>22</v>
      </c>
      <c r="F1729" s="1">
        <f t="shared" si="54"/>
        <v>957</v>
      </c>
      <c r="G1729" s="5">
        <f t="shared" si="53"/>
        <v>1.1180773249738767</v>
      </c>
    </row>
    <row r="1730" spans="1:7" ht="13">
      <c r="A1730" s="4" t="s">
        <v>117</v>
      </c>
      <c r="B1730" s="1">
        <v>5</v>
      </c>
      <c r="C1730" s="1">
        <v>507</v>
      </c>
      <c r="D1730" s="1" t="s">
        <v>50</v>
      </c>
      <c r="E1730" s="1" t="s">
        <v>7</v>
      </c>
      <c r="F1730" s="1">
        <f t="shared" si="54"/>
        <v>500</v>
      </c>
      <c r="G1730" s="5">
        <f t="shared" ref="G1730:G1793" si="55">C1730/F1730</f>
        <v>1.014</v>
      </c>
    </row>
    <row r="1731" spans="1:7" ht="13">
      <c r="A1731" s="4" t="s">
        <v>117</v>
      </c>
      <c r="B1731" s="1">
        <v>6.8</v>
      </c>
      <c r="C1731" s="1">
        <v>683</v>
      </c>
      <c r="D1731" s="1" t="s">
        <v>100</v>
      </c>
      <c r="E1731" s="1" t="s">
        <v>29</v>
      </c>
      <c r="F1731" s="1">
        <f t="shared" si="54"/>
        <v>680</v>
      </c>
      <c r="G1731" s="5">
        <f t="shared" si="55"/>
        <v>1.0044117647058823</v>
      </c>
    </row>
    <row r="1732" spans="1:7" ht="13">
      <c r="A1732" s="4" t="s">
        <v>117</v>
      </c>
      <c r="B1732" s="1">
        <v>4.5</v>
      </c>
      <c r="C1732" s="1">
        <v>539.6</v>
      </c>
      <c r="D1732" s="1" t="s">
        <v>43</v>
      </c>
      <c r="E1732" s="1" t="s">
        <v>15</v>
      </c>
      <c r="F1732" s="1">
        <f t="shared" si="54"/>
        <v>450</v>
      </c>
      <c r="G1732" s="5">
        <f t="shared" si="55"/>
        <v>1.1991111111111112</v>
      </c>
    </row>
    <row r="1733" spans="1:7" ht="13">
      <c r="A1733" s="4" t="s">
        <v>117</v>
      </c>
      <c r="B1733" s="1">
        <v>5.74</v>
      </c>
      <c r="C1733" s="1">
        <v>707</v>
      </c>
      <c r="D1733" s="1" t="s">
        <v>42</v>
      </c>
      <c r="E1733" s="1" t="s">
        <v>32</v>
      </c>
      <c r="F1733" s="1">
        <f t="shared" si="54"/>
        <v>574</v>
      </c>
      <c r="G1733" s="5">
        <f t="shared" si="55"/>
        <v>1.2317073170731707</v>
      </c>
    </row>
    <row r="1734" spans="1:7" ht="13">
      <c r="A1734" s="4" t="s">
        <v>117</v>
      </c>
      <c r="B1734" s="1">
        <v>9.1999999999999993</v>
      </c>
      <c r="C1734" s="1">
        <v>1102</v>
      </c>
      <c r="D1734" s="1" t="s">
        <v>43</v>
      </c>
      <c r="E1734" s="1" t="s">
        <v>14</v>
      </c>
      <c r="F1734" s="1">
        <f t="shared" si="54"/>
        <v>919.99999999999989</v>
      </c>
      <c r="G1734" s="5">
        <f t="shared" si="55"/>
        <v>1.1978260869565218</v>
      </c>
    </row>
    <row r="1735" spans="1:7" ht="13">
      <c r="A1735" s="4" t="s">
        <v>117</v>
      </c>
      <c r="B1735" s="1">
        <v>4.5999999999999996</v>
      </c>
      <c r="C1735" s="1">
        <v>565</v>
      </c>
      <c r="D1735" s="1" t="s">
        <v>11</v>
      </c>
      <c r="E1735" s="1" t="s">
        <v>9</v>
      </c>
      <c r="F1735" s="1">
        <f t="shared" si="54"/>
        <v>459.99999999999994</v>
      </c>
      <c r="G1735" s="5">
        <f t="shared" si="55"/>
        <v>1.2282608695652175</v>
      </c>
    </row>
    <row r="1736" spans="1:7" ht="13">
      <c r="A1736" s="4" t="s">
        <v>117</v>
      </c>
      <c r="B1736" s="1">
        <v>7.8</v>
      </c>
      <c r="C1736" s="1">
        <v>769</v>
      </c>
      <c r="D1736" s="1" t="s">
        <v>60</v>
      </c>
      <c r="E1736" s="1" t="s">
        <v>15</v>
      </c>
      <c r="F1736" s="1">
        <f t="shared" si="54"/>
        <v>780</v>
      </c>
      <c r="G1736" s="5">
        <f t="shared" si="55"/>
        <v>0.98589743589743595</v>
      </c>
    </row>
    <row r="1737" spans="1:7" ht="13">
      <c r="A1737" s="4" t="s">
        <v>117</v>
      </c>
      <c r="B1737" s="1">
        <v>7.8</v>
      </c>
      <c r="C1737" s="1">
        <v>1000</v>
      </c>
      <c r="D1737" s="1" t="s">
        <v>33</v>
      </c>
      <c r="E1737" s="1" t="s">
        <v>8</v>
      </c>
      <c r="F1737" s="1">
        <f t="shared" si="54"/>
        <v>780</v>
      </c>
      <c r="G1737" s="5">
        <f t="shared" si="55"/>
        <v>1.2820512820512822</v>
      </c>
    </row>
    <row r="1738" spans="1:7" ht="13">
      <c r="A1738" s="4" t="s">
        <v>117</v>
      </c>
      <c r="B1738" s="1">
        <v>6.3</v>
      </c>
      <c r="C1738" s="1">
        <v>680</v>
      </c>
      <c r="D1738" s="1" t="s">
        <v>40</v>
      </c>
      <c r="E1738" s="1" t="s">
        <v>18</v>
      </c>
      <c r="F1738" s="1">
        <f t="shared" si="54"/>
        <v>630</v>
      </c>
      <c r="G1738" s="5">
        <f t="shared" si="55"/>
        <v>1.0793650793650793</v>
      </c>
    </row>
    <row r="1739" spans="1:7" ht="13">
      <c r="A1739" s="4" t="s">
        <v>117</v>
      </c>
      <c r="B1739" s="1">
        <v>6.7</v>
      </c>
      <c r="C1739" s="1">
        <v>836</v>
      </c>
      <c r="D1739" s="1" t="s">
        <v>43</v>
      </c>
      <c r="E1739" s="1" t="s">
        <v>49</v>
      </c>
      <c r="F1739" s="1">
        <f t="shared" si="54"/>
        <v>670</v>
      </c>
      <c r="G1739" s="5">
        <f t="shared" si="55"/>
        <v>1.2477611940298508</v>
      </c>
    </row>
    <row r="1740" spans="1:7" ht="13">
      <c r="A1740" s="4" t="s">
        <v>117</v>
      </c>
      <c r="B1740" s="1">
        <v>4.5599999999999996</v>
      </c>
      <c r="C1740" s="1">
        <v>602</v>
      </c>
      <c r="D1740" s="1" t="s">
        <v>33</v>
      </c>
      <c r="E1740" s="1" t="s">
        <v>17</v>
      </c>
      <c r="F1740" s="1">
        <f t="shared" si="54"/>
        <v>455.99999999999994</v>
      </c>
      <c r="G1740" s="5">
        <f t="shared" si="55"/>
        <v>1.3201754385964914</v>
      </c>
    </row>
    <row r="1741" spans="1:7" ht="13">
      <c r="A1741" s="4" t="s">
        <v>117</v>
      </c>
      <c r="B1741" s="1">
        <v>5</v>
      </c>
      <c r="C1741" s="1">
        <v>718</v>
      </c>
      <c r="D1741" s="1" t="s">
        <v>55</v>
      </c>
      <c r="E1741" s="1" t="s">
        <v>21</v>
      </c>
      <c r="F1741" s="1">
        <f t="shared" si="54"/>
        <v>500</v>
      </c>
      <c r="G1741" s="5">
        <f t="shared" si="55"/>
        <v>1.4359999999999999</v>
      </c>
    </row>
    <row r="1742" spans="1:7" ht="13">
      <c r="A1742" s="4" t="s">
        <v>117</v>
      </c>
      <c r="B1742" s="1">
        <v>6.1</v>
      </c>
      <c r="C1742" s="1">
        <v>672</v>
      </c>
      <c r="D1742" s="1" t="s">
        <v>48</v>
      </c>
      <c r="E1742" s="1" t="s">
        <v>23</v>
      </c>
      <c r="F1742" s="1">
        <f t="shared" si="54"/>
        <v>610</v>
      </c>
      <c r="G1742" s="5">
        <f t="shared" si="55"/>
        <v>1.1016393442622952</v>
      </c>
    </row>
    <row r="1743" spans="1:7" ht="13">
      <c r="A1743" s="4" t="s">
        <v>117</v>
      </c>
      <c r="B1743" s="1">
        <v>4.8</v>
      </c>
      <c r="C1743" s="1">
        <v>562</v>
      </c>
      <c r="D1743" s="1" t="s">
        <v>39</v>
      </c>
      <c r="E1743" s="1" t="s">
        <v>16</v>
      </c>
      <c r="F1743" s="1">
        <f t="shared" si="54"/>
        <v>480</v>
      </c>
      <c r="G1743" s="5">
        <f t="shared" si="55"/>
        <v>1.1708333333333334</v>
      </c>
    </row>
    <row r="1744" spans="1:7" ht="13">
      <c r="A1744" s="4" t="s">
        <v>117</v>
      </c>
      <c r="B1744" s="1">
        <v>5.16</v>
      </c>
      <c r="C1744" s="1">
        <v>632</v>
      </c>
      <c r="D1744" s="1" t="s">
        <v>48</v>
      </c>
      <c r="E1744" s="1" t="s">
        <v>30</v>
      </c>
      <c r="F1744" s="1">
        <f t="shared" si="54"/>
        <v>516</v>
      </c>
      <c r="G1744" s="5">
        <f t="shared" si="55"/>
        <v>1.2248062015503876</v>
      </c>
    </row>
    <row r="1745" spans="1:7" ht="13">
      <c r="A1745" s="4" t="s">
        <v>117</v>
      </c>
      <c r="B1745" s="1">
        <v>6.15</v>
      </c>
      <c r="C1745" s="1">
        <v>789</v>
      </c>
      <c r="D1745" s="1" t="s">
        <v>11</v>
      </c>
      <c r="E1745" s="1" t="s">
        <v>15</v>
      </c>
      <c r="F1745" s="1">
        <f t="shared" si="54"/>
        <v>615</v>
      </c>
      <c r="G1745" s="5">
        <f t="shared" si="55"/>
        <v>1.2829268292682927</v>
      </c>
    </row>
    <row r="1746" spans="1:7" ht="13">
      <c r="A1746" s="4" t="s">
        <v>117</v>
      </c>
      <c r="B1746" s="1">
        <v>4.46</v>
      </c>
      <c r="C1746" s="1">
        <v>530</v>
      </c>
      <c r="D1746" s="1" t="s">
        <v>43</v>
      </c>
      <c r="E1746" s="1" t="s">
        <v>15</v>
      </c>
      <c r="F1746" s="1">
        <f t="shared" si="54"/>
        <v>446</v>
      </c>
      <c r="G1746" s="5">
        <f t="shared" si="55"/>
        <v>1.188340807174888</v>
      </c>
    </row>
    <row r="1747" spans="1:7" ht="13">
      <c r="A1747" s="4" t="s">
        <v>117</v>
      </c>
      <c r="B1747" s="1">
        <v>6</v>
      </c>
      <c r="C1747" s="1">
        <v>839</v>
      </c>
      <c r="D1747" s="1" t="s">
        <v>53</v>
      </c>
      <c r="E1747" s="1" t="s">
        <v>8</v>
      </c>
      <c r="F1747" s="1">
        <f t="shared" si="54"/>
        <v>600</v>
      </c>
      <c r="G1747" s="5">
        <f t="shared" si="55"/>
        <v>1.3983333333333334</v>
      </c>
    </row>
    <row r="1748" spans="1:7" ht="13">
      <c r="A1748" s="4" t="s">
        <v>117</v>
      </c>
      <c r="B1748" s="1">
        <v>3.48</v>
      </c>
      <c r="C1748" s="1">
        <v>449</v>
      </c>
      <c r="D1748" s="1" t="s">
        <v>38</v>
      </c>
      <c r="E1748" s="1" t="s">
        <v>7</v>
      </c>
      <c r="F1748" s="1">
        <f t="shared" si="54"/>
        <v>348</v>
      </c>
      <c r="G1748" s="5">
        <f t="shared" si="55"/>
        <v>1.2902298850574712</v>
      </c>
    </row>
    <row r="1749" spans="1:7" ht="13">
      <c r="A1749" s="4" t="s">
        <v>117</v>
      </c>
      <c r="B1749" s="1">
        <v>6.88</v>
      </c>
      <c r="C1749" s="1">
        <v>932</v>
      </c>
      <c r="D1749" s="1" t="s">
        <v>11</v>
      </c>
      <c r="E1749" s="1" t="s">
        <v>15</v>
      </c>
      <c r="F1749" s="1">
        <f t="shared" si="54"/>
        <v>688</v>
      </c>
      <c r="G1749" s="5">
        <f t="shared" si="55"/>
        <v>1.3546511627906976</v>
      </c>
    </row>
    <row r="1750" spans="1:7" ht="13">
      <c r="A1750" s="4" t="s">
        <v>117</v>
      </c>
      <c r="B1750" s="1">
        <v>3</v>
      </c>
      <c r="C1750" s="1">
        <v>330</v>
      </c>
      <c r="D1750" s="1" t="s">
        <v>11</v>
      </c>
      <c r="E1750" s="1" t="s">
        <v>10</v>
      </c>
      <c r="F1750" s="1">
        <f t="shared" si="54"/>
        <v>300</v>
      </c>
      <c r="G1750" s="5">
        <f t="shared" si="55"/>
        <v>1.1000000000000001</v>
      </c>
    </row>
    <row r="1751" spans="1:7" ht="13">
      <c r="A1751" s="4" t="s">
        <v>117</v>
      </c>
      <c r="B1751" s="1">
        <v>4.3499999999999996</v>
      </c>
      <c r="C1751" s="1">
        <v>349</v>
      </c>
      <c r="D1751" s="1" t="s">
        <v>11</v>
      </c>
      <c r="E1751" s="1" t="s">
        <v>15</v>
      </c>
      <c r="F1751" s="1">
        <f t="shared" si="54"/>
        <v>434.99999999999994</v>
      </c>
      <c r="G1751" s="5">
        <f t="shared" si="55"/>
        <v>0.80229885057471273</v>
      </c>
    </row>
    <row r="1752" spans="1:7" ht="13">
      <c r="A1752" s="4" t="s">
        <v>117</v>
      </c>
      <c r="B1752" s="1">
        <v>5.8</v>
      </c>
      <c r="C1752" s="1">
        <v>687</v>
      </c>
      <c r="D1752" s="1" t="s">
        <v>39</v>
      </c>
      <c r="E1752" s="1" t="s">
        <v>10</v>
      </c>
      <c r="F1752" s="1">
        <f t="shared" si="54"/>
        <v>580</v>
      </c>
      <c r="G1752" s="5">
        <f t="shared" si="55"/>
        <v>1.1844827586206896</v>
      </c>
    </row>
    <row r="1753" spans="1:7" ht="13">
      <c r="A1753" s="4" t="s">
        <v>117</v>
      </c>
      <c r="B1753" s="1">
        <v>5.81</v>
      </c>
      <c r="C1753" s="1">
        <v>751</v>
      </c>
      <c r="D1753" s="1" t="s">
        <v>38</v>
      </c>
      <c r="E1753" s="1" t="s">
        <v>8</v>
      </c>
      <c r="F1753" s="1">
        <f t="shared" si="54"/>
        <v>581</v>
      </c>
      <c r="G1753" s="5">
        <f t="shared" si="55"/>
        <v>1.2925989672977625</v>
      </c>
    </row>
    <row r="1754" spans="1:7" ht="13">
      <c r="A1754" s="4" t="s">
        <v>117</v>
      </c>
      <c r="B1754" s="1">
        <v>8.6999999999999993</v>
      </c>
      <c r="C1754" s="1">
        <v>1120</v>
      </c>
      <c r="D1754" s="1" t="s">
        <v>45</v>
      </c>
      <c r="E1754" s="1" t="s">
        <v>20</v>
      </c>
      <c r="F1754" s="1">
        <f t="shared" si="54"/>
        <v>869.99999999999989</v>
      </c>
      <c r="G1754" s="5">
        <f t="shared" si="55"/>
        <v>1.2873563218390807</v>
      </c>
    </row>
    <row r="1755" spans="1:7" ht="13">
      <c r="A1755" s="4" t="s">
        <v>117</v>
      </c>
      <c r="B1755" s="1">
        <v>6.09</v>
      </c>
      <c r="C1755" s="1">
        <v>826</v>
      </c>
      <c r="D1755" s="1" t="s">
        <v>44</v>
      </c>
      <c r="E1755" s="1" t="s">
        <v>20</v>
      </c>
      <c r="F1755" s="1">
        <f t="shared" si="54"/>
        <v>609</v>
      </c>
      <c r="G1755" s="5">
        <f t="shared" si="55"/>
        <v>1.3563218390804597</v>
      </c>
    </row>
    <row r="1756" spans="1:7" ht="13">
      <c r="A1756" s="4" t="s">
        <v>117</v>
      </c>
      <c r="B1756" s="1">
        <v>6.5</v>
      </c>
      <c r="C1756" s="1">
        <v>811</v>
      </c>
      <c r="D1756" s="1" t="s">
        <v>101</v>
      </c>
      <c r="E1756" s="1" t="s">
        <v>20</v>
      </c>
      <c r="F1756" s="1">
        <f t="shared" si="54"/>
        <v>650</v>
      </c>
      <c r="G1756" s="5">
        <f t="shared" si="55"/>
        <v>1.2476923076923077</v>
      </c>
    </row>
    <row r="1757" spans="1:7" ht="13">
      <c r="A1757" s="4" t="s">
        <v>117</v>
      </c>
      <c r="B1757" s="1">
        <v>20</v>
      </c>
      <c r="C1757" s="1">
        <v>1740</v>
      </c>
      <c r="D1757" s="1" t="s">
        <v>33</v>
      </c>
      <c r="E1757" s="1" t="s">
        <v>20</v>
      </c>
      <c r="F1757" s="1">
        <f t="shared" si="54"/>
        <v>2000</v>
      </c>
      <c r="G1757" s="5">
        <f t="shared" si="55"/>
        <v>0.87</v>
      </c>
    </row>
    <row r="1758" spans="1:7" ht="13">
      <c r="A1758" s="4" t="s">
        <v>117</v>
      </c>
      <c r="B1758" s="1">
        <v>4.2</v>
      </c>
      <c r="C1758" s="1">
        <v>557</v>
      </c>
      <c r="D1758" s="1" t="s">
        <v>57</v>
      </c>
      <c r="E1758" s="1" t="s">
        <v>26</v>
      </c>
      <c r="F1758" s="1">
        <f t="shared" si="54"/>
        <v>420</v>
      </c>
      <c r="G1758" s="5">
        <f t="shared" si="55"/>
        <v>1.3261904761904761</v>
      </c>
    </row>
    <row r="1759" spans="1:7" ht="13">
      <c r="A1759" s="4" t="s">
        <v>117</v>
      </c>
      <c r="B1759" s="1">
        <v>9.1300000000000008</v>
      </c>
      <c r="C1759" s="1">
        <v>1.01</v>
      </c>
      <c r="D1759" s="1" t="s">
        <v>11</v>
      </c>
      <c r="E1759" s="1" t="s">
        <v>19</v>
      </c>
      <c r="F1759" s="1">
        <f t="shared" si="54"/>
        <v>913.00000000000011</v>
      </c>
      <c r="G1759" s="5">
        <f t="shared" si="55"/>
        <v>1.1062431544359254E-3</v>
      </c>
    </row>
    <row r="1760" spans="1:7" ht="13">
      <c r="A1760" s="4" t="s">
        <v>117</v>
      </c>
      <c r="B1760" s="1">
        <v>7.74</v>
      </c>
      <c r="C1760" s="1">
        <v>972</v>
      </c>
      <c r="D1760" s="1" t="s">
        <v>11</v>
      </c>
      <c r="E1760" s="1" t="s">
        <v>23</v>
      </c>
      <c r="F1760" s="1">
        <f t="shared" ref="F1760:F1823" si="56">B1760*100</f>
        <v>774</v>
      </c>
      <c r="G1760" s="5">
        <f t="shared" si="55"/>
        <v>1.2558139534883721</v>
      </c>
    </row>
    <row r="1761" spans="1:7" ht="13">
      <c r="A1761" s="4" t="s">
        <v>117</v>
      </c>
      <c r="B1761" s="1">
        <v>7.29</v>
      </c>
      <c r="C1761" s="1">
        <v>958</v>
      </c>
      <c r="D1761" s="1" t="s">
        <v>33</v>
      </c>
      <c r="E1761" s="1" t="s">
        <v>17</v>
      </c>
      <c r="F1761" s="1">
        <f t="shared" si="56"/>
        <v>729</v>
      </c>
      <c r="G1761" s="5">
        <f t="shared" si="55"/>
        <v>1.3141289437585735</v>
      </c>
    </row>
    <row r="1762" spans="1:7" ht="13">
      <c r="A1762" s="4" t="s">
        <v>117</v>
      </c>
      <c r="B1762" s="1">
        <v>5.0999999999999996</v>
      </c>
      <c r="C1762" s="1">
        <v>592</v>
      </c>
      <c r="D1762" s="1" t="s">
        <v>33</v>
      </c>
      <c r="E1762" s="1" t="s">
        <v>15</v>
      </c>
      <c r="F1762" s="1">
        <f t="shared" si="56"/>
        <v>509.99999999999994</v>
      </c>
      <c r="G1762" s="5">
        <f t="shared" si="55"/>
        <v>1.1607843137254903</v>
      </c>
    </row>
    <row r="1763" spans="1:7" ht="13">
      <c r="A1763" s="4" t="s">
        <v>117</v>
      </c>
      <c r="B1763" s="1">
        <v>8.4</v>
      </c>
      <c r="C1763" s="1">
        <v>1067</v>
      </c>
      <c r="D1763" s="1" t="s">
        <v>33</v>
      </c>
      <c r="E1763" s="1" t="s">
        <v>22</v>
      </c>
      <c r="F1763" s="1">
        <f t="shared" si="56"/>
        <v>840</v>
      </c>
      <c r="G1763" s="5">
        <f t="shared" si="55"/>
        <v>1.2702380952380952</v>
      </c>
    </row>
    <row r="1764" spans="1:7" ht="13">
      <c r="A1764" s="4" t="s">
        <v>117</v>
      </c>
      <c r="B1764" s="1">
        <v>6.7</v>
      </c>
      <c r="C1764" s="1">
        <v>909</v>
      </c>
      <c r="D1764" s="1" t="s">
        <v>11</v>
      </c>
      <c r="E1764" s="1" t="s">
        <v>8</v>
      </c>
      <c r="F1764" s="1">
        <f t="shared" si="56"/>
        <v>670</v>
      </c>
      <c r="G1764" s="5">
        <f t="shared" si="55"/>
        <v>1.3567164179104478</v>
      </c>
    </row>
    <row r="1765" spans="1:7" ht="13">
      <c r="A1765" s="4" t="s">
        <v>117</v>
      </c>
      <c r="B1765" s="1">
        <v>8.6999999999999993</v>
      </c>
      <c r="C1765" s="1">
        <v>1049</v>
      </c>
      <c r="D1765" s="1" t="s">
        <v>11</v>
      </c>
      <c r="E1765" s="1" t="s">
        <v>26</v>
      </c>
      <c r="F1765" s="1">
        <f t="shared" si="56"/>
        <v>869.99999999999989</v>
      </c>
      <c r="G1765" s="5">
        <f t="shared" si="55"/>
        <v>1.2057471264367818</v>
      </c>
    </row>
    <row r="1766" spans="1:7" ht="13">
      <c r="A1766" s="4" t="s">
        <v>117</v>
      </c>
      <c r="B1766" s="1">
        <v>9.3000000000000007</v>
      </c>
      <c r="C1766" s="1">
        <v>1126</v>
      </c>
      <c r="D1766" s="1" t="s">
        <v>45</v>
      </c>
      <c r="E1766" s="1" t="s">
        <v>10</v>
      </c>
      <c r="F1766" s="1">
        <f t="shared" si="56"/>
        <v>930.00000000000011</v>
      </c>
      <c r="G1766" s="5">
        <f t="shared" si="55"/>
        <v>1.210752688172043</v>
      </c>
    </row>
    <row r="1767" spans="1:7" ht="13">
      <c r="A1767" s="4" t="s">
        <v>117</v>
      </c>
      <c r="B1767" s="1">
        <v>7.44</v>
      </c>
      <c r="C1767" s="1">
        <v>756</v>
      </c>
      <c r="D1767" s="1" t="s">
        <v>35</v>
      </c>
      <c r="E1767" s="1" t="s">
        <v>18</v>
      </c>
      <c r="F1767" s="1">
        <f t="shared" si="56"/>
        <v>744</v>
      </c>
      <c r="G1767" s="5">
        <f t="shared" si="55"/>
        <v>1.0161290322580645</v>
      </c>
    </row>
    <row r="1768" spans="1:7" ht="13">
      <c r="A1768" s="4" t="s">
        <v>117</v>
      </c>
      <c r="B1768" s="1">
        <v>7.56</v>
      </c>
      <c r="C1768" s="1">
        <v>1000</v>
      </c>
      <c r="D1768" s="1" t="s">
        <v>11</v>
      </c>
      <c r="E1768" s="1" t="s">
        <v>7</v>
      </c>
      <c r="F1768" s="1">
        <f t="shared" si="56"/>
        <v>756</v>
      </c>
      <c r="G1768" s="5">
        <f t="shared" si="55"/>
        <v>1.3227513227513228</v>
      </c>
    </row>
    <row r="1769" spans="1:7" ht="13">
      <c r="A1769" s="4" t="s">
        <v>117</v>
      </c>
      <c r="B1769" s="1">
        <v>5.22</v>
      </c>
      <c r="C1769" s="1">
        <v>592</v>
      </c>
      <c r="D1769" s="1" t="s">
        <v>11</v>
      </c>
      <c r="E1769" s="1" t="s">
        <v>31</v>
      </c>
      <c r="F1769" s="1">
        <f t="shared" si="56"/>
        <v>522</v>
      </c>
      <c r="G1769" s="5">
        <f t="shared" si="55"/>
        <v>1.1340996168582376</v>
      </c>
    </row>
    <row r="1770" spans="1:7" ht="13">
      <c r="A1770" s="4" t="s">
        <v>117</v>
      </c>
      <c r="B1770" s="1">
        <v>6.1</v>
      </c>
      <c r="C1770" s="1">
        <v>780</v>
      </c>
      <c r="D1770" s="1" t="s">
        <v>11</v>
      </c>
      <c r="E1770" s="1" t="s">
        <v>15</v>
      </c>
      <c r="F1770" s="1">
        <f t="shared" si="56"/>
        <v>610</v>
      </c>
      <c r="G1770" s="5">
        <f t="shared" si="55"/>
        <v>1.278688524590164</v>
      </c>
    </row>
    <row r="1771" spans="1:7" ht="13">
      <c r="A1771" s="4" t="s">
        <v>117</v>
      </c>
      <c r="B1771" s="1">
        <v>8.6</v>
      </c>
      <c r="C1771" s="1">
        <v>1040</v>
      </c>
      <c r="D1771" s="1" t="s">
        <v>33</v>
      </c>
      <c r="E1771" s="1" t="s">
        <v>26</v>
      </c>
      <c r="F1771" s="1">
        <f t="shared" si="56"/>
        <v>860</v>
      </c>
      <c r="G1771" s="5">
        <f t="shared" si="55"/>
        <v>1.2093023255813953</v>
      </c>
    </row>
    <row r="1772" spans="1:7" ht="13">
      <c r="A1772" s="4" t="s">
        <v>117</v>
      </c>
      <c r="B1772" s="1">
        <v>4.3499999999999996</v>
      </c>
      <c r="C1772" s="1">
        <v>717</v>
      </c>
      <c r="D1772" s="1" t="s">
        <v>43</v>
      </c>
      <c r="E1772" s="1" t="s">
        <v>30</v>
      </c>
      <c r="F1772" s="1">
        <f t="shared" si="56"/>
        <v>434.99999999999994</v>
      </c>
      <c r="G1772" s="5">
        <f t="shared" si="55"/>
        <v>1.6482758620689657</v>
      </c>
    </row>
    <row r="1773" spans="1:7" ht="13">
      <c r="A1773" s="4" t="s">
        <v>117</v>
      </c>
      <c r="B1773" s="1">
        <v>4.9800000000000004</v>
      </c>
      <c r="C1773" s="1">
        <v>561</v>
      </c>
      <c r="D1773" s="1" t="s">
        <v>11</v>
      </c>
      <c r="E1773" s="1" t="s">
        <v>25</v>
      </c>
      <c r="F1773" s="1">
        <f t="shared" si="56"/>
        <v>498.00000000000006</v>
      </c>
      <c r="G1773" s="5">
        <f t="shared" si="55"/>
        <v>1.1265060240963853</v>
      </c>
    </row>
    <row r="1774" spans="1:7" ht="13">
      <c r="A1774" s="4" t="s">
        <v>117</v>
      </c>
      <c r="B1774" s="1">
        <v>5.2</v>
      </c>
      <c r="C1774" s="1">
        <v>610</v>
      </c>
      <c r="D1774" s="1" t="s">
        <v>45</v>
      </c>
      <c r="E1774" s="1" t="s">
        <v>15</v>
      </c>
      <c r="F1774" s="1">
        <f t="shared" si="56"/>
        <v>520</v>
      </c>
      <c r="G1774" s="5">
        <f t="shared" si="55"/>
        <v>1.1730769230769231</v>
      </c>
    </row>
    <row r="1775" spans="1:7" ht="13">
      <c r="A1775" s="4" t="s">
        <v>117</v>
      </c>
      <c r="B1775" s="1">
        <v>9.57</v>
      </c>
      <c r="C1775" s="1">
        <v>1045</v>
      </c>
      <c r="D1775" s="1" t="s">
        <v>11</v>
      </c>
      <c r="E1775" s="1" t="s">
        <v>10</v>
      </c>
      <c r="F1775" s="1">
        <f t="shared" si="56"/>
        <v>957</v>
      </c>
      <c r="G1775" s="5">
        <f t="shared" si="55"/>
        <v>1.0919540229885059</v>
      </c>
    </row>
    <row r="1776" spans="1:7" ht="13">
      <c r="A1776" s="4" t="s">
        <v>117</v>
      </c>
      <c r="B1776" s="1">
        <v>6.02</v>
      </c>
      <c r="C1776" s="1">
        <v>792</v>
      </c>
      <c r="D1776" s="1" t="s">
        <v>42</v>
      </c>
      <c r="E1776" s="1" t="s">
        <v>14</v>
      </c>
      <c r="F1776" s="1">
        <f t="shared" si="56"/>
        <v>602</v>
      </c>
      <c r="G1776" s="5">
        <f t="shared" si="55"/>
        <v>1.3156146179401993</v>
      </c>
    </row>
    <row r="1777" spans="1:7" ht="13">
      <c r="A1777" s="4" t="s">
        <v>117</v>
      </c>
      <c r="B1777" s="1">
        <v>6.9</v>
      </c>
      <c r="C1777" s="1">
        <v>913</v>
      </c>
      <c r="D1777" s="1" t="s">
        <v>39</v>
      </c>
      <c r="E1777" s="1" t="s">
        <v>16</v>
      </c>
      <c r="F1777" s="1">
        <f t="shared" si="56"/>
        <v>690</v>
      </c>
      <c r="G1777" s="5">
        <f t="shared" si="55"/>
        <v>1.3231884057971015</v>
      </c>
    </row>
    <row r="1778" spans="1:7" ht="13">
      <c r="A1778" s="4" t="s">
        <v>117</v>
      </c>
      <c r="B1778" s="1">
        <v>7.8</v>
      </c>
      <c r="C1778" s="1">
        <v>935</v>
      </c>
      <c r="D1778" s="1" t="s">
        <v>40</v>
      </c>
      <c r="E1778" s="1" t="s">
        <v>15</v>
      </c>
      <c r="F1778" s="1">
        <f t="shared" si="56"/>
        <v>780</v>
      </c>
      <c r="G1778" s="5">
        <f t="shared" si="55"/>
        <v>1.1987179487179487</v>
      </c>
    </row>
    <row r="1779" spans="1:7" ht="13">
      <c r="A1779" s="4" t="s">
        <v>117</v>
      </c>
      <c r="B1779" s="1">
        <v>6</v>
      </c>
      <c r="C1779" s="1">
        <v>593</v>
      </c>
      <c r="D1779" s="1" t="s">
        <v>40</v>
      </c>
      <c r="E1779" s="1" t="s">
        <v>8</v>
      </c>
      <c r="F1779" s="1">
        <f t="shared" si="56"/>
        <v>600</v>
      </c>
      <c r="G1779" s="5">
        <f t="shared" si="55"/>
        <v>0.98833333333333329</v>
      </c>
    </row>
    <row r="1780" spans="1:7" ht="13">
      <c r="A1780" s="4" t="s">
        <v>117</v>
      </c>
      <c r="B1780" s="1">
        <v>6.96</v>
      </c>
      <c r="C1780" s="1">
        <v>880</v>
      </c>
      <c r="D1780" s="1" t="s">
        <v>38</v>
      </c>
      <c r="E1780" s="1" t="s">
        <v>16</v>
      </c>
      <c r="F1780" s="1">
        <f t="shared" si="56"/>
        <v>696</v>
      </c>
      <c r="G1780" s="5">
        <f t="shared" si="55"/>
        <v>1.264367816091954</v>
      </c>
    </row>
    <row r="1781" spans="1:7" ht="13">
      <c r="A1781" s="4" t="s">
        <v>117</v>
      </c>
      <c r="B1781" s="1">
        <v>7.4</v>
      </c>
      <c r="C1781" s="1">
        <v>948</v>
      </c>
      <c r="D1781" s="1" t="s">
        <v>11</v>
      </c>
      <c r="E1781" s="1" t="s">
        <v>10</v>
      </c>
      <c r="F1781" s="1">
        <f t="shared" si="56"/>
        <v>740</v>
      </c>
      <c r="G1781" s="5">
        <f t="shared" si="55"/>
        <v>1.2810810810810811</v>
      </c>
    </row>
    <row r="1782" spans="1:7" ht="13">
      <c r="A1782" s="4" t="s">
        <v>117</v>
      </c>
      <c r="B1782" s="1">
        <v>7.29</v>
      </c>
      <c r="C1782" s="1">
        <v>843</v>
      </c>
      <c r="D1782" s="1" t="s">
        <v>11</v>
      </c>
      <c r="E1782" s="1" t="s">
        <v>27</v>
      </c>
      <c r="F1782" s="1">
        <f t="shared" si="56"/>
        <v>729</v>
      </c>
      <c r="G1782" s="5">
        <f t="shared" si="55"/>
        <v>1.1563786008230452</v>
      </c>
    </row>
    <row r="1783" spans="1:7" ht="13">
      <c r="A1783" s="4" t="s">
        <v>117</v>
      </c>
      <c r="B1783" s="1">
        <v>7.7</v>
      </c>
      <c r="C1783" s="1">
        <v>979</v>
      </c>
      <c r="D1783" s="1" t="s">
        <v>33</v>
      </c>
      <c r="E1783" s="1" t="s">
        <v>16</v>
      </c>
      <c r="F1783" s="1">
        <f t="shared" si="56"/>
        <v>770</v>
      </c>
      <c r="G1783" s="5">
        <f t="shared" si="55"/>
        <v>1.2714285714285714</v>
      </c>
    </row>
    <row r="1784" spans="1:7" ht="13">
      <c r="A1784" s="4" t="s">
        <v>117</v>
      </c>
      <c r="B1784" s="1">
        <v>5.0999999999999996</v>
      </c>
      <c r="C1784" s="1">
        <v>612</v>
      </c>
      <c r="D1784" s="1" t="s">
        <v>40</v>
      </c>
      <c r="E1784" s="1" t="s">
        <v>15</v>
      </c>
      <c r="F1784" s="1">
        <f t="shared" si="56"/>
        <v>509.99999999999994</v>
      </c>
      <c r="G1784" s="5">
        <f t="shared" si="55"/>
        <v>1.2000000000000002</v>
      </c>
    </row>
    <row r="1785" spans="1:7" ht="13">
      <c r="A1785" s="4" t="s">
        <v>117</v>
      </c>
      <c r="B1785" s="1">
        <v>7.2</v>
      </c>
      <c r="C1785" s="1">
        <v>805</v>
      </c>
      <c r="D1785" s="1" t="s">
        <v>33</v>
      </c>
      <c r="E1785" s="1" t="s">
        <v>12</v>
      </c>
      <c r="F1785" s="1">
        <f t="shared" si="56"/>
        <v>720</v>
      </c>
      <c r="G1785" s="5">
        <f t="shared" si="55"/>
        <v>1.1180555555555556</v>
      </c>
    </row>
    <row r="1786" spans="1:7" ht="13">
      <c r="A1786" s="4" t="s">
        <v>117</v>
      </c>
      <c r="B1786" s="1">
        <v>6.1</v>
      </c>
      <c r="C1786" s="1">
        <v>740</v>
      </c>
      <c r="D1786" s="1" t="s">
        <v>33</v>
      </c>
      <c r="E1786" s="1" t="s">
        <v>9</v>
      </c>
      <c r="F1786" s="1">
        <f t="shared" si="56"/>
        <v>610</v>
      </c>
      <c r="G1786" s="5">
        <f t="shared" si="55"/>
        <v>1.2131147540983607</v>
      </c>
    </row>
    <row r="1787" spans="1:7" ht="13">
      <c r="A1787" s="4" t="s">
        <v>117</v>
      </c>
      <c r="B1787" s="1">
        <v>6.23</v>
      </c>
      <c r="C1787" s="1">
        <v>429</v>
      </c>
      <c r="D1787" s="1" t="s">
        <v>11</v>
      </c>
      <c r="E1787" s="1" t="s">
        <v>17</v>
      </c>
      <c r="F1787" s="1">
        <f t="shared" si="56"/>
        <v>623</v>
      </c>
      <c r="G1787" s="5">
        <f t="shared" si="55"/>
        <v>0.6886035313001605</v>
      </c>
    </row>
    <row r="1788" spans="1:7" ht="13">
      <c r="A1788" s="4" t="s">
        <v>117</v>
      </c>
      <c r="B1788" s="1">
        <v>5.22</v>
      </c>
      <c r="C1788" s="1">
        <v>698</v>
      </c>
      <c r="D1788" s="1" t="s">
        <v>43</v>
      </c>
      <c r="E1788" s="1" t="s">
        <v>8</v>
      </c>
      <c r="F1788" s="1">
        <f t="shared" si="56"/>
        <v>522</v>
      </c>
      <c r="G1788" s="5">
        <f t="shared" si="55"/>
        <v>1.3371647509578544</v>
      </c>
    </row>
    <row r="1789" spans="1:7" ht="13">
      <c r="A1789" s="4" t="s">
        <v>117</v>
      </c>
      <c r="B1789" s="1">
        <v>6.02</v>
      </c>
      <c r="C1789" s="1">
        <v>779</v>
      </c>
      <c r="D1789" s="1" t="s">
        <v>38</v>
      </c>
      <c r="E1789" s="1" t="s">
        <v>8</v>
      </c>
      <c r="F1789" s="1">
        <f t="shared" si="56"/>
        <v>602</v>
      </c>
      <c r="G1789" s="5">
        <f t="shared" si="55"/>
        <v>1.2940199335548173</v>
      </c>
    </row>
    <row r="1790" spans="1:7" ht="13">
      <c r="A1790" s="4" t="s">
        <v>117</v>
      </c>
      <c r="B1790" s="1">
        <v>8.2650000000000006</v>
      </c>
      <c r="C1790" s="1">
        <v>969</v>
      </c>
      <c r="D1790" s="1" t="s">
        <v>43</v>
      </c>
      <c r="E1790" s="1" t="s">
        <v>18</v>
      </c>
      <c r="F1790" s="1">
        <f t="shared" si="56"/>
        <v>826.5</v>
      </c>
      <c r="G1790" s="5">
        <f t="shared" si="55"/>
        <v>1.1724137931034482</v>
      </c>
    </row>
    <row r="1791" spans="1:7" ht="13">
      <c r="A1791" s="4" t="s">
        <v>117</v>
      </c>
      <c r="B1791" s="1">
        <v>6.4</v>
      </c>
      <c r="C1791" s="1">
        <v>853</v>
      </c>
      <c r="D1791" s="1" t="s">
        <v>11</v>
      </c>
      <c r="E1791" s="1" t="s">
        <v>8</v>
      </c>
      <c r="F1791" s="1">
        <f t="shared" si="56"/>
        <v>640</v>
      </c>
      <c r="G1791" s="5">
        <f t="shared" si="55"/>
        <v>1.3328125</v>
      </c>
    </row>
    <row r="1792" spans="1:7" ht="13">
      <c r="A1792" s="4" t="s">
        <v>117</v>
      </c>
      <c r="B1792" s="1">
        <v>7.5</v>
      </c>
      <c r="C1792" s="1">
        <v>940</v>
      </c>
      <c r="D1792" s="1" t="s">
        <v>39</v>
      </c>
      <c r="E1792" s="1" t="s">
        <v>9</v>
      </c>
      <c r="F1792" s="1">
        <f t="shared" si="56"/>
        <v>750</v>
      </c>
      <c r="G1792" s="5">
        <f t="shared" si="55"/>
        <v>1.2533333333333334</v>
      </c>
    </row>
    <row r="1793" spans="1:7" ht="13">
      <c r="A1793" s="4" t="s">
        <v>117</v>
      </c>
      <c r="B1793" s="1">
        <v>5.2</v>
      </c>
      <c r="C1793" s="1">
        <v>641</v>
      </c>
      <c r="D1793" s="1" t="s">
        <v>47</v>
      </c>
      <c r="E1793" s="1" t="s">
        <v>26</v>
      </c>
      <c r="F1793" s="1">
        <f t="shared" si="56"/>
        <v>520</v>
      </c>
      <c r="G1793" s="5">
        <f t="shared" si="55"/>
        <v>1.2326923076923078</v>
      </c>
    </row>
    <row r="1794" spans="1:7" ht="13">
      <c r="A1794" s="4" t="s">
        <v>117</v>
      </c>
      <c r="B1794" s="1">
        <v>7.7</v>
      </c>
      <c r="C1794" s="1">
        <v>864</v>
      </c>
      <c r="D1794" s="1" t="s">
        <v>37</v>
      </c>
      <c r="E1794" s="1" t="s">
        <v>26</v>
      </c>
      <c r="F1794" s="1">
        <f t="shared" si="56"/>
        <v>770</v>
      </c>
      <c r="G1794" s="5">
        <f t="shared" ref="G1794:G1857" si="57">C1794/F1794</f>
        <v>1.122077922077922</v>
      </c>
    </row>
    <row r="1795" spans="1:7" ht="13">
      <c r="A1795" s="4" t="s">
        <v>117</v>
      </c>
      <c r="B1795" s="1">
        <v>6.72</v>
      </c>
      <c r="C1795" s="1">
        <v>762</v>
      </c>
      <c r="D1795" s="1" t="s">
        <v>39</v>
      </c>
      <c r="E1795" s="1" t="s">
        <v>25</v>
      </c>
      <c r="F1795" s="1">
        <f t="shared" si="56"/>
        <v>672</v>
      </c>
      <c r="G1795" s="5">
        <f t="shared" si="57"/>
        <v>1.1339285714285714</v>
      </c>
    </row>
    <row r="1796" spans="1:7" ht="13">
      <c r="A1796" s="4" t="s">
        <v>117</v>
      </c>
      <c r="B1796" s="1">
        <v>6.23</v>
      </c>
      <c r="C1796" s="1">
        <v>732</v>
      </c>
      <c r="D1796" s="1" t="s">
        <v>11</v>
      </c>
      <c r="E1796" s="1" t="s">
        <v>12</v>
      </c>
      <c r="F1796" s="1">
        <f t="shared" si="56"/>
        <v>623</v>
      </c>
      <c r="G1796" s="5">
        <f t="shared" si="57"/>
        <v>1.174959871589085</v>
      </c>
    </row>
    <row r="1797" spans="1:7" ht="13">
      <c r="A1797" s="4" t="s">
        <v>117</v>
      </c>
      <c r="B1797" s="1">
        <v>5.2</v>
      </c>
      <c r="C1797" s="1">
        <v>610</v>
      </c>
      <c r="D1797" s="1" t="s">
        <v>53</v>
      </c>
      <c r="E1797" s="1" t="s">
        <v>15</v>
      </c>
      <c r="F1797" s="1">
        <f t="shared" si="56"/>
        <v>520</v>
      </c>
      <c r="G1797" s="5">
        <f t="shared" si="57"/>
        <v>1.1730769230769231</v>
      </c>
    </row>
    <row r="1798" spans="1:7" ht="13">
      <c r="A1798" s="4" t="s">
        <v>117</v>
      </c>
      <c r="B1798" s="1">
        <v>9.57</v>
      </c>
      <c r="C1798" s="1">
        <v>1055</v>
      </c>
      <c r="D1798" s="1" t="s">
        <v>11</v>
      </c>
      <c r="E1798" s="1" t="s">
        <v>29</v>
      </c>
      <c r="F1798" s="1">
        <f t="shared" si="56"/>
        <v>957</v>
      </c>
      <c r="G1798" s="5">
        <f t="shared" si="57"/>
        <v>1.1024033437826541</v>
      </c>
    </row>
    <row r="1799" spans="1:7" ht="13">
      <c r="A1799" s="4" t="s">
        <v>117</v>
      </c>
      <c r="B1799" s="1">
        <v>7.6</v>
      </c>
      <c r="C1799" s="1">
        <v>851</v>
      </c>
      <c r="D1799" s="1" t="s">
        <v>33</v>
      </c>
      <c r="E1799" s="1" t="s">
        <v>17</v>
      </c>
      <c r="F1799" s="1">
        <f t="shared" si="56"/>
        <v>760</v>
      </c>
      <c r="G1799" s="5">
        <f t="shared" si="57"/>
        <v>1.1197368421052631</v>
      </c>
    </row>
    <row r="1800" spans="1:7" ht="13">
      <c r="A1800" s="4" t="s">
        <v>117</v>
      </c>
      <c r="B1800" s="1">
        <v>7.8</v>
      </c>
      <c r="C1800" s="1">
        <v>961</v>
      </c>
      <c r="D1800" s="1" t="s">
        <v>11</v>
      </c>
      <c r="E1800" s="1" t="s">
        <v>8</v>
      </c>
      <c r="F1800" s="1">
        <f t="shared" si="56"/>
        <v>780</v>
      </c>
      <c r="G1800" s="5">
        <f t="shared" si="57"/>
        <v>1.2320512820512821</v>
      </c>
    </row>
    <row r="1801" spans="1:7" ht="13">
      <c r="A1801" s="4" t="s">
        <v>117</v>
      </c>
      <c r="B1801" s="1">
        <v>2.4</v>
      </c>
      <c r="C1801" s="1">
        <v>409</v>
      </c>
      <c r="D1801" s="1" t="s">
        <v>43</v>
      </c>
      <c r="E1801" s="1" t="s">
        <v>9</v>
      </c>
      <c r="F1801" s="1">
        <f t="shared" si="56"/>
        <v>240</v>
      </c>
      <c r="G1801" s="5">
        <f t="shared" si="57"/>
        <v>1.7041666666666666</v>
      </c>
    </row>
    <row r="1802" spans="1:7" ht="13">
      <c r="A1802" s="4" t="s">
        <v>117</v>
      </c>
      <c r="B1802" s="1">
        <v>5.14</v>
      </c>
      <c r="C1802" s="1">
        <v>603</v>
      </c>
      <c r="D1802" s="1" t="s">
        <v>35</v>
      </c>
      <c r="E1802" s="1" t="s">
        <v>21</v>
      </c>
      <c r="F1802" s="1">
        <f t="shared" si="56"/>
        <v>514</v>
      </c>
      <c r="G1802" s="5">
        <f t="shared" si="57"/>
        <v>1.1731517509727627</v>
      </c>
    </row>
    <row r="1803" spans="1:7" ht="13">
      <c r="A1803" s="4" t="s">
        <v>117</v>
      </c>
      <c r="B1803" s="1">
        <v>7.74</v>
      </c>
      <c r="C1803" s="1">
        <v>948.43</v>
      </c>
      <c r="D1803" s="1" t="s">
        <v>37</v>
      </c>
      <c r="E1803" s="1" t="s">
        <v>7</v>
      </c>
      <c r="F1803" s="1">
        <f t="shared" si="56"/>
        <v>774</v>
      </c>
      <c r="G1803" s="5">
        <f t="shared" si="57"/>
        <v>1.2253617571059432</v>
      </c>
    </row>
    <row r="1804" spans="1:7" ht="13">
      <c r="A1804" s="4" t="s">
        <v>117</v>
      </c>
      <c r="B1804" s="1">
        <v>5.5</v>
      </c>
      <c r="C1804" s="1">
        <v>766</v>
      </c>
      <c r="D1804" s="1" t="s">
        <v>11</v>
      </c>
      <c r="E1804" s="1" t="s">
        <v>10</v>
      </c>
      <c r="F1804" s="1">
        <f t="shared" si="56"/>
        <v>550</v>
      </c>
      <c r="G1804" s="5">
        <f t="shared" si="57"/>
        <v>1.3927272727272728</v>
      </c>
    </row>
    <row r="1805" spans="1:7" ht="13">
      <c r="A1805" s="4" t="s">
        <v>117</v>
      </c>
      <c r="B1805" s="1">
        <v>7.7</v>
      </c>
      <c r="C1805" s="1">
        <v>938</v>
      </c>
      <c r="D1805" s="1" t="s">
        <v>40</v>
      </c>
      <c r="E1805" s="1" t="s">
        <v>23</v>
      </c>
      <c r="F1805" s="1">
        <f t="shared" si="56"/>
        <v>770</v>
      </c>
      <c r="G1805" s="5">
        <f t="shared" si="57"/>
        <v>1.2181818181818183</v>
      </c>
    </row>
    <row r="1806" spans="1:7" ht="13">
      <c r="A1806" s="4" t="s">
        <v>117</v>
      </c>
      <c r="B1806" s="1">
        <v>9</v>
      </c>
      <c r="C1806" s="1">
        <v>1086</v>
      </c>
      <c r="D1806" s="1" t="s">
        <v>33</v>
      </c>
      <c r="E1806" s="1" t="s">
        <v>25</v>
      </c>
      <c r="F1806" s="1">
        <f t="shared" si="56"/>
        <v>900</v>
      </c>
      <c r="G1806" s="5">
        <f t="shared" si="57"/>
        <v>1.2066666666666668</v>
      </c>
    </row>
    <row r="1807" spans="1:7" ht="13">
      <c r="A1807" s="4" t="s">
        <v>117</v>
      </c>
      <c r="B1807" s="1">
        <v>5</v>
      </c>
      <c r="C1807" s="1">
        <v>537</v>
      </c>
      <c r="D1807" s="1" t="s">
        <v>38</v>
      </c>
      <c r="E1807" s="1" t="s">
        <v>15</v>
      </c>
      <c r="F1807" s="1">
        <f t="shared" si="56"/>
        <v>500</v>
      </c>
      <c r="G1807" s="5">
        <f t="shared" si="57"/>
        <v>1.0740000000000001</v>
      </c>
    </row>
    <row r="1808" spans="1:7" ht="13">
      <c r="A1808" s="4" t="s">
        <v>117</v>
      </c>
      <c r="B1808" s="1">
        <v>5.2</v>
      </c>
      <c r="C1808" s="1">
        <v>646</v>
      </c>
      <c r="D1808" s="1" t="s">
        <v>11</v>
      </c>
      <c r="E1808" s="1" t="s">
        <v>8</v>
      </c>
      <c r="F1808" s="1">
        <f t="shared" si="56"/>
        <v>520</v>
      </c>
      <c r="G1808" s="5">
        <f t="shared" si="57"/>
        <v>1.2423076923076923</v>
      </c>
    </row>
    <row r="1809" spans="1:7" ht="13">
      <c r="A1809" s="4" t="s">
        <v>117</v>
      </c>
      <c r="B1809" s="1">
        <v>6.88</v>
      </c>
      <c r="C1809" s="1">
        <v>811</v>
      </c>
      <c r="D1809" s="1" t="s">
        <v>11</v>
      </c>
      <c r="E1809" s="1" t="s">
        <v>46</v>
      </c>
      <c r="F1809" s="1">
        <f t="shared" si="56"/>
        <v>688</v>
      </c>
      <c r="G1809" s="5">
        <f t="shared" si="57"/>
        <v>1.1787790697674418</v>
      </c>
    </row>
    <row r="1810" spans="1:7" ht="13">
      <c r="A1810" s="4" t="s">
        <v>117</v>
      </c>
      <c r="B1810" s="1">
        <v>4.7</v>
      </c>
      <c r="C1810" s="1">
        <v>600</v>
      </c>
      <c r="D1810" s="1" t="s">
        <v>11</v>
      </c>
      <c r="E1810" s="1" t="s">
        <v>16</v>
      </c>
      <c r="F1810" s="1">
        <f t="shared" si="56"/>
        <v>470</v>
      </c>
      <c r="G1810" s="5">
        <f t="shared" si="57"/>
        <v>1.2765957446808511</v>
      </c>
    </row>
    <row r="1811" spans="1:7" ht="13">
      <c r="A1811" s="4" t="s">
        <v>124</v>
      </c>
      <c r="B1811" s="1">
        <v>6.88</v>
      </c>
      <c r="C1811" s="1">
        <v>840</v>
      </c>
      <c r="D1811" s="1" t="s">
        <v>11</v>
      </c>
      <c r="E1811" s="1" t="s">
        <v>8</v>
      </c>
      <c r="F1811" s="1">
        <f t="shared" si="56"/>
        <v>688</v>
      </c>
      <c r="G1811" s="5">
        <f t="shared" si="57"/>
        <v>1.2209302325581395</v>
      </c>
    </row>
    <row r="1812" spans="1:7" ht="13">
      <c r="A1812" s="4" t="s">
        <v>124</v>
      </c>
      <c r="B1812" s="1">
        <v>6</v>
      </c>
      <c r="C1812" s="1">
        <v>726</v>
      </c>
      <c r="D1812" s="1" t="s">
        <v>11</v>
      </c>
      <c r="E1812" s="1" t="s">
        <v>8</v>
      </c>
      <c r="F1812" s="1">
        <f t="shared" si="56"/>
        <v>600</v>
      </c>
      <c r="G1812" s="5">
        <f t="shared" si="57"/>
        <v>1.21</v>
      </c>
    </row>
    <row r="1813" spans="1:7" ht="13">
      <c r="A1813" s="4" t="s">
        <v>118</v>
      </c>
      <c r="B1813" s="1">
        <v>6.09</v>
      </c>
      <c r="C1813" s="1">
        <v>719</v>
      </c>
      <c r="D1813" s="1" t="s">
        <v>47</v>
      </c>
      <c r="E1813" s="1" t="s">
        <v>24</v>
      </c>
      <c r="F1813" s="1">
        <f t="shared" si="56"/>
        <v>609</v>
      </c>
      <c r="G1813" s="5">
        <f t="shared" si="57"/>
        <v>1.180623973727422</v>
      </c>
    </row>
    <row r="1814" spans="1:7" ht="13">
      <c r="A1814" s="4" t="s">
        <v>118</v>
      </c>
      <c r="B1814" s="1">
        <v>6.88</v>
      </c>
      <c r="C1814" s="1">
        <v>753</v>
      </c>
      <c r="D1814" s="1" t="s">
        <v>53</v>
      </c>
      <c r="E1814" s="1" t="s">
        <v>16</v>
      </c>
      <c r="F1814" s="1">
        <f t="shared" si="56"/>
        <v>688</v>
      </c>
      <c r="G1814" s="5">
        <f t="shared" si="57"/>
        <v>1.0944767441860466</v>
      </c>
    </row>
    <row r="1815" spans="1:7" ht="13">
      <c r="A1815" s="4" t="s">
        <v>118</v>
      </c>
      <c r="B1815" s="1">
        <v>8.1999999999999993</v>
      </c>
      <c r="C1815" s="1">
        <v>890</v>
      </c>
      <c r="D1815" s="1" t="s">
        <v>43</v>
      </c>
      <c r="E1815" s="1" t="s">
        <v>25</v>
      </c>
      <c r="F1815" s="1">
        <f t="shared" si="56"/>
        <v>819.99999999999989</v>
      </c>
      <c r="G1815" s="5">
        <f t="shared" si="57"/>
        <v>1.0853658536585367</v>
      </c>
    </row>
    <row r="1816" spans="1:7" ht="13">
      <c r="A1816" s="4" t="s">
        <v>118</v>
      </c>
      <c r="B1816" s="1">
        <v>8.64</v>
      </c>
      <c r="C1816" s="1">
        <v>1000</v>
      </c>
      <c r="D1816" s="1" t="s">
        <v>11</v>
      </c>
      <c r="E1816" s="1" t="s">
        <v>9</v>
      </c>
      <c r="F1816" s="1">
        <f t="shared" si="56"/>
        <v>864</v>
      </c>
      <c r="G1816" s="5">
        <f t="shared" si="57"/>
        <v>1.1574074074074074</v>
      </c>
    </row>
    <row r="1817" spans="1:7" ht="13">
      <c r="A1817" s="4" t="s">
        <v>118</v>
      </c>
      <c r="B1817" s="1">
        <v>9</v>
      </c>
      <c r="C1817" s="1">
        <v>986</v>
      </c>
      <c r="D1817" s="1" t="s">
        <v>11</v>
      </c>
      <c r="E1817" s="1" t="s">
        <v>10</v>
      </c>
      <c r="F1817" s="1">
        <f t="shared" si="56"/>
        <v>900</v>
      </c>
      <c r="G1817" s="5">
        <f t="shared" si="57"/>
        <v>1.0955555555555556</v>
      </c>
    </row>
    <row r="1818" spans="1:7" ht="13">
      <c r="A1818" s="4" t="s">
        <v>118</v>
      </c>
      <c r="B1818" s="1">
        <v>8</v>
      </c>
      <c r="C1818" s="1">
        <v>768</v>
      </c>
      <c r="D1818" s="1" t="s">
        <v>33</v>
      </c>
      <c r="E1818" s="1" t="s">
        <v>17</v>
      </c>
      <c r="F1818" s="1">
        <f t="shared" si="56"/>
        <v>800</v>
      </c>
      <c r="G1818" s="5">
        <f t="shared" si="57"/>
        <v>0.96</v>
      </c>
    </row>
    <row r="1819" spans="1:7" ht="13">
      <c r="A1819" s="4" t="s">
        <v>118</v>
      </c>
      <c r="B1819" s="1">
        <v>2.87</v>
      </c>
      <c r="C1819" s="1">
        <v>364</v>
      </c>
      <c r="D1819" s="1" t="s">
        <v>11</v>
      </c>
      <c r="E1819" s="1" t="s">
        <v>8</v>
      </c>
      <c r="F1819" s="1">
        <f t="shared" si="56"/>
        <v>287</v>
      </c>
      <c r="G1819" s="5">
        <f t="shared" si="57"/>
        <v>1.2682926829268293</v>
      </c>
    </row>
    <row r="1820" spans="1:7" ht="13">
      <c r="A1820" s="4" t="s">
        <v>118</v>
      </c>
      <c r="B1820" s="1">
        <v>7.4</v>
      </c>
      <c r="C1820" s="1">
        <v>845</v>
      </c>
      <c r="D1820" s="1" t="s">
        <v>52</v>
      </c>
      <c r="E1820" s="1" t="s">
        <v>10</v>
      </c>
      <c r="F1820" s="1">
        <f t="shared" si="56"/>
        <v>740</v>
      </c>
      <c r="G1820" s="5">
        <f t="shared" si="57"/>
        <v>1.1418918918918919</v>
      </c>
    </row>
    <row r="1821" spans="1:7" ht="13">
      <c r="A1821" s="4" t="s">
        <v>118</v>
      </c>
      <c r="B1821" s="1">
        <v>6.9</v>
      </c>
      <c r="C1821" s="1">
        <v>672.29</v>
      </c>
      <c r="D1821" s="1" t="s">
        <v>34</v>
      </c>
      <c r="E1821" s="1" t="s">
        <v>21</v>
      </c>
      <c r="F1821" s="1">
        <f t="shared" si="56"/>
        <v>690</v>
      </c>
      <c r="G1821" s="5">
        <f t="shared" si="57"/>
        <v>0.97433333333333327</v>
      </c>
    </row>
    <row r="1822" spans="1:7" ht="13">
      <c r="A1822" s="4" t="s">
        <v>118</v>
      </c>
      <c r="B1822" s="1">
        <v>8.8000000000000007</v>
      </c>
      <c r="C1822" s="1">
        <v>940</v>
      </c>
      <c r="D1822" s="1" t="s">
        <v>11</v>
      </c>
      <c r="E1822" s="1" t="s">
        <v>17</v>
      </c>
      <c r="F1822" s="1">
        <f t="shared" si="56"/>
        <v>880.00000000000011</v>
      </c>
      <c r="G1822" s="5">
        <f t="shared" si="57"/>
        <v>1.0681818181818181</v>
      </c>
    </row>
    <row r="1823" spans="1:7" ht="13">
      <c r="A1823" s="4" t="s">
        <v>118</v>
      </c>
      <c r="B1823" s="1">
        <v>5.2</v>
      </c>
      <c r="C1823" s="1">
        <v>682</v>
      </c>
      <c r="D1823" s="1" t="s">
        <v>39</v>
      </c>
      <c r="E1823" s="1" t="s">
        <v>9</v>
      </c>
      <c r="F1823" s="1">
        <f t="shared" si="56"/>
        <v>520</v>
      </c>
      <c r="G1823" s="5">
        <f t="shared" si="57"/>
        <v>1.3115384615384615</v>
      </c>
    </row>
    <row r="1824" spans="1:7" ht="13">
      <c r="A1824" s="4" t="s">
        <v>118</v>
      </c>
      <c r="B1824" s="1">
        <v>4.32</v>
      </c>
      <c r="C1824" s="1">
        <v>419</v>
      </c>
      <c r="D1824" s="1" t="s">
        <v>39</v>
      </c>
      <c r="E1824" s="1" t="s">
        <v>15</v>
      </c>
      <c r="F1824" s="1">
        <f t="shared" ref="F1824:F1887" si="58">B1824*100</f>
        <v>432</v>
      </c>
      <c r="G1824" s="5">
        <f t="shared" si="57"/>
        <v>0.96990740740740744</v>
      </c>
    </row>
    <row r="1825" spans="1:7" ht="13">
      <c r="A1825" s="4" t="s">
        <v>118</v>
      </c>
      <c r="B1825" s="1">
        <v>8.6</v>
      </c>
      <c r="C1825" s="1">
        <v>909</v>
      </c>
      <c r="D1825" s="1" t="s">
        <v>11</v>
      </c>
      <c r="E1825" s="1" t="s">
        <v>68</v>
      </c>
      <c r="F1825" s="1">
        <f t="shared" si="58"/>
        <v>860</v>
      </c>
      <c r="G1825" s="5">
        <f t="shared" si="57"/>
        <v>1.0569767441860465</v>
      </c>
    </row>
    <row r="1826" spans="1:7" ht="13">
      <c r="A1826" s="4" t="s">
        <v>118</v>
      </c>
      <c r="B1826" s="1">
        <v>7.74</v>
      </c>
      <c r="C1826" s="1">
        <v>845</v>
      </c>
      <c r="D1826" s="1" t="s">
        <v>11</v>
      </c>
      <c r="E1826" s="1" t="s">
        <v>30</v>
      </c>
      <c r="F1826" s="1">
        <f t="shared" si="58"/>
        <v>774</v>
      </c>
      <c r="G1826" s="5">
        <f t="shared" si="57"/>
        <v>1.0917312661498708</v>
      </c>
    </row>
    <row r="1827" spans="1:7" ht="13">
      <c r="A1827" s="4" t="s">
        <v>118</v>
      </c>
      <c r="B1827" s="1">
        <v>10</v>
      </c>
      <c r="C1827" s="1">
        <v>1046</v>
      </c>
      <c r="D1827" s="1" t="s">
        <v>45</v>
      </c>
      <c r="E1827" s="1" t="s">
        <v>15</v>
      </c>
      <c r="F1827" s="1">
        <f t="shared" si="58"/>
        <v>1000</v>
      </c>
      <c r="G1827" s="5">
        <f t="shared" si="57"/>
        <v>1.046</v>
      </c>
    </row>
    <row r="1828" spans="1:7" ht="13">
      <c r="A1828" s="4" t="s">
        <v>118</v>
      </c>
      <c r="B1828" s="1">
        <v>7</v>
      </c>
      <c r="C1828" s="1">
        <v>837.96</v>
      </c>
      <c r="D1828" s="1" t="s">
        <v>33</v>
      </c>
      <c r="E1828" s="1" t="s">
        <v>25</v>
      </c>
      <c r="F1828" s="1">
        <f t="shared" si="58"/>
        <v>700</v>
      </c>
      <c r="G1828" s="5">
        <f t="shared" si="57"/>
        <v>1.1970857142857143</v>
      </c>
    </row>
    <row r="1829" spans="1:7" ht="13">
      <c r="A1829" s="4" t="s">
        <v>118</v>
      </c>
      <c r="B1829" s="1">
        <v>5.81</v>
      </c>
      <c r="C1829" s="1">
        <v>657</v>
      </c>
      <c r="D1829" s="1" t="s">
        <v>38</v>
      </c>
      <c r="E1829" s="1" t="s">
        <v>8</v>
      </c>
      <c r="F1829" s="1">
        <f t="shared" si="58"/>
        <v>581</v>
      </c>
      <c r="G1829" s="5">
        <f t="shared" si="57"/>
        <v>1.1308089500860585</v>
      </c>
    </row>
    <row r="1830" spans="1:7" ht="13">
      <c r="A1830" s="4" t="s">
        <v>118</v>
      </c>
      <c r="B1830" s="1">
        <v>8.1999999999999993</v>
      </c>
      <c r="C1830" s="1">
        <v>825</v>
      </c>
      <c r="D1830" s="1" t="s">
        <v>11</v>
      </c>
      <c r="E1830" s="1" t="s">
        <v>12</v>
      </c>
      <c r="F1830" s="1">
        <f t="shared" si="58"/>
        <v>819.99999999999989</v>
      </c>
      <c r="G1830" s="5">
        <f t="shared" si="57"/>
        <v>1.00609756097561</v>
      </c>
    </row>
    <row r="1831" spans="1:7" ht="13">
      <c r="A1831" s="4" t="s">
        <v>118</v>
      </c>
      <c r="B1831" s="1">
        <v>7.4</v>
      </c>
      <c r="C1831" s="1">
        <v>790</v>
      </c>
      <c r="D1831" s="1" t="s">
        <v>55</v>
      </c>
      <c r="E1831" s="1" t="s">
        <v>17</v>
      </c>
      <c r="F1831" s="1">
        <f t="shared" si="58"/>
        <v>740</v>
      </c>
      <c r="G1831" s="5">
        <f t="shared" si="57"/>
        <v>1.0675675675675675</v>
      </c>
    </row>
    <row r="1832" spans="1:7" ht="13">
      <c r="A1832" s="4" t="s">
        <v>118</v>
      </c>
      <c r="B1832" s="1">
        <v>6</v>
      </c>
      <c r="C1832" s="1">
        <v>497</v>
      </c>
      <c r="D1832" s="1" t="s">
        <v>33</v>
      </c>
      <c r="E1832" s="1" t="s">
        <v>15</v>
      </c>
      <c r="F1832" s="1">
        <f t="shared" si="58"/>
        <v>600</v>
      </c>
      <c r="G1832" s="5">
        <f t="shared" si="57"/>
        <v>0.82833333333333337</v>
      </c>
    </row>
    <row r="1833" spans="1:7" ht="13">
      <c r="A1833" s="4" t="s">
        <v>118</v>
      </c>
      <c r="B1833" s="1">
        <v>6.02</v>
      </c>
      <c r="C1833" s="1">
        <v>685</v>
      </c>
      <c r="D1833" s="1" t="s">
        <v>38</v>
      </c>
      <c r="E1833" s="1" t="s">
        <v>8</v>
      </c>
      <c r="F1833" s="1">
        <f t="shared" si="58"/>
        <v>602</v>
      </c>
      <c r="G1833" s="5">
        <f t="shared" si="57"/>
        <v>1.1378737541528239</v>
      </c>
    </row>
    <row r="1834" spans="1:7" ht="13">
      <c r="A1834" s="4" t="s">
        <v>118</v>
      </c>
      <c r="B1834" s="1">
        <v>7.76</v>
      </c>
      <c r="C1834" s="1">
        <v>914</v>
      </c>
      <c r="D1834" s="1" t="s">
        <v>11</v>
      </c>
      <c r="E1834" s="1" t="s">
        <v>16</v>
      </c>
      <c r="F1834" s="1">
        <f t="shared" si="58"/>
        <v>776</v>
      </c>
      <c r="G1834" s="5">
        <f t="shared" si="57"/>
        <v>1.1778350515463918</v>
      </c>
    </row>
    <row r="1835" spans="1:7" ht="13">
      <c r="A1835" s="4" t="s">
        <v>118</v>
      </c>
      <c r="B1835" s="1">
        <v>5.2</v>
      </c>
      <c r="C1835" s="1">
        <v>633</v>
      </c>
      <c r="D1835" s="1" t="s">
        <v>11</v>
      </c>
      <c r="E1835" s="1" t="s">
        <v>19</v>
      </c>
      <c r="F1835" s="1">
        <f t="shared" si="58"/>
        <v>520</v>
      </c>
      <c r="G1835" s="5">
        <f t="shared" si="57"/>
        <v>1.2173076923076922</v>
      </c>
    </row>
    <row r="1836" spans="1:7" ht="13">
      <c r="A1836" s="4" t="s">
        <v>118</v>
      </c>
      <c r="B1836" s="1">
        <v>7.29</v>
      </c>
      <c r="C1836" s="1">
        <v>749</v>
      </c>
      <c r="D1836" s="1" t="s">
        <v>11</v>
      </c>
      <c r="E1836" s="1" t="s">
        <v>27</v>
      </c>
      <c r="F1836" s="1">
        <f t="shared" si="58"/>
        <v>729</v>
      </c>
      <c r="G1836" s="5">
        <f t="shared" si="57"/>
        <v>1.0274348422496571</v>
      </c>
    </row>
    <row r="1837" spans="1:7" ht="13">
      <c r="A1837" s="4" t="s">
        <v>118</v>
      </c>
      <c r="B1837" s="1">
        <v>7.36</v>
      </c>
      <c r="C1837" s="1">
        <v>831</v>
      </c>
      <c r="D1837" s="1" t="s">
        <v>37</v>
      </c>
      <c r="E1837" s="1" t="s">
        <v>15</v>
      </c>
      <c r="F1837" s="1">
        <f t="shared" si="58"/>
        <v>736</v>
      </c>
      <c r="G1837" s="5">
        <f t="shared" si="57"/>
        <v>1.1290760869565217</v>
      </c>
    </row>
    <row r="1838" spans="1:7" ht="13">
      <c r="A1838" s="4" t="s">
        <v>118</v>
      </c>
      <c r="B1838" s="1">
        <v>6</v>
      </c>
      <c r="C1838" s="1">
        <v>701</v>
      </c>
      <c r="D1838" s="1" t="s">
        <v>53</v>
      </c>
      <c r="E1838" s="1" t="s">
        <v>22</v>
      </c>
      <c r="F1838" s="1">
        <f t="shared" si="58"/>
        <v>600</v>
      </c>
      <c r="G1838" s="5">
        <f t="shared" si="57"/>
        <v>1.1683333333333332</v>
      </c>
    </row>
    <row r="1839" spans="1:7" ht="13">
      <c r="A1839" s="4" t="s">
        <v>118</v>
      </c>
      <c r="B1839" s="1">
        <v>6</v>
      </c>
      <c r="C1839" s="1">
        <v>700</v>
      </c>
      <c r="D1839" s="1" t="s">
        <v>11</v>
      </c>
      <c r="E1839" s="1" t="s">
        <v>27</v>
      </c>
      <c r="F1839" s="1">
        <f t="shared" si="58"/>
        <v>600</v>
      </c>
      <c r="G1839" s="5">
        <f t="shared" si="57"/>
        <v>1.1666666666666667</v>
      </c>
    </row>
    <row r="1840" spans="1:7" ht="13">
      <c r="A1840" s="4" t="s">
        <v>118</v>
      </c>
      <c r="B1840" s="1">
        <v>8.8000000000000007</v>
      </c>
      <c r="C1840" s="1">
        <v>1000</v>
      </c>
      <c r="D1840" s="1" t="s">
        <v>53</v>
      </c>
      <c r="E1840" s="1" t="s">
        <v>8</v>
      </c>
      <c r="F1840" s="1">
        <f t="shared" si="58"/>
        <v>880.00000000000011</v>
      </c>
      <c r="G1840" s="5">
        <f t="shared" si="57"/>
        <v>1.1363636363636362</v>
      </c>
    </row>
    <row r="1841" spans="1:7" ht="13">
      <c r="A1841" s="4" t="s">
        <v>118</v>
      </c>
      <c r="B1841" s="1">
        <v>5.39</v>
      </c>
      <c r="C1841" s="1">
        <v>681</v>
      </c>
      <c r="D1841" s="1" t="s">
        <v>11</v>
      </c>
      <c r="E1841" s="1" t="s">
        <v>26</v>
      </c>
      <c r="F1841" s="1">
        <f t="shared" si="58"/>
        <v>539</v>
      </c>
      <c r="G1841" s="5">
        <f t="shared" si="57"/>
        <v>1.2634508348794062</v>
      </c>
    </row>
    <row r="1842" spans="1:7" ht="13">
      <c r="A1842" s="4" t="s">
        <v>118</v>
      </c>
      <c r="B1842" s="1">
        <v>8.6</v>
      </c>
      <c r="C1842" s="1">
        <v>850</v>
      </c>
      <c r="D1842" s="1" t="s">
        <v>53</v>
      </c>
      <c r="E1842" s="1" t="s">
        <v>17</v>
      </c>
      <c r="F1842" s="1">
        <f t="shared" si="58"/>
        <v>860</v>
      </c>
      <c r="G1842" s="5">
        <f t="shared" si="57"/>
        <v>0.98837209302325579</v>
      </c>
    </row>
    <row r="1843" spans="1:7" ht="13">
      <c r="A1843" s="4" t="s">
        <v>118</v>
      </c>
      <c r="B1843" s="1">
        <v>6</v>
      </c>
      <c r="C1843" s="1">
        <v>683</v>
      </c>
      <c r="D1843" s="1" t="s">
        <v>11</v>
      </c>
      <c r="E1843" s="1" t="s">
        <v>23</v>
      </c>
      <c r="F1843" s="1">
        <f t="shared" si="58"/>
        <v>600</v>
      </c>
      <c r="G1843" s="5">
        <f t="shared" si="57"/>
        <v>1.1383333333333334</v>
      </c>
    </row>
    <row r="1844" spans="1:7" ht="13">
      <c r="A1844" s="4" t="s">
        <v>118</v>
      </c>
      <c r="B1844" s="1">
        <v>6.9</v>
      </c>
      <c r="C1844" s="1">
        <v>766</v>
      </c>
      <c r="D1844" s="1" t="s">
        <v>33</v>
      </c>
      <c r="E1844" s="1" t="s">
        <v>16</v>
      </c>
      <c r="F1844" s="1">
        <f t="shared" si="58"/>
        <v>690</v>
      </c>
      <c r="G1844" s="5">
        <f t="shared" si="57"/>
        <v>1.1101449275362318</v>
      </c>
    </row>
    <row r="1845" spans="1:7" ht="13">
      <c r="A1845" s="4" t="s">
        <v>118</v>
      </c>
      <c r="B1845" s="1">
        <v>9.1999999999999993</v>
      </c>
      <c r="C1845" s="1">
        <v>955</v>
      </c>
      <c r="D1845" s="1" t="s">
        <v>37</v>
      </c>
      <c r="E1845" s="1" t="s">
        <v>18</v>
      </c>
      <c r="F1845" s="1">
        <f t="shared" si="58"/>
        <v>919.99999999999989</v>
      </c>
      <c r="G1845" s="5">
        <f t="shared" si="57"/>
        <v>1.0380434782608696</v>
      </c>
    </row>
    <row r="1846" spans="1:7" ht="13">
      <c r="A1846" s="4" t="s">
        <v>118</v>
      </c>
      <c r="B1846" s="1">
        <v>3.48</v>
      </c>
      <c r="C1846" s="1">
        <v>432</v>
      </c>
      <c r="D1846" s="1" t="s">
        <v>11</v>
      </c>
      <c r="E1846" s="1" t="s">
        <v>16</v>
      </c>
      <c r="F1846" s="1">
        <f t="shared" si="58"/>
        <v>348</v>
      </c>
      <c r="G1846" s="5">
        <f t="shared" si="57"/>
        <v>1.2413793103448276</v>
      </c>
    </row>
    <row r="1847" spans="1:7" ht="13">
      <c r="A1847" s="4" t="s">
        <v>118</v>
      </c>
      <c r="B1847" s="1">
        <v>9.1999999999999993</v>
      </c>
      <c r="C1847" s="1">
        <v>1005</v>
      </c>
      <c r="D1847" s="1" t="s">
        <v>43</v>
      </c>
      <c r="E1847" s="1" t="s">
        <v>14</v>
      </c>
      <c r="F1847" s="1">
        <f t="shared" si="58"/>
        <v>919.99999999999989</v>
      </c>
      <c r="G1847" s="5">
        <f t="shared" si="57"/>
        <v>1.0923913043478262</v>
      </c>
    </row>
    <row r="1848" spans="1:7" ht="13">
      <c r="A1848" s="4" t="s">
        <v>118</v>
      </c>
      <c r="B1848" s="1">
        <v>6.9</v>
      </c>
      <c r="C1848" s="1">
        <v>743</v>
      </c>
      <c r="D1848" s="1" t="s">
        <v>42</v>
      </c>
      <c r="E1848" s="1" t="s">
        <v>7</v>
      </c>
      <c r="F1848" s="1">
        <f t="shared" si="58"/>
        <v>690</v>
      </c>
      <c r="G1848" s="5">
        <f t="shared" si="57"/>
        <v>1.0768115942028986</v>
      </c>
    </row>
    <row r="1849" spans="1:7" ht="13">
      <c r="A1849" s="4" t="s">
        <v>118</v>
      </c>
      <c r="B1849" s="1">
        <v>5.3</v>
      </c>
      <c r="C1849" s="1">
        <v>601</v>
      </c>
      <c r="D1849" s="1" t="s">
        <v>11</v>
      </c>
      <c r="E1849" s="1" t="s">
        <v>21</v>
      </c>
      <c r="F1849" s="1">
        <f t="shared" si="58"/>
        <v>530</v>
      </c>
      <c r="G1849" s="5">
        <f t="shared" si="57"/>
        <v>1.1339622641509435</v>
      </c>
    </row>
    <row r="1850" spans="1:7" ht="13">
      <c r="A1850" s="4" t="s">
        <v>118</v>
      </c>
      <c r="B1850" s="1">
        <v>8</v>
      </c>
      <c r="C1850" s="1">
        <v>961</v>
      </c>
      <c r="D1850" s="1" t="s">
        <v>11</v>
      </c>
      <c r="E1850" s="1" t="s">
        <v>7</v>
      </c>
      <c r="F1850" s="1">
        <f t="shared" si="58"/>
        <v>800</v>
      </c>
      <c r="G1850" s="5">
        <f t="shared" si="57"/>
        <v>1.2012499999999999</v>
      </c>
    </row>
    <row r="1851" spans="1:7" ht="13">
      <c r="A1851" s="4" t="s">
        <v>118</v>
      </c>
      <c r="B1851" s="1">
        <v>4.2</v>
      </c>
      <c r="C1851" s="1">
        <v>445</v>
      </c>
      <c r="D1851" s="1" t="s">
        <v>64</v>
      </c>
      <c r="E1851" s="1" t="s">
        <v>22</v>
      </c>
      <c r="F1851" s="1">
        <f t="shared" si="58"/>
        <v>420</v>
      </c>
      <c r="G1851" s="5">
        <f t="shared" si="57"/>
        <v>1.0595238095238095</v>
      </c>
    </row>
    <row r="1852" spans="1:7" ht="13">
      <c r="A1852" s="4" t="s">
        <v>118</v>
      </c>
      <c r="B1852" s="1">
        <v>6.96</v>
      </c>
      <c r="C1852" s="1">
        <v>779</v>
      </c>
      <c r="D1852" s="1" t="s">
        <v>11</v>
      </c>
      <c r="E1852" s="1" t="s">
        <v>8</v>
      </c>
      <c r="F1852" s="1">
        <f t="shared" si="58"/>
        <v>696</v>
      </c>
      <c r="G1852" s="5">
        <f t="shared" si="57"/>
        <v>1.1192528735632183</v>
      </c>
    </row>
    <row r="1853" spans="1:7" ht="13">
      <c r="A1853" s="4" t="s">
        <v>118</v>
      </c>
      <c r="B1853" s="1">
        <v>8.6999999999999993</v>
      </c>
      <c r="C1853" s="1">
        <v>1007</v>
      </c>
      <c r="D1853" s="1" t="s">
        <v>11</v>
      </c>
      <c r="E1853" s="1" t="s">
        <v>24</v>
      </c>
      <c r="F1853" s="1">
        <f t="shared" si="58"/>
        <v>869.99999999999989</v>
      </c>
      <c r="G1853" s="5">
        <f t="shared" si="57"/>
        <v>1.1574712643678162</v>
      </c>
    </row>
    <row r="1854" spans="1:7" ht="13">
      <c r="A1854" s="4" t="s">
        <v>118</v>
      </c>
      <c r="B1854" s="1">
        <v>7.92</v>
      </c>
      <c r="C1854" s="1">
        <v>767</v>
      </c>
      <c r="D1854" s="1" t="s">
        <v>44</v>
      </c>
      <c r="E1854" s="1" t="s">
        <v>15</v>
      </c>
      <c r="F1854" s="1">
        <f t="shared" si="58"/>
        <v>792</v>
      </c>
      <c r="G1854" s="5">
        <f t="shared" si="57"/>
        <v>0.96843434343434343</v>
      </c>
    </row>
    <row r="1855" spans="1:7" ht="13">
      <c r="A1855" s="4" t="s">
        <v>118</v>
      </c>
      <c r="B1855" s="1">
        <v>7</v>
      </c>
      <c r="C1855" s="1">
        <v>705</v>
      </c>
      <c r="D1855" s="1" t="s">
        <v>40</v>
      </c>
      <c r="E1855" s="1" t="s">
        <v>17</v>
      </c>
      <c r="F1855" s="1">
        <f t="shared" si="58"/>
        <v>700</v>
      </c>
      <c r="G1855" s="5">
        <f t="shared" si="57"/>
        <v>1.0071428571428571</v>
      </c>
    </row>
    <row r="1856" spans="1:7" ht="13">
      <c r="A1856" s="4" t="s">
        <v>118</v>
      </c>
      <c r="B1856" s="1">
        <v>6.9</v>
      </c>
      <c r="C1856" s="1">
        <v>687</v>
      </c>
      <c r="D1856" s="1" t="s">
        <v>11</v>
      </c>
      <c r="E1856" s="1" t="s">
        <v>26</v>
      </c>
      <c r="F1856" s="1">
        <f t="shared" si="58"/>
        <v>690</v>
      </c>
      <c r="G1856" s="5">
        <f t="shared" si="57"/>
        <v>0.9956521739130435</v>
      </c>
    </row>
    <row r="1857" spans="1:7" ht="13">
      <c r="A1857" s="4" t="s">
        <v>118</v>
      </c>
      <c r="B1857" s="1">
        <v>7.83</v>
      </c>
      <c r="C1857" s="1">
        <v>899</v>
      </c>
      <c r="D1857" s="1" t="s">
        <v>35</v>
      </c>
      <c r="E1857" s="1" t="s">
        <v>23</v>
      </c>
      <c r="F1857" s="1">
        <f t="shared" si="58"/>
        <v>783</v>
      </c>
      <c r="G1857" s="5">
        <f t="shared" si="57"/>
        <v>1.1481481481481481</v>
      </c>
    </row>
    <row r="1858" spans="1:7" ht="13">
      <c r="A1858" s="4" t="s">
        <v>118</v>
      </c>
      <c r="B1858" s="1">
        <v>7.4</v>
      </c>
      <c r="C1858" s="1">
        <v>810</v>
      </c>
      <c r="D1858" s="1" t="s">
        <v>11</v>
      </c>
      <c r="E1858" s="1" t="s">
        <v>20</v>
      </c>
      <c r="F1858" s="1">
        <f t="shared" si="58"/>
        <v>740</v>
      </c>
      <c r="G1858" s="5">
        <f t="shared" ref="G1858:G1921" si="59">C1858/F1858</f>
        <v>1.0945945945945945</v>
      </c>
    </row>
    <row r="1859" spans="1:7" ht="13">
      <c r="A1859" s="4" t="s">
        <v>118</v>
      </c>
      <c r="B1859" s="1">
        <v>5.0999999999999996</v>
      </c>
      <c r="C1859" s="1">
        <v>753</v>
      </c>
      <c r="D1859" s="1" t="s">
        <v>42</v>
      </c>
      <c r="E1859" s="1" t="s">
        <v>21</v>
      </c>
      <c r="F1859" s="1">
        <f t="shared" si="58"/>
        <v>509.99999999999994</v>
      </c>
      <c r="G1859" s="5">
        <f t="shared" si="59"/>
        <v>1.4764705882352942</v>
      </c>
    </row>
    <row r="1860" spans="1:7" ht="13">
      <c r="A1860" s="4" t="s">
        <v>118</v>
      </c>
      <c r="B1860" s="1">
        <v>7.74</v>
      </c>
      <c r="C1860" s="1">
        <v>825</v>
      </c>
      <c r="D1860" s="1" t="s">
        <v>70</v>
      </c>
      <c r="E1860" s="1" t="s">
        <v>23</v>
      </c>
      <c r="F1860" s="1">
        <f t="shared" si="58"/>
        <v>774</v>
      </c>
      <c r="G1860" s="5">
        <f t="shared" si="59"/>
        <v>1.0658914728682169</v>
      </c>
    </row>
    <row r="1861" spans="1:7" ht="13">
      <c r="A1861" s="4" t="s">
        <v>118</v>
      </c>
      <c r="B1861" s="1">
        <v>5</v>
      </c>
      <c r="C1861" s="1">
        <v>616</v>
      </c>
      <c r="D1861" s="1" t="s">
        <v>43</v>
      </c>
      <c r="E1861" s="1" t="s">
        <v>8</v>
      </c>
      <c r="F1861" s="1">
        <f t="shared" si="58"/>
        <v>500</v>
      </c>
      <c r="G1861" s="5">
        <f t="shared" si="59"/>
        <v>1.232</v>
      </c>
    </row>
    <row r="1862" spans="1:7" ht="13">
      <c r="A1862" s="4" t="s">
        <v>118</v>
      </c>
      <c r="B1862" s="1">
        <v>6.88</v>
      </c>
      <c r="C1862" s="1">
        <v>215</v>
      </c>
      <c r="D1862" s="1" t="s">
        <v>11</v>
      </c>
      <c r="E1862" s="1" t="s">
        <v>10</v>
      </c>
      <c r="F1862" s="1">
        <f t="shared" si="58"/>
        <v>688</v>
      </c>
      <c r="G1862" s="5">
        <f t="shared" si="59"/>
        <v>0.3125</v>
      </c>
    </row>
    <row r="1863" spans="1:7" ht="13">
      <c r="A1863" s="4" t="s">
        <v>118</v>
      </c>
      <c r="B1863" s="1">
        <v>8.6999999999999993</v>
      </c>
      <c r="C1863" s="1">
        <v>1017</v>
      </c>
      <c r="D1863" s="1" t="s">
        <v>11</v>
      </c>
      <c r="E1863" s="1" t="s">
        <v>10</v>
      </c>
      <c r="F1863" s="1">
        <f t="shared" si="58"/>
        <v>869.99999999999989</v>
      </c>
      <c r="G1863" s="5">
        <f t="shared" si="59"/>
        <v>1.1689655172413795</v>
      </c>
    </row>
    <row r="1864" spans="1:7" ht="13">
      <c r="A1864" s="4" t="s">
        <v>118</v>
      </c>
      <c r="B1864" s="1">
        <v>3.68</v>
      </c>
      <c r="C1864" s="1">
        <v>480</v>
      </c>
      <c r="D1864" s="1" t="s">
        <v>11</v>
      </c>
      <c r="E1864" s="1" t="s">
        <v>26</v>
      </c>
      <c r="F1864" s="1">
        <f t="shared" si="58"/>
        <v>368</v>
      </c>
      <c r="G1864" s="5">
        <f t="shared" si="59"/>
        <v>1.3043478260869565</v>
      </c>
    </row>
    <row r="1865" spans="1:7" ht="13">
      <c r="A1865" s="4" t="s">
        <v>118</v>
      </c>
      <c r="B1865" s="1">
        <v>7.56</v>
      </c>
      <c r="C1865" s="1">
        <v>924</v>
      </c>
      <c r="D1865" s="1" t="s">
        <v>11</v>
      </c>
      <c r="E1865" s="1" t="s">
        <v>7</v>
      </c>
      <c r="F1865" s="1">
        <f t="shared" si="58"/>
        <v>756</v>
      </c>
      <c r="G1865" s="5">
        <f t="shared" si="59"/>
        <v>1.2222222222222223</v>
      </c>
    </row>
    <row r="1866" spans="1:7" ht="13">
      <c r="A1866" s="4" t="s">
        <v>118</v>
      </c>
      <c r="B1866" s="1">
        <v>7.56</v>
      </c>
      <c r="C1866" s="1">
        <v>802</v>
      </c>
      <c r="D1866" s="1" t="s">
        <v>11</v>
      </c>
      <c r="E1866" s="1" t="s">
        <v>25</v>
      </c>
      <c r="F1866" s="1">
        <f t="shared" si="58"/>
        <v>756</v>
      </c>
      <c r="G1866" s="5">
        <f t="shared" si="59"/>
        <v>1.0608465608465609</v>
      </c>
    </row>
    <row r="1867" spans="1:7" ht="13">
      <c r="A1867" s="4" t="s">
        <v>118</v>
      </c>
      <c r="B1867" s="1">
        <v>6.96</v>
      </c>
      <c r="C1867" s="1">
        <v>756.96</v>
      </c>
      <c r="D1867" s="1" t="s">
        <v>38</v>
      </c>
      <c r="E1867" s="1" t="s">
        <v>15</v>
      </c>
      <c r="F1867" s="1">
        <f t="shared" si="58"/>
        <v>696</v>
      </c>
      <c r="G1867" s="5">
        <f t="shared" si="59"/>
        <v>1.0875862068965518</v>
      </c>
    </row>
    <row r="1868" spans="1:7" ht="13">
      <c r="A1868" s="4" t="s">
        <v>118</v>
      </c>
      <c r="B1868" s="1">
        <v>6.7</v>
      </c>
      <c r="C1868" s="1">
        <v>804</v>
      </c>
      <c r="D1868" s="1" t="s">
        <v>11</v>
      </c>
      <c r="E1868" s="1" t="s">
        <v>16</v>
      </c>
      <c r="F1868" s="1">
        <f t="shared" si="58"/>
        <v>670</v>
      </c>
      <c r="G1868" s="5">
        <f t="shared" si="59"/>
        <v>1.2</v>
      </c>
    </row>
    <row r="1869" spans="1:7" ht="13">
      <c r="A1869" s="4" t="s">
        <v>118</v>
      </c>
      <c r="B1869" s="1">
        <v>7.6</v>
      </c>
      <c r="C1869" s="1">
        <v>879</v>
      </c>
      <c r="D1869" s="1" t="s">
        <v>11</v>
      </c>
      <c r="E1869" s="1" t="s">
        <v>17</v>
      </c>
      <c r="F1869" s="1">
        <f t="shared" si="58"/>
        <v>760</v>
      </c>
      <c r="G1869" s="5">
        <f t="shared" si="59"/>
        <v>1.1565789473684212</v>
      </c>
    </row>
    <row r="1870" spans="1:7" ht="13">
      <c r="A1870" s="4" t="s">
        <v>118</v>
      </c>
      <c r="B1870" s="1">
        <v>7.7</v>
      </c>
      <c r="C1870" s="1">
        <v>831</v>
      </c>
      <c r="D1870" s="1" t="s">
        <v>11</v>
      </c>
      <c r="E1870" s="1" t="s">
        <v>49</v>
      </c>
      <c r="F1870" s="1">
        <f t="shared" si="58"/>
        <v>770</v>
      </c>
      <c r="G1870" s="5">
        <f t="shared" si="59"/>
        <v>1.0792207792207793</v>
      </c>
    </row>
    <row r="1871" spans="1:7" ht="13">
      <c r="A1871" s="4" t="s">
        <v>118</v>
      </c>
      <c r="B1871" s="1">
        <v>5.81</v>
      </c>
      <c r="C1871" s="1">
        <v>715</v>
      </c>
      <c r="D1871" s="1" t="s">
        <v>38</v>
      </c>
      <c r="E1871" s="1" t="s">
        <v>8</v>
      </c>
      <c r="F1871" s="1">
        <f t="shared" si="58"/>
        <v>581</v>
      </c>
      <c r="G1871" s="5">
        <f t="shared" si="59"/>
        <v>1.2306368330464716</v>
      </c>
    </row>
    <row r="1872" spans="1:7" ht="13">
      <c r="A1872" s="4" t="s">
        <v>118</v>
      </c>
      <c r="B1872" s="1">
        <v>7.7</v>
      </c>
      <c r="C1872" s="1">
        <v>842</v>
      </c>
      <c r="D1872" s="1" t="s">
        <v>39</v>
      </c>
      <c r="E1872" s="1" t="s">
        <v>16</v>
      </c>
      <c r="F1872" s="1">
        <f t="shared" si="58"/>
        <v>770</v>
      </c>
      <c r="G1872" s="5">
        <f t="shared" si="59"/>
        <v>1.0935064935064935</v>
      </c>
    </row>
    <row r="1873" spans="1:7" ht="13">
      <c r="A1873" s="4" t="s">
        <v>118</v>
      </c>
      <c r="B1873" s="1">
        <v>6.8</v>
      </c>
      <c r="C1873" s="1">
        <v>792</v>
      </c>
      <c r="D1873" s="1" t="s">
        <v>11</v>
      </c>
      <c r="E1873" s="1" t="s">
        <v>24</v>
      </c>
      <c r="F1873" s="1">
        <f t="shared" si="58"/>
        <v>680</v>
      </c>
      <c r="G1873" s="5">
        <f t="shared" si="59"/>
        <v>1.1647058823529413</v>
      </c>
    </row>
    <row r="1874" spans="1:7" ht="13">
      <c r="A1874" s="4" t="s">
        <v>118</v>
      </c>
      <c r="B1874" s="1">
        <v>6.88</v>
      </c>
      <c r="C1874" s="1">
        <v>825</v>
      </c>
      <c r="D1874" s="1" t="s">
        <v>43</v>
      </c>
      <c r="E1874" s="1" t="s">
        <v>8</v>
      </c>
      <c r="F1874" s="1">
        <f t="shared" si="58"/>
        <v>688</v>
      </c>
      <c r="G1874" s="5">
        <f t="shared" si="59"/>
        <v>1.1991279069767442</v>
      </c>
    </row>
    <row r="1875" spans="1:7" ht="13">
      <c r="A1875" s="4" t="s">
        <v>118</v>
      </c>
      <c r="B1875" s="1">
        <v>6.4</v>
      </c>
      <c r="C1875" s="1">
        <v>779</v>
      </c>
      <c r="D1875" s="1" t="s">
        <v>85</v>
      </c>
      <c r="E1875" s="1" t="s">
        <v>8</v>
      </c>
      <c r="F1875" s="1">
        <f t="shared" si="58"/>
        <v>640</v>
      </c>
      <c r="G1875" s="5">
        <f t="shared" si="59"/>
        <v>1.2171875000000001</v>
      </c>
    </row>
    <row r="1876" spans="1:7" ht="13">
      <c r="A1876" s="4" t="s">
        <v>118</v>
      </c>
      <c r="B1876" s="1">
        <v>7.74</v>
      </c>
      <c r="C1876" s="1">
        <v>873</v>
      </c>
      <c r="D1876" s="1" t="s">
        <v>33</v>
      </c>
      <c r="E1876" s="1" t="s">
        <v>16</v>
      </c>
      <c r="F1876" s="1">
        <f t="shared" si="58"/>
        <v>774</v>
      </c>
      <c r="G1876" s="5">
        <f t="shared" si="59"/>
        <v>1.1279069767441861</v>
      </c>
    </row>
    <row r="1877" spans="1:7" ht="13">
      <c r="A1877" s="4" t="s">
        <v>118</v>
      </c>
      <c r="B1877" s="1">
        <v>4.4000000000000004</v>
      </c>
      <c r="C1877" s="1">
        <v>525</v>
      </c>
      <c r="D1877" s="1" t="s">
        <v>11</v>
      </c>
      <c r="E1877" s="1" t="s">
        <v>12</v>
      </c>
      <c r="F1877" s="1">
        <f t="shared" si="58"/>
        <v>440.00000000000006</v>
      </c>
      <c r="G1877" s="5">
        <f t="shared" si="59"/>
        <v>1.1931818181818181</v>
      </c>
    </row>
    <row r="1878" spans="1:7" ht="13">
      <c r="A1878" s="4" t="s">
        <v>118</v>
      </c>
      <c r="B1878" s="1">
        <v>5</v>
      </c>
      <c r="C1878" s="1">
        <v>487</v>
      </c>
      <c r="D1878" s="1" t="s">
        <v>11</v>
      </c>
      <c r="E1878" s="1" t="s">
        <v>20</v>
      </c>
      <c r="F1878" s="1">
        <f t="shared" si="58"/>
        <v>500</v>
      </c>
      <c r="G1878" s="5">
        <f t="shared" si="59"/>
        <v>0.97399999999999998</v>
      </c>
    </row>
    <row r="1879" spans="1:7" ht="13">
      <c r="A1879" s="4" t="s">
        <v>118</v>
      </c>
      <c r="B1879" s="1">
        <v>5.3949999999999996</v>
      </c>
      <c r="C1879" s="1">
        <v>595</v>
      </c>
      <c r="D1879" s="1" t="s">
        <v>45</v>
      </c>
      <c r="E1879" s="1" t="s">
        <v>15</v>
      </c>
      <c r="F1879" s="1">
        <f t="shared" si="58"/>
        <v>539.5</v>
      </c>
      <c r="G1879" s="5">
        <f t="shared" si="59"/>
        <v>1.1028730305838739</v>
      </c>
    </row>
    <row r="1880" spans="1:7" ht="13">
      <c r="A1880" s="4" t="s">
        <v>118</v>
      </c>
      <c r="B1880" s="1">
        <v>7.43</v>
      </c>
      <c r="C1880" s="1">
        <v>845</v>
      </c>
      <c r="D1880" s="1" t="s">
        <v>11</v>
      </c>
      <c r="E1880" s="1" t="s">
        <v>32</v>
      </c>
      <c r="F1880" s="1">
        <f t="shared" si="58"/>
        <v>743</v>
      </c>
      <c r="G1880" s="5">
        <f t="shared" si="59"/>
        <v>1.1372812920592195</v>
      </c>
    </row>
    <row r="1881" spans="1:7" ht="13">
      <c r="A1881" s="4" t="s">
        <v>118</v>
      </c>
      <c r="B1881" s="1">
        <v>7.56</v>
      </c>
      <c r="C1881" s="1">
        <v>788</v>
      </c>
      <c r="D1881" s="1" t="s">
        <v>11</v>
      </c>
      <c r="E1881" s="1" t="s">
        <v>27</v>
      </c>
      <c r="F1881" s="1">
        <f t="shared" si="58"/>
        <v>756</v>
      </c>
      <c r="G1881" s="5">
        <f t="shared" si="59"/>
        <v>1.0423280423280423</v>
      </c>
    </row>
    <row r="1882" spans="1:7" ht="13">
      <c r="A1882" s="4" t="s">
        <v>118</v>
      </c>
      <c r="B1882" s="1">
        <v>6.5</v>
      </c>
      <c r="C1882" s="1">
        <v>749</v>
      </c>
      <c r="D1882" s="1" t="s">
        <v>43</v>
      </c>
      <c r="E1882" s="1" t="s">
        <v>25</v>
      </c>
      <c r="F1882" s="1">
        <f t="shared" si="58"/>
        <v>650</v>
      </c>
      <c r="G1882" s="5">
        <f t="shared" si="59"/>
        <v>1.1523076923076923</v>
      </c>
    </row>
    <row r="1883" spans="1:7" ht="13">
      <c r="A1883" s="4" t="s">
        <v>118</v>
      </c>
      <c r="B1883" s="1">
        <v>5.8</v>
      </c>
      <c r="C1883" s="1">
        <v>633</v>
      </c>
      <c r="D1883" s="1" t="s">
        <v>40</v>
      </c>
      <c r="E1883" s="1" t="s">
        <v>7</v>
      </c>
      <c r="F1883" s="1">
        <f t="shared" si="58"/>
        <v>580</v>
      </c>
      <c r="G1883" s="5">
        <f t="shared" si="59"/>
        <v>1.0913793103448275</v>
      </c>
    </row>
    <row r="1884" spans="1:7" ht="13">
      <c r="A1884" s="4" t="s">
        <v>118</v>
      </c>
      <c r="B1884" s="1">
        <v>7.5</v>
      </c>
      <c r="C1884" s="1">
        <v>830</v>
      </c>
      <c r="D1884" s="1" t="s">
        <v>39</v>
      </c>
      <c r="E1884" s="1" t="s">
        <v>9</v>
      </c>
      <c r="F1884" s="1">
        <f t="shared" si="58"/>
        <v>750</v>
      </c>
      <c r="G1884" s="5">
        <f t="shared" si="59"/>
        <v>1.1066666666666667</v>
      </c>
    </row>
    <row r="1885" spans="1:7" ht="13">
      <c r="A1885" s="4" t="s">
        <v>118</v>
      </c>
      <c r="B1885" s="1">
        <v>7</v>
      </c>
      <c r="C1885" s="1">
        <v>830</v>
      </c>
      <c r="D1885" s="1" t="s">
        <v>36</v>
      </c>
      <c r="E1885" s="1" t="s">
        <v>15</v>
      </c>
      <c r="F1885" s="1">
        <f t="shared" si="58"/>
        <v>700</v>
      </c>
      <c r="G1885" s="5">
        <f t="shared" si="59"/>
        <v>1.1857142857142857</v>
      </c>
    </row>
    <row r="1886" spans="1:7" ht="13">
      <c r="A1886" s="4" t="s">
        <v>118</v>
      </c>
      <c r="B1886" s="1">
        <v>5.12</v>
      </c>
      <c r="C1886" s="1">
        <v>583</v>
      </c>
      <c r="D1886" s="1" t="s">
        <v>11</v>
      </c>
      <c r="E1886" s="1" t="s">
        <v>16</v>
      </c>
      <c r="F1886" s="1">
        <f t="shared" si="58"/>
        <v>512</v>
      </c>
      <c r="G1886" s="5">
        <f t="shared" si="59"/>
        <v>1.138671875</v>
      </c>
    </row>
    <row r="1887" spans="1:7" ht="13">
      <c r="A1887" s="4" t="s">
        <v>118</v>
      </c>
      <c r="B1887" s="1">
        <v>7.8</v>
      </c>
      <c r="C1887" s="1">
        <v>856</v>
      </c>
      <c r="D1887" s="1" t="s">
        <v>11</v>
      </c>
      <c r="E1887" s="1" t="s">
        <v>18</v>
      </c>
      <c r="F1887" s="1">
        <f t="shared" si="58"/>
        <v>780</v>
      </c>
      <c r="G1887" s="5">
        <f t="shared" si="59"/>
        <v>1.0974358974358975</v>
      </c>
    </row>
    <row r="1888" spans="1:7" ht="13">
      <c r="A1888" s="4" t="s">
        <v>118</v>
      </c>
      <c r="B1888" s="1">
        <v>6.4</v>
      </c>
      <c r="C1888" s="1">
        <v>687</v>
      </c>
      <c r="D1888" s="1" t="s">
        <v>42</v>
      </c>
      <c r="E1888" s="1" t="s">
        <v>18</v>
      </c>
      <c r="F1888" s="1">
        <f t="shared" ref="F1888:F1951" si="60">B1888*100</f>
        <v>640</v>
      </c>
      <c r="G1888" s="5">
        <f t="shared" si="59"/>
        <v>1.0734375</v>
      </c>
    </row>
    <row r="1889" spans="1:7" ht="13">
      <c r="A1889" s="4" t="s">
        <v>118</v>
      </c>
      <c r="B1889" s="1">
        <v>5</v>
      </c>
      <c r="C1889" s="1">
        <v>611</v>
      </c>
      <c r="D1889" s="1" t="s">
        <v>47</v>
      </c>
      <c r="E1889" s="1" t="s">
        <v>19</v>
      </c>
      <c r="F1889" s="1">
        <f t="shared" si="60"/>
        <v>500</v>
      </c>
      <c r="G1889" s="5">
        <f t="shared" si="59"/>
        <v>1.222</v>
      </c>
    </row>
    <row r="1890" spans="1:7" ht="13">
      <c r="A1890" s="4" t="s">
        <v>118</v>
      </c>
      <c r="B1890" s="1">
        <v>6</v>
      </c>
      <c r="C1890" s="1">
        <v>589</v>
      </c>
      <c r="D1890" s="1" t="s">
        <v>40</v>
      </c>
      <c r="E1890" s="1" t="s">
        <v>8</v>
      </c>
      <c r="F1890" s="1">
        <f t="shared" si="60"/>
        <v>600</v>
      </c>
      <c r="G1890" s="5">
        <f t="shared" si="59"/>
        <v>0.98166666666666669</v>
      </c>
    </row>
    <row r="1891" spans="1:7" ht="13">
      <c r="A1891" s="4" t="s">
        <v>118</v>
      </c>
      <c r="B1891" s="1">
        <v>9.1300000000000008</v>
      </c>
      <c r="C1891" s="1">
        <v>938</v>
      </c>
      <c r="D1891" s="1" t="s">
        <v>11</v>
      </c>
      <c r="E1891" s="1" t="s">
        <v>20</v>
      </c>
      <c r="F1891" s="1">
        <f t="shared" si="60"/>
        <v>913.00000000000011</v>
      </c>
      <c r="G1891" s="5">
        <f t="shared" si="59"/>
        <v>1.0273822562979189</v>
      </c>
    </row>
    <row r="1892" spans="1:7" ht="13">
      <c r="A1892" s="4" t="s">
        <v>118</v>
      </c>
      <c r="B1892" s="1">
        <v>6</v>
      </c>
      <c r="C1892" s="1">
        <v>655</v>
      </c>
      <c r="D1892" s="1" t="s">
        <v>11</v>
      </c>
      <c r="E1892" s="1" t="s">
        <v>12</v>
      </c>
      <c r="F1892" s="1">
        <f t="shared" si="60"/>
        <v>600</v>
      </c>
      <c r="G1892" s="5">
        <f t="shared" si="59"/>
        <v>1.0916666666666666</v>
      </c>
    </row>
    <row r="1893" spans="1:7" ht="13">
      <c r="A1893" s="4" t="s">
        <v>118</v>
      </c>
      <c r="B1893" s="1">
        <v>7.8</v>
      </c>
      <c r="C1893" s="1">
        <v>883</v>
      </c>
      <c r="D1893" s="1" t="s">
        <v>11</v>
      </c>
      <c r="E1893" s="1" t="s">
        <v>8</v>
      </c>
      <c r="F1893" s="1">
        <f t="shared" si="60"/>
        <v>780</v>
      </c>
      <c r="G1893" s="5">
        <f t="shared" si="59"/>
        <v>1.132051282051282</v>
      </c>
    </row>
    <row r="1894" spans="1:7" ht="13">
      <c r="A1894" s="4" t="s">
        <v>118</v>
      </c>
      <c r="B1894" s="1">
        <v>6.4</v>
      </c>
      <c r="C1894" s="1">
        <v>755</v>
      </c>
      <c r="D1894" s="1" t="s">
        <v>11</v>
      </c>
      <c r="E1894" s="1" t="s">
        <v>32</v>
      </c>
      <c r="F1894" s="1">
        <f t="shared" si="60"/>
        <v>640</v>
      </c>
      <c r="G1894" s="5">
        <f t="shared" si="59"/>
        <v>1.1796875</v>
      </c>
    </row>
    <row r="1895" spans="1:7" ht="13">
      <c r="A1895" s="4" t="s">
        <v>118</v>
      </c>
      <c r="B1895" s="1">
        <v>5.16</v>
      </c>
      <c r="C1895" s="1">
        <v>576</v>
      </c>
      <c r="D1895" s="1" t="s">
        <v>39</v>
      </c>
      <c r="E1895" s="1" t="s">
        <v>15</v>
      </c>
      <c r="F1895" s="1">
        <f t="shared" si="60"/>
        <v>516</v>
      </c>
      <c r="G1895" s="5">
        <f t="shared" si="59"/>
        <v>1.1162790697674418</v>
      </c>
    </row>
    <row r="1896" spans="1:7" ht="13">
      <c r="A1896" s="4" t="s">
        <v>118</v>
      </c>
      <c r="B1896" s="1">
        <v>7.2</v>
      </c>
      <c r="C1896" s="1">
        <v>835</v>
      </c>
      <c r="D1896" s="1" t="s">
        <v>11</v>
      </c>
      <c r="E1896" s="1" t="s">
        <v>10</v>
      </c>
      <c r="F1896" s="1">
        <f t="shared" si="60"/>
        <v>720</v>
      </c>
      <c r="G1896" s="5">
        <f t="shared" si="59"/>
        <v>1.1597222222222223</v>
      </c>
    </row>
    <row r="1897" spans="1:7" ht="13">
      <c r="A1897" s="4" t="s">
        <v>118</v>
      </c>
      <c r="B1897" s="1">
        <v>6.8</v>
      </c>
      <c r="C1897" s="1">
        <v>821</v>
      </c>
      <c r="D1897" s="1" t="s">
        <v>11</v>
      </c>
      <c r="E1897" s="1" t="s">
        <v>23</v>
      </c>
      <c r="F1897" s="1">
        <f t="shared" si="60"/>
        <v>680</v>
      </c>
      <c r="G1897" s="5">
        <f t="shared" si="59"/>
        <v>1.2073529411764705</v>
      </c>
    </row>
    <row r="1898" spans="1:7" ht="13">
      <c r="A1898" s="4" t="s">
        <v>118</v>
      </c>
      <c r="B1898" s="1">
        <v>7.29</v>
      </c>
      <c r="C1898" s="1">
        <v>823</v>
      </c>
      <c r="D1898" s="1" t="s">
        <v>11</v>
      </c>
      <c r="E1898" s="1" t="s">
        <v>7</v>
      </c>
      <c r="F1898" s="1">
        <f t="shared" si="60"/>
        <v>729</v>
      </c>
      <c r="G1898" s="5">
        <f t="shared" si="59"/>
        <v>1.1289437585733881</v>
      </c>
    </row>
    <row r="1899" spans="1:7" ht="13">
      <c r="A1899" s="4" t="s">
        <v>118</v>
      </c>
      <c r="B1899" s="1">
        <v>5</v>
      </c>
      <c r="C1899" s="1">
        <v>380</v>
      </c>
      <c r="D1899" s="1" t="s">
        <v>35</v>
      </c>
      <c r="E1899" s="1" t="s">
        <v>21</v>
      </c>
      <c r="F1899" s="1">
        <f t="shared" si="60"/>
        <v>500</v>
      </c>
      <c r="G1899" s="5">
        <f t="shared" si="59"/>
        <v>0.76</v>
      </c>
    </row>
    <row r="1900" spans="1:7" ht="13">
      <c r="A1900" s="4" t="s">
        <v>118</v>
      </c>
      <c r="B1900" s="1">
        <v>5.88</v>
      </c>
      <c r="C1900" s="1">
        <v>548</v>
      </c>
      <c r="D1900" s="1" t="s">
        <v>39</v>
      </c>
      <c r="E1900" s="1" t="s">
        <v>19</v>
      </c>
      <c r="F1900" s="1">
        <f t="shared" si="60"/>
        <v>588</v>
      </c>
      <c r="G1900" s="5">
        <f t="shared" si="59"/>
        <v>0.93197278911564629</v>
      </c>
    </row>
    <row r="1901" spans="1:7" ht="13">
      <c r="A1901" s="4" t="s">
        <v>118</v>
      </c>
      <c r="B1901" s="1">
        <v>6400</v>
      </c>
      <c r="C1901" s="1">
        <v>742</v>
      </c>
      <c r="D1901" s="1" t="s">
        <v>11</v>
      </c>
      <c r="E1901" s="1" t="s">
        <v>26</v>
      </c>
      <c r="F1901" s="1">
        <f t="shared" si="60"/>
        <v>640000</v>
      </c>
      <c r="G1901" s="5">
        <f t="shared" si="59"/>
        <v>1.159375E-3</v>
      </c>
    </row>
    <row r="1902" spans="1:7" ht="13">
      <c r="A1902" s="4" t="s">
        <v>118</v>
      </c>
      <c r="B1902" s="1">
        <v>6.5</v>
      </c>
      <c r="C1902" s="1">
        <v>754</v>
      </c>
      <c r="D1902" s="1" t="s">
        <v>11</v>
      </c>
      <c r="E1902" s="1" t="s">
        <v>7</v>
      </c>
      <c r="F1902" s="1">
        <f t="shared" si="60"/>
        <v>650</v>
      </c>
      <c r="G1902" s="5">
        <f t="shared" si="59"/>
        <v>1.1599999999999999</v>
      </c>
    </row>
    <row r="1903" spans="1:7" ht="13">
      <c r="A1903" s="4" t="s">
        <v>118</v>
      </c>
      <c r="B1903" s="1">
        <v>4.76</v>
      </c>
      <c r="C1903" s="1">
        <v>577</v>
      </c>
      <c r="D1903" s="1" t="s">
        <v>33</v>
      </c>
      <c r="E1903" s="1" t="s">
        <v>8</v>
      </c>
      <c r="F1903" s="1">
        <f t="shared" si="60"/>
        <v>476</v>
      </c>
      <c r="G1903" s="5">
        <f t="shared" si="59"/>
        <v>1.2121848739495797</v>
      </c>
    </row>
    <row r="1904" spans="1:7" ht="13">
      <c r="A1904" s="4" t="s">
        <v>118</v>
      </c>
      <c r="B1904" s="1">
        <v>4</v>
      </c>
      <c r="C1904" s="1">
        <v>450</v>
      </c>
      <c r="D1904" s="1" t="s">
        <v>47</v>
      </c>
      <c r="E1904" s="1" t="s">
        <v>31</v>
      </c>
      <c r="F1904" s="1">
        <f t="shared" si="60"/>
        <v>400</v>
      </c>
      <c r="G1904" s="5">
        <f t="shared" si="59"/>
        <v>1.125</v>
      </c>
    </row>
    <row r="1905" spans="1:7" ht="13">
      <c r="A1905" s="4" t="s">
        <v>118</v>
      </c>
      <c r="B1905" s="1">
        <v>7.6</v>
      </c>
      <c r="C1905" s="1">
        <v>753</v>
      </c>
      <c r="D1905" s="1" t="s">
        <v>33</v>
      </c>
      <c r="E1905" s="1" t="s">
        <v>17</v>
      </c>
      <c r="F1905" s="1">
        <f t="shared" si="60"/>
        <v>760</v>
      </c>
      <c r="G1905" s="5">
        <f t="shared" si="59"/>
        <v>0.99078947368421055</v>
      </c>
    </row>
    <row r="1906" spans="1:7" ht="13">
      <c r="A1906" s="4" t="s">
        <v>118</v>
      </c>
      <c r="B1906" s="1">
        <v>6.3</v>
      </c>
      <c r="C1906" s="1">
        <v>671</v>
      </c>
      <c r="D1906" s="1" t="s">
        <v>33</v>
      </c>
      <c r="E1906" s="1" t="s">
        <v>9</v>
      </c>
      <c r="F1906" s="1">
        <f t="shared" si="60"/>
        <v>630</v>
      </c>
      <c r="G1906" s="5">
        <f t="shared" si="59"/>
        <v>1.0650793650793651</v>
      </c>
    </row>
    <row r="1907" spans="1:7" ht="13">
      <c r="A1907" s="4" t="s">
        <v>118</v>
      </c>
      <c r="B1907" s="1">
        <v>5.22</v>
      </c>
      <c r="C1907" s="1">
        <v>530</v>
      </c>
      <c r="D1907" s="1" t="s">
        <v>11</v>
      </c>
      <c r="E1907" s="1" t="s">
        <v>22</v>
      </c>
      <c r="F1907" s="1">
        <f t="shared" si="60"/>
        <v>522</v>
      </c>
      <c r="G1907" s="5">
        <f t="shared" si="59"/>
        <v>1.0153256704980842</v>
      </c>
    </row>
    <row r="1908" spans="1:7" ht="13">
      <c r="A1908" s="4" t="s">
        <v>118</v>
      </c>
      <c r="B1908" s="1">
        <v>6</v>
      </c>
      <c r="C1908" s="1">
        <v>6.3</v>
      </c>
      <c r="D1908" s="1" t="s">
        <v>33</v>
      </c>
      <c r="E1908" s="1" t="s">
        <v>15</v>
      </c>
      <c r="F1908" s="1">
        <f t="shared" si="60"/>
        <v>600</v>
      </c>
      <c r="G1908" s="5">
        <f t="shared" si="59"/>
        <v>1.0499999999999999E-2</v>
      </c>
    </row>
    <row r="1909" spans="1:7" ht="13">
      <c r="A1909" s="4" t="s">
        <v>118</v>
      </c>
      <c r="B1909" s="1">
        <v>6.72</v>
      </c>
      <c r="C1909" s="1">
        <v>788</v>
      </c>
      <c r="D1909" s="1" t="s">
        <v>11</v>
      </c>
      <c r="E1909" s="1" t="s">
        <v>15</v>
      </c>
      <c r="F1909" s="1">
        <f t="shared" si="60"/>
        <v>672</v>
      </c>
      <c r="G1909" s="5">
        <f t="shared" si="59"/>
        <v>1.1726190476190477</v>
      </c>
    </row>
    <row r="1910" spans="1:7" ht="13">
      <c r="A1910" s="4" t="s">
        <v>118</v>
      </c>
      <c r="B1910" s="1">
        <v>6.72</v>
      </c>
      <c r="C1910" s="1">
        <v>788</v>
      </c>
      <c r="D1910" s="1" t="s">
        <v>11</v>
      </c>
      <c r="E1910" s="1" t="s">
        <v>15</v>
      </c>
      <c r="F1910" s="1">
        <f t="shared" si="60"/>
        <v>672</v>
      </c>
      <c r="G1910" s="5">
        <f t="shared" si="59"/>
        <v>1.1726190476190477</v>
      </c>
    </row>
    <row r="1911" spans="1:7" ht="13">
      <c r="A1911" s="4" t="s">
        <v>118</v>
      </c>
      <c r="B1911" s="1">
        <v>8.6999999999999993</v>
      </c>
      <c r="C1911" s="1">
        <v>895</v>
      </c>
      <c r="D1911" s="1" t="s">
        <v>11</v>
      </c>
      <c r="E1911" s="1" t="s">
        <v>20</v>
      </c>
      <c r="F1911" s="1">
        <f t="shared" si="60"/>
        <v>869.99999999999989</v>
      </c>
      <c r="G1911" s="5">
        <f t="shared" si="59"/>
        <v>1.0287356321839083</v>
      </c>
    </row>
    <row r="1912" spans="1:7" ht="13">
      <c r="A1912" s="4" t="s">
        <v>118</v>
      </c>
      <c r="B1912" s="1">
        <v>5.6</v>
      </c>
      <c r="C1912" s="1">
        <v>500</v>
      </c>
      <c r="D1912" s="1" t="s">
        <v>33</v>
      </c>
      <c r="E1912" s="1" t="s">
        <v>7</v>
      </c>
      <c r="F1912" s="1">
        <f t="shared" si="60"/>
        <v>560</v>
      </c>
      <c r="G1912" s="5">
        <f t="shared" si="59"/>
        <v>0.8928571428571429</v>
      </c>
    </row>
    <row r="1913" spans="1:7" ht="13">
      <c r="A1913" s="4" t="s">
        <v>118</v>
      </c>
      <c r="B1913" s="1">
        <v>8.6</v>
      </c>
      <c r="C1913" s="1">
        <v>1053</v>
      </c>
      <c r="D1913" s="1" t="s">
        <v>42</v>
      </c>
      <c r="E1913" s="1" t="s">
        <v>8</v>
      </c>
      <c r="F1913" s="1">
        <f t="shared" si="60"/>
        <v>860</v>
      </c>
      <c r="G1913" s="5">
        <f t="shared" si="59"/>
        <v>1.2244186046511627</v>
      </c>
    </row>
    <row r="1914" spans="1:7" ht="13">
      <c r="A1914" s="4" t="s">
        <v>118</v>
      </c>
      <c r="B1914" s="1">
        <v>6.96</v>
      </c>
      <c r="C1914" s="1">
        <v>712</v>
      </c>
      <c r="D1914" s="1" t="s">
        <v>33</v>
      </c>
      <c r="E1914" s="1" t="s">
        <v>12</v>
      </c>
      <c r="F1914" s="1">
        <f t="shared" si="60"/>
        <v>696</v>
      </c>
      <c r="G1914" s="5">
        <f t="shared" si="59"/>
        <v>1.0229885057471264</v>
      </c>
    </row>
    <row r="1915" spans="1:7" ht="13">
      <c r="A1915" s="4" t="s">
        <v>118</v>
      </c>
      <c r="B1915" s="1">
        <v>7.2</v>
      </c>
      <c r="C1915" s="1">
        <v>774</v>
      </c>
      <c r="D1915" s="1" t="s">
        <v>79</v>
      </c>
      <c r="E1915" s="1" t="s">
        <v>17</v>
      </c>
      <c r="F1915" s="1">
        <f t="shared" si="60"/>
        <v>720</v>
      </c>
      <c r="G1915" s="5">
        <f t="shared" si="59"/>
        <v>1.075</v>
      </c>
    </row>
    <row r="1916" spans="1:7" ht="13">
      <c r="A1916" s="4" t="s">
        <v>118</v>
      </c>
      <c r="B1916" s="1">
        <v>6.9</v>
      </c>
      <c r="C1916" s="1">
        <v>789</v>
      </c>
      <c r="D1916" s="1" t="s">
        <v>38</v>
      </c>
      <c r="E1916" s="1" t="s">
        <v>8</v>
      </c>
      <c r="F1916" s="1">
        <f t="shared" si="60"/>
        <v>690</v>
      </c>
      <c r="G1916" s="5">
        <f t="shared" si="59"/>
        <v>1.1434782608695653</v>
      </c>
    </row>
    <row r="1917" spans="1:7" ht="13">
      <c r="A1917" s="4" t="s">
        <v>118</v>
      </c>
      <c r="B1917" s="1">
        <v>5.6550000000000002</v>
      </c>
      <c r="C1917" s="1">
        <v>606</v>
      </c>
      <c r="D1917" s="1" t="s">
        <v>11</v>
      </c>
      <c r="E1917" s="1" t="s">
        <v>8</v>
      </c>
      <c r="F1917" s="1">
        <f t="shared" si="60"/>
        <v>565.5</v>
      </c>
      <c r="G1917" s="5">
        <f t="shared" si="59"/>
        <v>1.0716180371352786</v>
      </c>
    </row>
    <row r="1918" spans="1:7" ht="13">
      <c r="A1918" s="4" t="s">
        <v>118</v>
      </c>
      <c r="B1918" s="1">
        <v>6.96</v>
      </c>
      <c r="C1918" s="1">
        <v>715</v>
      </c>
      <c r="D1918" s="1" t="s">
        <v>33</v>
      </c>
      <c r="E1918" s="1" t="s">
        <v>12</v>
      </c>
      <c r="F1918" s="1">
        <f t="shared" si="60"/>
        <v>696</v>
      </c>
      <c r="G1918" s="5">
        <f t="shared" si="59"/>
        <v>1.0272988505747127</v>
      </c>
    </row>
    <row r="1919" spans="1:7" ht="13">
      <c r="A1919" s="4" t="s">
        <v>118</v>
      </c>
      <c r="B1919" s="1">
        <v>6.96</v>
      </c>
      <c r="C1919" s="1">
        <v>779</v>
      </c>
      <c r="D1919" s="1" t="s">
        <v>45</v>
      </c>
      <c r="E1919" s="1" t="s">
        <v>24</v>
      </c>
      <c r="F1919" s="1">
        <f t="shared" si="60"/>
        <v>696</v>
      </c>
      <c r="G1919" s="5">
        <f t="shared" si="59"/>
        <v>1.1192528735632183</v>
      </c>
    </row>
    <row r="1920" spans="1:7" ht="13">
      <c r="A1920" s="4" t="s">
        <v>118</v>
      </c>
      <c r="B1920" s="1">
        <v>6</v>
      </c>
      <c r="C1920" s="1">
        <v>660</v>
      </c>
      <c r="D1920" s="1" t="s">
        <v>11</v>
      </c>
      <c r="E1920" s="1" t="s">
        <v>17</v>
      </c>
      <c r="F1920" s="1">
        <f t="shared" si="60"/>
        <v>600</v>
      </c>
      <c r="G1920" s="5">
        <f t="shared" si="59"/>
        <v>1.1000000000000001</v>
      </c>
    </row>
    <row r="1921" spans="1:7" ht="13">
      <c r="A1921" s="4" t="s">
        <v>118</v>
      </c>
      <c r="B1921" s="1">
        <v>4</v>
      </c>
      <c r="C1921" s="1">
        <v>985</v>
      </c>
      <c r="D1921" s="1" t="s">
        <v>43</v>
      </c>
      <c r="E1921" s="1" t="s">
        <v>25</v>
      </c>
      <c r="F1921" s="1">
        <f t="shared" si="60"/>
        <v>400</v>
      </c>
      <c r="G1921" s="5">
        <f t="shared" si="59"/>
        <v>2.4624999999999999</v>
      </c>
    </row>
    <row r="1922" spans="1:7" ht="13">
      <c r="A1922" s="4" t="s">
        <v>118</v>
      </c>
      <c r="B1922" s="1">
        <v>6.7</v>
      </c>
      <c r="C1922" s="1">
        <v>708</v>
      </c>
      <c r="D1922" s="1" t="s">
        <v>33</v>
      </c>
      <c r="E1922" s="1" t="s">
        <v>27</v>
      </c>
      <c r="F1922" s="1">
        <f t="shared" si="60"/>
        <v>670</v>
      </c>
      <c r="G1922" s="5">
        <f t="shared" ref="G1922:G1985" si="61">C1922/F1922</f>
        <v>1.0567164179104478</v>
      </c>
    </row>
    <row r="1923" spans="1:7" ht="13">
      <c r="A1923" s="4" t="s">
        <v>118</v>
      </c>
      <c r="B1923" s="1">
        <v>7.5</v>
      </c>
      <c r="C1923" s="1">
        <v>882</v>
      </c>
      <c r="D1923" s="1" t="s">
        <v>11</v>
      </c>
      <c r="E1923" s="1" t="s">
        <v>10</v>
      </c>
      <c r="F1923" s="1">
        <f t="shared" si="60"/>
        <v>750</v>
      </c>
      <c r="G1923" s="5">
        <f t="shared" si="61"/>
        <v>1.1759999999999999</v>
      </c>
    </row>
    <row r="1924" spans="1:7" ht="13">
      <c r="A1924" s="4" t="s">
        <v>118</v>
      </c>
      <c r="B1924" s="1">
        <v>6.24</v>
      </c>
      <c r="C1924" s="1">
        <v>863</v>
      </c>
      <c r="D1924" s="1" t="s">
        <v>11</v>
      </c>
      <c r="E1924" s="1" t="s">
        <v>17</v>
      </c>
      <c r="F1924" s="1">
        <f t="shared" si="60"/>
        <v>624</v>
      </c>
      <c r="G1924" s="5">
        <f t="shared" si="61"/>
        <v>1.3830128205128205</v>
      </c>
    </row>
    <row r="1925" spans="1:7" ht="13">
      <c r="A1925" s="4" t="s">
        <v>118</v>
      </c>
      <c r="B1925" s="1">
        <v>6.4</v>
      </c>
      <c r="C1925" s="1">
        <v>719</v>
      </c>
      <c r="D1925" s="1" t="s">
        <v>33</v>
      </c>
      <c r="E1925" s="1" t="s">
        <v>15</v>
      </c>
      <c r="F1925" s="1">
        <f t="shared" si="60"/>
        <v>640</v>
      </c>
      <c r="G1925" s="5">
        <f t="shared" si="61"/>
        <v>1.1234375000000001</v>
      </c>
    </row>
    <row r="1926" spans="1:7" ht="13">
      <c r="A1926" s="4" t="s">
        <v>118</v>
      </c>
      <c r="B1926" s="1">
        <v>7.74</v>
      </c>
      <c r="C1926" s="1">
        <v>761</v>
      </c>
      <c r="D1926" s="1" t="s">
        <v>42</v>
      </c>
      <c r="E1926" s="1" t="s">
        <v>49</v>
      </c>
      <c r="F1926" s="1">
        <f t="shared" si="60"/>
        <v>774</v>
      </c>
      <c r="G1926" s="5">
        <f t="shared" si="61"/>
        <v>0.98320413436692511</v>
      </c>
    </row>
    <row r="1927" spans="1:7" ht="13">
      <c r="A1927" s="4" t="s">
        <v>118</v>
      </c>
      <c r="B1927" s="1">
        <v>8.6999999999999993</v>
      </c>
      <c r="C1927" s="1">
        <v>954</v>
      </c>
      <c r="D1927" s="1" t="s">
        <v>11</v>
      </c>
      <c r="E1927" s="1" t="s">
        <v>27</v>
      </c>
      <c r="F1927" s="1">
        <f t="shared" si="60"/>
        <v>869.99999999999989</v>
      </c>
      <c r="G1927" s="5">
        <f t="shared" si="61"/>
        <v>1.0965517241379312</v>
      </c>
    </row>
    <row r="1928" spans="1:7" ht="13">
      <c r="A1928" s="4" t="s">
        <v>118</v>
      </c>
      <c r="B1928" s="1">
        <v>6</v>
      </c>
      <c r="C1928" s="1">
        <v>614</v>
      </c>
      <c r="D1928" s="1" t="s">
        <v>33</v>
      </c>
      <c r="E1928" s="1" t="s">
        <v>15</v>
      </c>
      <c r="F1928" s="1">
        <f t="shared" si="60"/>
        <v>600</v>
      </c>
      <c r="G1928" s="5">
        <f t="shared" si="61"/>
        <v>1.0233333333333334</v>
      </c>
    </row>
    <row r="1929" spans="1:7" ht="13">
      <c r="A1929" s="4" t="s">
        <v>118</v>
      </c>
      <c r="B1929" s="1">
        <v>3.44</v>
      </c>
      <c r="C1929" s="1">
        <v>442</v>
      </c>
      <c r="D1929" s="1" t="s">
        <v>43</v>
      </c>
      <c r="E1929" s="1" t="s">
        <v>8</v>
      </c>
      <c r="F1929" s="1">
        <f t="shared" si="60"/>
        <v>344</v>
      </c>
      <c r="G1929" s="5">
        <f t="shared" si="61"/>
        <v>1.2848837209302326</v>
      </c>
    </row>
    <row r="1930" spans="1:7" ht="13">
      <c r="A1930" s="4" t="s">
        <v>118</v>
      </c>
      <c r="B1930" s="1">
        <v>6.2</v>
      </c>
      <c r="C1930" s="1">
        <v>656</v>
      </c>
      <c r="D1930" s="1" t="s">
        <v>11</v>
      </c>
      <c r="E1930" s="1" t="s">
        <v>7</v>
      </c>
      <c r="F1930" s="1">
        <f t="shared" si="60"/>
        <v>620</v>
      </c>
      <c r="G1930" s="5">
        <f t="shared" si="61"/>
        <v>1.0580645161290323</v>
      </c>
    </row>
    <row r="1931" spans="1:7" ht="13">
      <c r="A1931" s="4" t="s">
        <v>118</v>
      </c>
      <c r="B1931" s="1">
        <v>7.56</v>
      </c>
      <c r="C1931" s="1">
        <v>835</v>
      </c>
      <c r="D1931" s="1" t="s">
        <v>11</v>
      </c>
      <c r="E1931" s="1" t="s">
        <v>49</v>
      </c>
      <c r="F1931" s="1">
        <f t="shared" si="60"/>
        <v>756</v>
      </c>
      <c r="G1931" s="5">
        <f t="shared" si="61"/>
        <v>1.1044973544973544</v>
      </c>
    </row>
    <row r="1932" spans="1:7" ht="13">
      <c r="A1932" s="4" t="s">
        <v>118</v>
      </c>
      <c r="B1932" s="1">
        <v>9.66</v>
      </c>
      <c r="C1932" s="1">
        <v>910</v>
      </c>
      <c r="D1932" s="1" t="s">
        <v>33</v>
      </c>
      <c r="E1932" s="1" t="s">
        <v>21</v>
      </c>
      <c r="F1932" s="1">
        <f t="shared" si="60"/>
        <v>966</v>
      </c>
      <c r="G1932" s="5">
        <f t="shared" si="61"/>
        <v>0.94202898550724634</v>
      </c>
    </row>
    <row r="1933" spans="1:7" ht="13">
      <c r="A1933" s="4" t="s">
        <v>118</v>
      </c>
      <c r="B1933" s="1">
        <v>8.33</v>
      </c>
      <c r="C1933" s="1">
        <v>750</v>
      </c>
      <c r="D1933" s="1" t="s">
        <v>38</v>
      </c>
      <c r="E1933" s="1" t="s">
        <v>7</v>
      </c>
      <c r="F1933" s="1">
        <f t="shared" si="60"/>
        <v>833</v>
      </c>
      <c r="G1933" s="5">
        <f t="shared" si="61"/>
        <v>0.9003601440576231</v>
      </c>
    </row>
    <row r="1934" spans="1:7" ht="13">
      <c r="A1934" s="4" t="s">
        <v>118</v>
      </c>
      <c r="B1934" s="1">
        <v>7.2</v>
      </c>
      <c r="C1934" s="1">
        <v>846</v>
      </c>
      <c r="D1934" s="1" t="s">
        <v>33</v>
      </c>
      <c r="E1934" s="1" t="s">
        <v>15</v>
      </c>
      <c r="F1934" s="1">
        <f t="shared" si="60"/>
        <v>720</v>
      </c>
      <c r="G1934" s="5">
        <f t="shared" si="61"/>
        <v>1.175</v>
      </c>
    </row>
    <row r="1935" spans="1:7" ht="13">
      <c r="A1935" s="4" t="s">
        <v>118</v>
      </c>
      <c r="B1935" s="1">
        <v>6.96</v>
      </c>
      <c r="C1935" s="1">
        <v>792</v>
      </c>
      <c r="D1935" s="1" t="s">
        <v>11</v>
      </c>
      <c r="E1935" s="1" t="s">
        <v>26</v>
      </c>
      <c r="F1935" s="1">
        <f t="shared" si="60"/>
        <v>696</v>
      </c>
      <c r="G1935" s="5">
        <f t="shared" si="61"/>
        <v>1.1379310344827587</v>
      </c>
    </row>
    <row r="1936" spans="1:7" ht="13">
      <c r="A1936" s="4" t="s">
        <v>118</v>
      </c>
      <c r="B1936" s="1">
        <v>6.02</v>
      </c>
      <c r="C1936" s="1">
        <v>640</v>
      </c>
      <c r="D1936" s="1" t="s">
        <v>33</v>
      </c>
      <c r="E1936" s="1" t="s">
        <v>27</v>
      </c>
      <c r="F1936" s="1">
        <f t="shared" si="60"/>
        <v>602</v>
      </c>
      <c r="G1936" s="5">
        <f t="shared" si="61"/>
        <v>1.0631229235880399</v>
      </c>
    </row>
    <row r="1937" spans="1:7" ht="13">
      <c r="A1937" s="4" t="s">
        <v>118</v>
      </c>
      <c r="B1937" s="1">
        <v>7.56</v>
      </c>
      <c r="C1937" s="1">
        <v>805</v>
      </c>
      <c r="D1937" s="1" t="s">
        <v>56</v>
      </c>
      <c r="E1937" s="1" t="s">
        <v>31</v>
      </c>
      <c r="F1937" s="1">
        <f t="shared" si="60"/>
        <v>756</v>
      </c>
      <c r="G1937" s="5">
        <f t="shared" si="61"/>
        <v>1.0648148148148149</v>
      </c>
    </row>
    <row r="1938" spans="1:7" ht="13">
      <c r="A1938" s="4" t="s">
        <v>118</v>
      </c>
      <c r="B1938" s="1">
        <v>5.625</v>
      </c>
      <c r="C1938" s="1">
        <v>566</v>
      </c>
      <c r="D1938" s="1" t="s">
        <v>11</v>
      </c>
      <c r="E1938" s="1" t="s">
        <v>15</v>
      </c>
      <c r="F1938" s="1">
        <f t="shared" si="60"/>
        <v>562.5</v>
      </c>
      <c r="G1938" s="5">
        <f t="shared" si="61"/>
        <v>1.0062222222222221</v>
      </c>
    </row>
    <row r="1939" spans="1:7" ht="13">
      <c r="A1939" s="4" t="s">
        <v>118</v>
      </c>
      <c r="B1939" s="1">
        <v>6.5</v>
      </c>
      <c r="C1939" s="1">
        <v>715</v>
      </c>
      <c r="D1939" s="1" t="s">
        <v>39</v>
      </c>
      <c r="E1939" s="1" t="s">
        <v>16</v>
      </c>
      <c r="F1939" s="1">
        <f t="shared" si="60"/>
        <v>650</v>
      </c>
      <c r="G1939" s="5">
        <f t="shared" si="61"/>
        <v>1.1000000000000001</v>
      </c>
    </row>
    <row r="1940" spans="1:7" ht="13">
      <c r="A1940" s="4" t="s">
        <v>118</v>
      </c>
      <c r="B1940" s="1">
        <v>6.3</v>
      </c>
      <c r="C1940" s="1">
        <v>704</v>
      </c>
      <c r="D1940" s="1" t="s">
        <v>11</v>
      </c>
      <c r="E1940" s="1" t="s">
        <v>12</v>
      </c>
      <c r="F1940" s="1">
        <f t="shared" si="60"/>
        <v>630</v>
      </c>
      <c r="G1940" s="5">
        <f t="shared" si="61"/>
        <v>1.1174603174603175</v>
      </c>
    </row>
    <row r="1941" spans="1:7" ht="13">
      <c r="A1941" s="4" t="s">
        <v>118</v>
      </c>
      <c r="B1941" s="1">
        <v>4.8</v>
      </c>
      <c r="C1941" s="1">
        <v>441</v>
      </c>
      <c r="D1941" s="1" t="s">
        <v>11</v>
      </c>
      <c r="E1941" s="1" t="s">
        <v>10</v>
      </c>
      <c r="F1941" s="1">
        <f t="shared" si="60"/>
        <v>480</v>
      </c>
      <c r="G1941" s="5">
        <f t="shared" si="61"/>
        <v>0.91874999999999996</v>
      </c>
    </row>
    <row r="1942" spans="1:7" ht="13">
      <c r="A1942" s="4" t="s">
        <v>118</v>
      </c>
      <c r="B1942" s="1">
        <v>3.48</v>
      </c>
      <c r="C1942" s="1">
        <v>413.64</v>
      </c>
      <c r="D1942" s="1" t="s">
        <v>11</v>
      </c>
      <c r="E1942" s="1" t="s">
        <v>15</v>
      </c>
      <c r="F1942" s="1">
        <f t="shared" si="60"/>
        <v>348</v>
      </c>
      <c r="G1942" s="5">
        <f t="shared" si="61"/>
        <v>1.1886206896551723</v>
      </c>
    </row>
    <row r="1943" spans="1:7" ht="13">
      <c r="A1943" s="4" t="s">
        <v>118</v>
      </c>
      <c r="B1943" s="1">
        <v>4</v>
      </c>
      <c r="C1943" s="1">
        <v>468</v>
      </c>
      <c r="D1943" s="1" t="s">
        <v>11</v>
      </c>
      <c r="E1943" s="1" t="s">
        <v>9</v>
      </c>
      <c r="F1943" s="1">
        <f t="shared" si="60"/>
        <v>400</v>
      </c>
      <c r="G1943" s="5">
        <f t="shared" si="61"/>
        <v>1.17</v>
      </c>
    </row>
    <row r="1944" spans="1:7" ht="13">
      <c r="A1944" s="4" t="s">
        <v>118</v>
      </c>
      <c r="B1944" s="1">
        <v>3.4</v>
      </c>
      <c r="C1944" s="1">
        <v>403</v>
      </c>
      <c r="D1944" s="1" t="s">
        <v>11</v>
      </c>
      <c r="E1944" s="1" t="s">
        <v>22</v>
      </c>
      <c r="F1944" s="1">
        <f t="shared" si="60"/>
        <v>340</v>
      </c>
      <c r="G1944" s="5">
        <f t="shared" si="61"/>
        <v>1.1852941176470588</v>
      </c>
    </row>
    <row r="1945" spans="1:7" ht="13">
      <c r="A1945" s="4" t="s">
        <v>118</v>
      </c>
      <c r="B1945" s="1">
        <v>5.6</v>
      </c>
      <c r="C1945" s="1">
        <v>645</v>
      </c>
      <c r="D1945" s="1" t="s">
        <v>54</v>
      </c>
      <c r="E1945" s="1" t="s">
        <v>22</v>
      </c>
      <c r="F1945" s="1">
        <f t="shared" si="60"/>
        <v>560</v>
      </c>
      <c r="G1945" s="5">
        <f t="shared" si="61"/>
        <v>1.1517857142857142</v>
      </c>
    </row>
    <row r="1946" spans="1:7" ht="13">
      <c r="A1946" s="4" t="s">
        <v>118</v>
      </c>
      <c r="B1946" s="1">
        <v>6.8</v>
      </c>
      <c r="C1946" s="1">
        <v>705</v>
      </c>
      <c r="D1946" s="1" t="s">
        <v>33</v>
      </c>
      <c r="E1946" s="1" t="s">
        <v>20</v>
      </c>
      <c r="F1946" s="1">
        <f t="shared" si="60"/>
        <v>680</v>
      </c>
      <c r="G1946" s="5">
        <f t="shared" si="61"/>
        <v>1.036764705882353</v>
      </c>
    </row>
    <row r="1947" spans="1:7" ht="13">
      <c r="A1947" s="4" t="s">
        <v>118</v>
      </c>
      <c r="B1947" s="1">
        <v>5.2</v>
      </c>
      <c r="C1947" s="1">
        <v>562</v>
      </c>
      <c r="D1947" s="1" t="s">
        <v>44</v>
      </c>
      <c r="E1947" s="1" t="s">
        <v>15</v>
      </c>
      <c r="F1947" s="1">
        <f t="shared" si="60"/>
        <v>520</v>
      </c>
      <c r="G1947" s="5">
        <f t="shared" si="61"/>
        <v>1.0807692307692307</v>
      </c>
    </row>
    <row r="1948" spans="1:7" ht="13">
      <c r="A1948" s="4" t="s">
        <v>118</v>
      </c>
      <c r="B1948" s="1">
        <v>6.4</v>
      </c>
      <c r="C1948" s="1">
        <v>715</v>
      </c>
      <c r="D1948" s="1" t="s">
        <v>93</v>
      </c>
      <c r="E1948" s="1" t="s">
        <v>26</v>
      </c>
      <c r="F1948" s="1">
        <f t="shared" si="60"/>
        <v>640</v>
      </c>
      <c r="G1948" s="5">
        <f t="shared" si="61"/>
        <v>1.1171875</v>
      </c>
    </row>
    <row r="1949" spans="1:7" ht="13">
      <c r="A1949" s="4" t="s">
        <v>118</v>
      </c>
      <c r="B1949" s="1">
        <v>6.96</v>
      </c>
      <c r="C1949" s="1">
        <v>899</v>
      </c>
      <c r="D1949" s="1" t="s">
        <v>11</v>
      </c>
      <c r="E1949" s="1" t="s">
        <v>8</v>
      </c>
      <c r="F1949" s="1">
        <f t="shared" si="60"/>
        <v>696</v>
      </c>
      <c r="G1949" s="5">
        <f t="shared" si="61"/>
        <v>1.2916666666666667</v>
      </c>
    </row>
    <row r="1950" spans="1:7" ht="13">
      <c r="A1950" s="4" t="s">
        <v>118</v>
      </c>
      <c r="B1950" s="1">
        <v>8.6</v>
      </c>
      <c r="C1950" s="1">
        <v>807</v>
      </c>
      <c r="D1950" s="1" t="s">
        <v>43</v>
      </c>
      <c r="E1950" s="1" t="s">
        <v>22</v>
      </c>
      <c r="F1950" s="1">
        <f t="shared" si="60"/>
        <v>860</v>
      </c>
      <c r="G1950" s="5">
        <f t="shared" si="61"/>
        <v>0.93837209302325586</v>
      </c>
    </row>
    <row r="1951" spans="1:7" ht="13">
      <c r="A1951" s="4" t="s">
        <v>118</v>
      </c>
      <c r="B1951" s="1">
        <v>5.1100000000000003</v>
      </c>
      <c r="C1951" s="1">
        <v>547</v>
      </c>
      <c r="D1951" s="1" t="s">
        <v>11</v>
      </c>
      <c r="E1951" s="1" t="s">
        <v>8</v>
      </c>
      <c r="F1951" s="1">
        <f t="shared" si="60"/>
        <v>511.00000000000006</v>
      </c>
      <c r="G1951" s="5">
        <f t="shared" si="61"/>
        <v>1.0704500978473579</v>
      </c>
    </row>
    <row r="1952" spans="1:7" ht="13">
      <c r="A1952" s="4" t="s">
        <v>118</v>
      </c>
      <c r="B1952" s="1">
        <v>5.2</v>
      </c>
      <c r="C1952" s="1">
        <v>557</v>
      </c>
      <c r="D1952" s="1" t="s">
        <v>50</v>
      </c>
      <c r="E1952" s="1" t="s">
        <v>15</v>
      </c>
      <c r="F1952" s="1">
        <f t="shared" ref="F1952:F2015" si="62">B1952*100</f>
        <v>520</v>
      </c>
      <c r="G1952" s="5">
        <f t="shared" si="61"/>
        <v>1.0711538461538461</v>
      </c>
    </row>
    <row r="1953" spans="1:7" ht="13">
      <c r="A1953" s="4" t="s">
        <v>118</v>
      </c>
      <c r="B1953" s="1">
        <v>8.1</v>
      </c>
      <c r="C1953" s="1">
        <v>995</v>
      </c>
      <c r="D1953" s="1" t="s">
        <v>42</v>
      </c>
      <c r="E1953" s="1" t="s">
        <v>10</v>
      </c>
      <c r="F1953" s="1">
        <f t="shared" si="62"/>
        <v>810</v>
      </c>
      <c r="G1953" s="5">
        <f t="shared" si="61"/>
        <v>1.228395061728395</v>
      </c>
    </row>
    <row r="1954" spans="1:7" ht="13">
      <c r="A1954" s="4" t="s">
        <v>118</v>
      </c>
      <c r="B1954" s="1">
        <v>7.7</v>
      </c>
      <c r="C1954" s="1">
        <v>771</v>
      </c>
      <c r="D1954" s="1" t="s">
        <v>37</v>
      </c>
      <c r="E1954" s="1" t="s">
        <v>26</v>
      </c>
      <c r="F1954" s="1">
        <f t="shared" si="62"/>
        <v>770</v>
      </c>
      <c r="G1954" s="5">
        <f t="shared" si="61"/>
        <v>1.0012987012987014</v>
      </c>
    </row>
    <row r="1955" spans="1:7" ht="13">
      <c r="A1955" s="4" t="s">
        <v>118</v>
      </c>
      <c r="B1955" s="1">
        <v>5</v>
      </c>
      <c r="C1955" s="1">
        <v>750</v>
      </c>
      <c r="D1955" s="1" t="s">
        <v>33</v>
      </c>
      <c r="E1955" s="1" t="s">
        <v>32</v>
      </c>
      <c r="F1955" s="1">
        <f t="shared" si="62"/>
        <v>500</v>
      </c>
      <c r="G1955" s="5">
        <f t="shared" si="61"/>
        <v>1.5</v>
      </c>
    </row>
    <row r="1956" spans="1:7" ht="13">
      <c r="A1956" s="4" t="s">
        <v>118</v>
      </c>
      <c r="B1956" s="1">
        <v>6.93</v>
      </c>
      <c r="C1956" s="1">
        <v>891</v>
      </c>
      <c r="D1956" s="1" t="s">
        <v>11</v>
      </c>
      <c r="E1956" s="1" t="s">
        <v>8</v>
      </c>
      <c r="F1956" s="1">
        <f t="shared" si="62"/>
        <v>693</v>
      </c>
      <c r="G1956" s="5">
        <f t="shared" si="61"/>
        <v>1.2857142857142858</v>
      </c>
    </row>
    <row r="1957" spans="1:7" ht="13">
      <c r="A1957" s="4" t="s">
        <v>118</v>
      </c>
      <c r="B1957" s="1">
        <v>7.83</v>
      </c>
      <c r="C1957" s="1">
        <v>865</v>
      </c>
      <c r="D1957" s="1" t="s">
        <v>11</v>
      </c>
      <c r="E1957" s="1" t="s">
        <v>17</v>
      </c>
      <c r="F1957" s="1">
        <f t="shared" si="62"/>
        <v>783</v>
      </c>
      <c r="G1957" s="5">
        <f t="shared" si="61"/>
        <v>1.1047254150702426</v>
      </c>
    </row>
    <row r="1958" spans="1:7" ht="13">
      <c r="A1958" s="4" t="s">
        <v>118</v>
      </c>
      <c r="B1958" s="1">
        <v>7.74</v>
      </c>
      <c r="C1958" s="1">
        <v>825</v>
      </c>
      <c r="D1958" s="1" t="s">
        <v>37</v>
      </c>
      <c r="E1958" s="1" t="s">
        <v>7</v>
      </c>
      <c r="F1958" s="1">
        <f t="shared" si="62"/>
        <v>774</v>
      </c>
      <c r="G1958" s="5">
        <f t="shared" si="61"/>
        <v>1.0658914728682169</v>
      </c>
    </row>
    <row r="1959" spans="1:7" ht="13">
      <c r="A1959" s="4" t="s">
        <v>118</v>
      </c>
      <c r="B1959" s="1">
        <v>3.4</v>
      </c>
      <c r="C1959" s="1">
        <v>375</v>
      </c>
      <c r="D1959" s="1" t="s">
        <v>11</v>
      </c>
      <c r="E1959" s="1" t="s">
        <v>16</v>
      </c>
      <c r="F1959" s="1">
        <f t="shared" si="62"/>
        <v>340</v>
      </c>
      <c r="G1959" s="5">
        <f t="shared" si="61"/>
        <v>1.1029411764705883</v>
      </c>
    </row>
    <row r="1960" spans="1:7" ht="13">
      <c r="A1960" s="4" t="s">
        <v>118</v>
      </c>
      <c r="B1960" s="1">
        <v>8.1999999999999993</v>
      </c>
      <c r="C1960" s="1">
        <v>896</v>
      </c>
      <c r="D1960" s="1" t="s">
        <v>60</v>
      </c>
      <c r="E1960" s="1" t="s">
        <v>16</v>
      </c>
      <c r="F1960" s="1">
        <f t="shared" si="62"/>
        <v>819.99999999999989</v>
      </c>
      <c r="G1960" s="5">
        <f t="shared" si="61"/>
        <v>1.0926829268292684</v>
      </c>
    </row>
    <row r="1961" spans="1:7" ht="13">
      <c r="A1961" s="4" t="s">
        <v>118</v>
      </c>
      <c r="B1961" s="1">
        <v>6.4</v>
      </c>
      <c r="C1961" s="1">
        <v>617.5</v>
      </c>
      <c r="D1961" s="1" t="s">
        <v>35</v>
      </c>
      <c r="E1961" s="1" t="s">
        <v>18</v>
      </c>
      <c r="F1961" s="1">
        <f t="shared" si="62"/>
        <v>640</v>
      </c>
      <c r="G1961" s="5">
        <f t="shared" si="61"/>
        <v>0.96484375</v>
      </c>
    </row>
    <row r="1962" spans="1:7" ht="13">
      <c r="A1962" s="4" t="s">
        <v>118</v>
      </c>
      <c r="B1962" s="1">
        <v>5</v>
      </c>
      <c r="C1962" s="1">
        <v>552</v>
      </c>
      <c r="D1962" s="1" t="s">
        <v>11</v>
      </c>
      <c r="E1962" s="1" t="s">
        <v>23</v>
      </c>
      <c r="F1962" s="1">
        <f t="shared" si="62"/>
        <v>500</v>
      </c>
      <c r="G1962" s="5">
        <f t="shared" si="61"/>
        <v>1.1040000000000001</v>
      </c>
    </row>
    <row r="1963" spans="1:7" ht="13">
      <c r="A1963" s="4" t="s">
        <v>118</v>
      </c>
      <c r="B1963" s="1">
        <v>7.3</v>
      </c>
      <c r="C1963" s="1">
        <v>789</v>
      </c>
      <c r="D1963" s="1" t="s">
        <v>35</v>
      </c>
      <c r="E1963" s="1" t="s">
        <v>28</v>
      </c>
      <c r="F1963" s="1">
        <f t="shared" si="62"/>
        <v>730</v>
      </c>
      <c r="G1963" s="5">
        <f t="shared" si="61"/>
        <v>1.0808219178082192</v>
      </c>
    </row>
    <row r="1964" spans="1:7" ht="13">
      <c r="A1964" s="4" t="s">
        <v>118</v>
      </c>
      <c r="B1964" s="1">
        <v>5.22</v>
      </c>
      <c r="C1964" s="1">
        <v>631.28</v>
      </c>
      <c r="D1964" s="1" t="s">
        <v>11</v>
      </c>
      <c r="E1964" s="1" t="s">
        <v>7</v>
      </c>
      <c r="F1964" s="1">
        <f t="shared" si="62"/>
        <v>522</v>
      </c>
      <c r="G1964" s="5">
        <f t="shared" si="61"/>
        <v>1.2093486590038314</v>
      </c>
    </row>
    <row r="1965" spans="1:7" ht="13">
      <c r="A1965" s="4" t="s">
        <v>118</v>
      </c>
      <c r="B1965" s="1">
        <v>7.14</v>
      </c>
      <c r="C1965" s="1">
        <v>758</v>
      </c>
      <c r="D1965" s="1" t="s">
        <v>11</v>
      </c>
      <c r="E1965" s="1" t="s">
        <v>28</v>
      </c>
      <c r="F1965" s="1">
        <f t="shared" si="62"/>
        <v>714</v>
      </c>
      <c r="G1965" s="5">
        <f t="shared" si="61"/>
        <v>1.061624649859944</v>
      </c>
    </row>
    <row r="1966" spans="1:7" ht="13">
      <c r="A1966" s="4" t="s">
        <v>118</v>
      </c>
      <c r="B1966" s="1">
        <v>8.4</v>
      </c>
      <c r="C1966" s="1">
        <v>893</v>
      </c>
      <c r="D1966" s="1" t="s">
        <v>42</v>
      </c>
      <c r="E1966" s="1" t="s">
        <v>32</v>
      </c>
      <c r="F1966" s="1">
        <f t="shared" si="62"/>
        <v>840</v>
      </c>
      <c r="G1966" s="5">
        <f t="shared" si="61"/>
        <v>1.0630952380952381</v>
      </c>
    </row>
    <row r="1967" spans="1:7" ht="13">
      <c r="A1967" s="4" t="s">
        <v>118</v>
      </c>
      <c r="B1967" s="1">
        <v>8.1</v>
      </c>
      <c r="C1967" s="1">
        <v>1045</v>
      </c>
      <c r="D1967" s="1" t="s">
        <v>11</v>
      </c>
      <c r="E1967" s="1" t="s">
        <v>8</v>
      </c>
      <c r="F1967" s="1">
        <f t="shared" si="62"/>
        <v>810</v>
      </c>
      <c r="G1967" s="5">
        <f t="shared" si="61"/>
        <v>1.2901234567901234</v>
      </c>
    </row>
    <row r="1968" spans="1:7" ht="13">
      <c r="A1968" s="4" t="s">
        <v>118</v>
      </c>
      <c r="B1968" s="1">
        <v>5</v>
      </c>
      <c r="C1968" s="1">
        <v>749</v>
      </c>
      <c r="D1968" s="1" t="s">
        <v>43</v>
      </c>
      <c r="E1968" s="1" t="s">
        <v>9</v>
      </c>
      <c r="F1968" s="1">
        <f t="shared" si="62"/>
        <v>500</v>
      </c>
      <c r="G1968" s="5">
        <f t="shared" si="61"/>
        <v>1.498</v>
      </c>
    </row>
    <row r="1969" spans="1:7" ht="13">
      <c r="A1969" s="4" t="s">
        <v>118</v>
      </c>
      <c r="B1969" s="1">
        <v>27.5</v>
      </c>
      <c r="C1969" s="1">
        <v>5119</v>
      </c>
      <c r="D1969" s="1" t="s">
        <v>53</v>
      </c>
      <c r="E1969" s="1" t="s">
        <v>9</v>
      </c>
      <c r="F1969" s="1">
        <f t="shared" si="62"/>
        <v>2750</v>
      </c>
      <c r="G1969" s="5">
        <f t="shared" si="61"/>
        <v>1.8614545454545455</v>
      </c>
    </row>
    <row r="1970" spans="1:7" ht="13">
      <c r="A1970" s="4" t="s">
        <v>118</v>
      </c>
      <c r="B1970" s="1">
        <v>6.8</v>
      </c>
      <c r="C1970" s="1">
        <v>782</v>
      </c>
      <c r="D1970" s="1" t="s">
        <v>44</v>
      </c>
      <c r="E1970" s="1" t="s">
        <v>26</v>
      </c>
      <c r="F1970" s="1">
        <f t="shared" si="62"/>
        <v>680</v>
      </c>
      <c r="G1970" s="5">
        <f t="shared" si="61"/>
        <v>1.1499999999999999</v>
      </c>
    </row>
    <row r="1971" spans="1:7" ht="13">
      <c r="A1971" s="4" t="s">
        <v>118</v>
      </c>
      <c r="B1971" s="1">
        <v>7.7</v>
      </c>
      <c r="C1971" s="1">
        <v>976</v>
      </c>
      <c r="D1971" s="1" t="s">
        <v>34</v>
      </c>
      <c r="E1971" s="1" t="s">
        <v>10</v>
      </c>
      <c r="F1971" s="1">
        <f t="shared" si="62"/>
        <v>770</v>
      </c>
      <c r="G1971" s="5">
        <f t="shared" si="61"/>
        <v>1.2675324675324675</v>
      </c>
    </row>
    <row r="1972" spans="1:7" ht="13">
      <c r="A1972" s="4" t="s">
        <v>118</v>
      </c>
      <c r="B1972" s="1">
        <v>4.2</v>
      </c>
      <c r="C1972" s="1">
        <v>468</v>
      </c>
      <c r="D1972" s="1" t="s">
        <v>102</v>
      </c>
      <c r="E1972" s="1" t="s">
        <v>26</v>
      </c>
      <c r="F1972" s="1">
        <f t="shared" si="62"/>
        <v>420</v>
      </c>
      <c r="G1972" s="5">
        <f t="shared" si="61"/>
        <v>1.1142857142857143</v>
      </c>
    </row>
    <row r="1973" spans="1:7" ht="13">
      <c r="A1973" s="4" t="s">
        <v>118</v>
      </c>
      <c r="B1973" s="1">
        <v>7.85</v>
      </c>
      <c r="C1973" s="1">
        <v>836</v>
      </c>
      <c r="D1973" s="1" t="s">
        <v>11</v>
      </c>
      <c r="E1973" s="1" t="s">
        <v>8</v>
      </c>
      <c r="F1973" s="1">
        <f t="shared" si="62"/>
        <v>785</v>
      </c>
      <c r="G1973" s="5">
        <f t="shared" si="61"/>
        <v>1.064968152866242</v>
      </c>
    </row>
    <row r="1974" spans="1:7" ht="13">
      <c r="A1974" s="4" t="s">
        <v>118</v>
      </c>
      <c r="B1974" s="1">
        <v>9.4600000000000009</v>
      </c>
      <c r="C1974" s="1">
        <v>796</v>
      </c>
      <c r="D1974" s="1" t="s">
        <v>52</v>
      </c>
      <c r="E1974" s="1" t="s">
        <v>18</v>
      </c>
      <c r="F1974" s="1">
        <f t="shared" si="62"/>
        <v>946.00000000000011</v>
      </c>
      <c r="G1974" s="5">
        <f t="shared" si="61"/>
        <v>0.84143763213530642</v>
      </c>
    </row>
    <row r="1975" spans="1:7" ht="13">
      <c r="A1975" s="4" t="s">
        <v>118</v>
      </c>
      <c r="B1975" s="1">
        <v>7.74</v>
      </c>
      <c r="C1975" s="1">
        <v>915</v>
      </c>
      <c r="D1975" s="1" t="s">
        <v>33</v>
      </c>
      <c r="E1975" s="1" t="s">
        <v>9</v>
      </c>
      <c r="F1975" s="1">
        <f t="shared" si="62"/>
        <v>774</v>
      </c>
      <c r="G1975" s="5">
        <f t="shared" si="61"/>
        <v>1.182170542635659</v>
      </c>
    </row>
    <row r="1976" spans="1:7" ht="13">
      <c r="A1976" s="4" t="s">
        <v>118</v>
      </c>
      <c r="B1976" s="1">
        <v>5</v>
      </c>
      <c r="C1976" s="1">
        <v>460</v>
      </c>
      <c r="D1976" s="1" t="s">
        <v>11</v>
      </c>
      <c r="E1976" s="1" t="s">
        <v>7</v>
      </c>
      <c r="F1976" s="1">
        <f t="shared" si="62"/>
        <v>500</v>
      </c>
      <c r="G1976" s="5">
        <f t="shared" si="61"/>
        <v>0.92</v>
      </c>
    </row>
    <row r="1977" spans="1:7" ht="13">
      <c r="A1977" s="4" t="s">
        <v>118</v>
      </c>
      <c r="B1977" s="1">
        <v>6.88</v>
      </c>
      <c r="C1977" s="1">
        <v>710</v>
      </c>
      <c r="D1977" s="1" t="s">
        <v>88</v>
      </c>
      <c r="E1977" s="1" t="s">
        <v>32</v>
      </c>
      <c r="F1977" s="1">
        <f t="shared" si="62"/>
        <v>688</v>
      </c>
      <c r="G1977" s="5">
        <f t="shared" si="61"/>
        <v>1.0319767441860466</v>
      </c>
    </row>
    <row r="1978" spans="1:7" ht="13">
      <c r="A1978" s="4" t="s">
        <v>118</v>
      </c>
      <c r="B1978" s="1">
        <v>10.875</v>
      </c>
      <c r="C1978" s="1">
        <v>1041</v>
      </c>
      <c r="D1978" s="1" t="s">
        <v>33</v>
      </c>
      <c r="E1978" s="1" t="s">
        <v>22</v>
      </c>
      <c r="F1978" s="1">
        <f t="shared" si="62"/>
        <v>1087.5</v>
      </c>
      <c r="G1978" s="5">
        <f t="shared" si="61"/>
        <v>0.95724137931034481</v>
      </c>
    </row>
    <row r="1979" spans="1:7" ht="13">
      <c r="A1979" s="4" t="s">
        <v>118</v>
      </c>
      <c r="B1979" s="1">
        <v>6.09</v>
      </c>
      <c r="C1979" s="1">
        <v>600.41999999999996</v>
      </c>
      <c r="D1979" s="1" t="s">
        <v>42</v>
      </c>
      <c r="E1979" s="1" t="s">
        <v>15</v>
      </c>
      <c r="F1979" s="1">
        <f t="shared" si="62"/>
        <v>609</v>
      </c>
      <c r="G1979" s="5">
        <f t="shared" si="61"/>
        <v>0.98591133004926101</v>
      </c>
    </row>
    <row r="1980" spans="1:7" ht="13">
      <c r="A1980" s="4" t="s">
        <v>118</v>
      </c>
      <c r="B1980" s="1">
        <v>5</v>
      </c>
      <c r="C1980" s="1">
        <v>515</v>
      </c>
      <c r="D1980" s="1" t="s">
        <v>11</v>
      </c>
      <c r="E1980" s="1" t="s">
        <v>25</v>
      </c>
      <c r="F1980" s="1">
        <f t="shared" si="62"/>
        <v>500</v>
      </c>
      <c r="G1980" s="5">
        <f t="shared" si="61"/>
        <v>1.03</v>
      </c>
    </row>
    <row r="1981" spans="1:7" ht="13">
      <c r="A1981" s="4" t="s">
        <v>118</v>
      </c>
      <c r="B1981" s="1">
        <v>15.6</v>
      </c>
      <c r="C1981" s="1">
        <v>2040</v>
      </c>
      <c r="D1981" s="1" t="s">
        <v>52</v>
      </c>
      <c r="E1981" s="1" t="s">
        <v>8</v>
      </c>
      <c r="F1981" s="1">
        <f t="shared" si="62"/>
        <v>1560</v>
      </c>
      <c r="G1981" s="5">
        <f t="shared" si="61"/>
        <v>1.3076923076923077</v>
      </c>
    </row>
    <row r="1982" spans="1:7" ht="13">
      <c r="A1982" s="4" t="s">
        <v>118</v>
      </c>
      <c r="B1982" s="1">
        <v>8.6999999999999993</v>
      </c>
      <c r="C1982" s="1">
        <v>925</v>
      </c>
      <c r="D1982" s="1" t="s">
        <v>33</v>
      </c>
      <c r="E1982" s="1" t="s">
        <v>26</v>
      </c>
      <c r="F1982" s="1">
        <f t="shared" si="62"/>
        <v>869.99999999999989</v>
      </c>
      <c r="G1982" s="5">
        <f t="shared" si="61"/>
        <v>1.0632183908045978</v>
      </c>
    </row>
    <row r="1983" spans="1:7" ht="13">
      <c r="A1983" s="4" t="s">
        <v>118</v>
      </c>
      <c r="B1983" s="1">
        <v>5.4</v>
      </c>
      <c r="C1983" s="1">
        <v>613</v>
      </c>
      <c r="D1983" s="1" t="s">
        <v>33</v>
      </c>
      <c r="E1983" s="1" t="s">
        <v>25</v>
      </c>
      <c r="F1983" s="1">
        <f t="shared" si="62"/>
        <v>540</v>
      </c>
      <c r="G1983" s="5">
        <f t="shared" si="61"/>
        <v>1.1351851851851851</v>
      </c>
    </row>
    <row r="1984" spans="1:7" ht="13">
      <c r="A1984" s="4" t="s">
        <v>118</v>
      </c>
      <c r="B1984" s="1">
        <v>7.8</v>
      </c>
      <c r="C1984" s="1">
        <v>890</v>
      </c>
      <c r="D1984" s="1" t="s">
        <v>39</v>
      </c>
      <c r="E1984" s="1" t="s">
        <v>17</v>
      </c>
      <c r="F1984" s="1">
        <f t="shared" si="62"/>
        <v>780</v>
      </c>
      <c r="G1984" s="5">
        <f t="shared" si="61"/>
        <v>1.141025641025641</v>
      </c>
    </row>
    <row r="1985" spans="1:7" ht="13">
      <c r="A1985" s="4" t="s">
        <v>118</v>
      </c>
      <c r="B1985" s="1">
        <v>5.2</v>
      </c>
      <c r="C1985" s="1">
        <v>714</v>
      </c>
      <c r="D1985" s="1" t="s">
        <v>43</v>
      </c>
      <c r="E1985" s="1" t="s">
        <v>16</v>
      </c>
      <c r="F1985" s="1">
        <f t="shared" si="62"/>
        <v>520</v>
      </c>
      <c r="G1985" s="5">
        <f t="shared" si="61"/>
        <v>1.3730769230769231</v>
      </c>
    </row>
    <row r="1986" spans="1:7" ht="13">
      <c r="A1986" s="4" t="s">
        <v>118</v>
      </c>
      <c r="B1986" s="1">
        <v>7.56</v>
      </c>
      <c r="C1986" s="1">
        <v>966</v>
      </c>
      <c r="D1986" s="1" t="s">
        <v>11</v>
      </c>
      <c r="E1986" s="1" t="s">
        <v>9</v>
      </c>
      <c r="F1986" s="1">
        <f t="shared" si="62"/>
        <v>756</v>
      </c>
      <c r="G1986" s="5">
        <f t="shared" ref="G1986:G2049" si="63">C1986/F1986</f>
        <v>1.2777777777777777</v>
      </c>
    </row>
    <row r="1987" spans="1:7" ht="13">
      <c r="A1987" s="4" t="s">
        <v>118</v>
      </c>
      <c r="B1987" s="1">
        <v>6</v>
      </c>
      <c r="C1987" s="1">
        <v>686</v>
      </c>
      <c r="D1987" s="1" t="s">
        <v>33</v>
      </c>
      <c r="E1987" s="1" t="s">
        <v>16</v>
      </c>
      <c r="F1987" s="1">
        <f t="shared" si="62"/>
        <v>600</v>
      </c>
      <c r="G1987" s="5">
        <f t="shared" si="63"/>
        <v>1.1433333333333333</v>
      </c>
    </row>
    <row r="1988" spans="1:7" ht="13">
      <c r="A1988" s="4" t="s">
        <v>118</v>
      </c>
      <c r="B1988" s="1">
        <v>8.6</v>
      </c>
      <c r="C1988" s="1">
        <v>936</v>
      </c>
      <c r="D1988" s="1" t="s">
        <v>33</v>
      </c>
      <c r="E1988" s="1" t="s">
        <v>26</v>
      </c>
      <c r="F1988" s="1">
        <f t="shared" si="62"/>
        <v>860</v>
      </c>
      <c r="G1988" s="5">
        <f t="shared" si="63"/>
        <v>1.0883720930232559</v>
      </c>
    </row>
    <row r="1989" spans="1:7" ht="13">
      <c r="A1989" s="4" t="s">
        <v>118</v>
      </c>
      <c r="B1989" s="1">
        <v>4.92</v>
      </c>
      <c r="C1989" s="1">
        <v>572.5</v>
      </c>
      <c r="D1989" s="1" t="s">
        <v>47</v>
      </c>
      <c r="E1989" s="1" t="s">
        <v>22</v>
      </c>
      <c r="F1989" s="1">
        <f t="shared" si="62"/>
        <v>492</v>
      </c>
      <c r="G1989" s="5">
        <f t="shared" si="63"/>
        <v>1.1636178861788617</v>
      </c>
    </row>
    <row r="1990" spans="1:7" ht="13">
      <c r="A1990" s="4" t="s">
        <v>118</v>
      </c>
      <c r="B1990" s="1">
        <v>6</v>
      </c>
      <c r="C1990" s="1">
        <v>494</v>
      </c>
      <c r="D1990" s="1" t="s">
        <v>36</v>
      </c>
      <c r="E1990" s="1" t="s">
        <v>9</v>
      </c>
      <c r="F1990" s="1">
        <f t="shared" si="62"/>
        <v>600</v>
      </c>
      <c r="G1990" s="5">
        <f t="shared" si="63"/>
        <v>0.82333333333333336</v>
      </c>
    </row>
    <row r="1991" spans="1:7" ht="13">
      <c r="A1991" s="4" t="s">
        <v>118</v>
      </c>
      <c r="B1991" s="1">
        <v>9.57</v>
      </c>
      <c r="C1991" s="1">
        <v>1004</v>
      </c>
      <c r="D1991" s="1" t="s">
        <v>11</v>
      </c>
      <c r="E1991" s="1" t="s">
        <v>10</v>
      </c>
      <c r="F1991" s="1">
        <f t="shared" si="62"/>
        <v>957</v>
      </c>
      <c r="G1991" s="5">
        <f t="shared" si="63"/>
        <v>1.0491118077324975</v>
      </c>
    </row>
    <row r="1992" spans="1:7" ht="13">
      <c r="A1992" s="4" t="s">
        <v>118</v>
      </c>
      <c r="B1992" s="1">
        <v>4.2</v>
      </c>
      <c r="C1992" s="1">
        <v>429.1</v>
      </c>
      <c r="D1992" s="1" t="s">
        <v>35</v>
      </c>
      <c r="E1992" s="1" t="s">
        <v>17</v>
      </c>
      <c r="F1992" s="1">
        <f t="shared" si="62"/>
        <v>420</v>
      </c>
      <c r="G1992" s="5">
        <f t="shared" si="63"/>
        <v>1.0216666666666667</v>
      </c>
    </row>
    <row r="1993" spans="1:7" ht="13">
      <c r="A1993" s="4" t="s">
        <v>118</v>
      </c>
      <c r="B1993" s="1">
        <v>6.96</v>
      </c>
      <c r="C1993" s="1">
        <v>845</v>
      </c>
      <c r="D1993" s="1" t="s">
        <v>37</v>
      </c>
      <c r="E1993" s="1" t="s">
        <v>9</v>
      </c>
      <c r="F1993" s="1">
        <f t="shared" si="62"/>
        <v>696</v>
      </c>
      <c r="G1993" s="5">
        <f t="shared" si="63"/>
        <v>1.2140804597701149</v>
      </c>
    </row>
    <row r="1994" spans="1:7" ht="13">
      <c r="A1994" s="4" t="s">
        <v>118</v>
      </c>
      <c r="B1994" s="1">
        <v>9.68</v>
      </c>
      <c r="C1994" s="1">
        <v>1020</v>
      </c>
      <c r="D1994" s="1" t="s">
        <v>37</v>
      </c>
      <c r="E1994" s="1" t="s">
        <v>7</v>
      </c>
      <c r="F1994" s="1">
        <f t="shared" si="62"/>
        <v>968</v>
      </c>
      <c r="G1994" s="5">
        <f t="shared" si="63"/>
        <v>1.0537190082644627</v>
      </c>
    </row>
    <row r="1995" spans="1:7" ht="13">
      <c r="A1995" s="4" t="s">
        <v>118</v>
      </c>
      <c r="B1995" s="1">
        <v>6.1</v>
      </c>
      <c r="C1995" s="1">
        <v>666</v>
      </c>
      <c r="D1995" s="1" t="s">
        <v>11</v>
      </c>
      <c r="E1995" s="1" t="s">
        <v>26</v>
      </c>
      <c r="F1995" s="1">
        <f t="shared" si="62"/>
        <v>610</v>
      </c>
      <c r="G1995" s="5">
        <f t="shared" si="63"/>
        <v>1.0918032786885246</v>
      </c>
    </row>
    <row r="1996" spans="1:7" ht="13">
      <c r="A1996" s="4" t="s">
        <v>118</v>
      </c>
      <c r="B1996" s="1">
        <v>6</v>
      </c>
      <c r="C1996" s="1">
        <v>774</v>
      </c>
      <c r="D1996" s="1" t="s">
        <v>11</v>
      </c>
      <c r="E1996" s="1" t="s">
        <v>28</v>
      </c>
      <c r="F1996" s="1">
        <f t="shared" si="62"/>
        <v>600</v>
      </c>
      <c r="G1996" s="5">
        <f t="shared" si="63"/>
        <v>1.29</v>
      </c>
    </row>
    <row r="1997" spans="1:7" ht="13">
      <c r="A1997" s="4" t="s">
        <v>118</v>
      </c>
      <c r="B1997" s="1">
        <v>8.375</v>
      </c>
      <c r="C1997" s="1">
        <v>887</v>
      </c>
      <c r="D1997" s="1" t="s">
        <v>11</v>
      </c>
      <c r="E1997" s="1" t="s">
        <v>15</v>
      </c>
      <c r="F1997" s="1">
        <f t="shared" si="62"/>
        <v>837.5</v>
      </c>
      <c r="G1997" s="5">
        <f t="shared" si="63"/>
        <v>1.0591044776119403</v>
      </c>
    </row>
    <row r="1998" spans="1:7" ht="13">
      <c r="A1998" s="4" t="s">
        <v>118</v>
      </c>
      <c r="B1998" s="1">
        <v>7.83</v>
      </c>
      <c r="C1998" s="1">
        <v>849</v>
      </c>
      <c r="D1998" s="1" t="s">
        <v>33</v>
      </c>
      <c r="E1998" s="1" t="s">
        <v>12</v>
      </c>
      <c r="F1998" s="1">
        <f t="shared" si="62"/>
        <v>783</v>
      </c>
      <c r="G1998" s="5">
        <f t="shared" si="63"/>
        <v>1.0842911877394636</v>
      </c>
    </row>
    <row r="1999" spans="1:7" ht="13">
      <c r="A1999" s="4" t="s">
        <v>118</v>
      </c>
      <c r="B1999" s="1">
        <v>5.2</v>
      </c>
      <c r="C1999" s="1">
        <v>620</v>
      </c>
      <c r="D1999" s="1" t="s">
        <v>11</v>
      </c>
      <c r="E1999" s="1" t="s">
        <v>28</v>
      </c>
      <c r="F1999" s="1">
        <f t="shared" si="62"/>
        <v>520</v>
      </c>
      <c r="G1999" s="5">
        <f t="shared" si="63"/>
        <v>1.1923076923076923</v>
      </c>
    </row>
    <row r="2000" spans="1:7" ht="13">
      <c r="A2000" s="4" t="s">
        <v>118</v>
      </c>
      <c r="B2000" s="1">
        <v>8.4</v>
      </c>
      <c r="C2000" s="1">
        <v>910</v>
      </c>
      <c r="D2000" s="1" t="s">
        <v>33</v>
      </c>
      <c r="E2000" s="1" t="s">
        <v>25</v>
      </c>
      <c r="F2000" s="1">
        <f t="shared" si="62"/>
        <v>840</v>
      </c>
      <c r="G2000" s="5">
        <f t="shared" si="63"/>
        <v>1.0833333333333333</v>
      </c>
    </row>
    <row r="2001" spans="1:7" ht="13">
      <c r="A2001" s="4" t="s">
        <v>118</v>
      </c>
      <c r="B2001" s="1">
        <v>8.1</v>
      </c>
      <c r="C2001" s="1">
        <v>834</v>
      </c>
      <c r="D2001" s="1" t="s">
        <v>35</v>
      </c>
      <c r="E2001" s="1" t="s">
        <v>7</v>
      </c>
      <c r="F2001" s="1">
        <f t="shared" si="62"/>
        <v>810</v>
      </c>
      <c r="G2001" s="5">
        <f t="shared" si="63"/>
        <v>1.0296296296296297</v>
      </c>
    </row>
    <row r="2002" spans="1:7" ht="13">
      <c r="A2002" s="4" t="s">
        <v>118</v>
      </c>
      <c r="B2002" s="1">
        <v>3.8</v>
      </c>
      <c r="C2002" s="1">
        <v>414</v>
      </c>
      <c r="D2002" s="1" t="s">
        <v>11</v>
      </c>
      <c r="E2002" s="1" t="s">
        <v>31</v>
      </c>
      <c r="F2002" s="1">
        <f t="shared" si="62"/>
        <v>380</v>
      </c>
      <c r="G2002" s="5">
        <f t="shared" si="63"/>
        <v>1.0894736842105264</v>
      </c>
    </row>
    <row r="2003" spans="1:7" ht="13">
      <c r="A2003" s="4" t="s">
        <v>118</v>
      </c>
      <c r="B2003" s="1">
        <v>7.74</v>
      </c>
      <c r="C2003" s="1">
        <v>648</v>
      </c>
      <c r="D2003" s="1" t="s">
        <v>35</v>
      </c>
      <c r="E2003" s="1" t="s">
        <v>8</v>
      </c>
      <c r="F2003" s="1">
        <f t="shared" si="62"/>
        <v>774</v>
      </c>
      <c r="G2003" s="5">
        <f t="shared" si="63"/>
        <v>0.83720930232558144</v>
      </c>
    </row>
    <row r="2004" spans="1:7" ht="13">
      <c r="A2004" s="4" t="s">
        <v>118</v>
      </c>
      <c r="B2004" s="1">
        <v>6</v>
      </c>
      <c r="C2004" s="1">
        <v>660</v>
      </c>
      <c r="D2004" s="1" t="s">
        <v>33</v>
      </c>
      <c r="E2004" s="1" t="s">
        <v>15</v>
      </c>
      <c r="F2004" s="1">
        <f t="shared" si="62"/>
        <v>600</v>
      </c>
      <c r="G2004" s="5">
        <f t="shared" si="63"/>
        <v>1.1000000000000001</v>
      </c>
    </row>
    <row r="2005" spans="1:7" ht="13">
      <c r="A2005" s="4" t="s">
        <v>118</v>
      </c>
      <c r="B2005" s="1">
        <v>4.2</v>
      </c>
      <c r="C2005" s="1">
        <v>512</v>
      </c>
      <c r="D2005" s="1" t="s">
        <v>11</v>
      </c>
      <c r="E2005" s="1" t="s">
        <v>15</v>
      </c>
      <c r="F2005" s="1">
        <f t="shared" si="62"/>
        <v>420</v>
      </c>
      <c r="G2005" s="5">
        <f t="shared" si="63"/>
        <v>1.2190476190476192</v>
      </c>
    </row>
    <row r="2006" spans="1:7" ht="13">
      <c r="A2006" s="4" t="s">
        <v>118</v>
      </c>
      <c r="B2006" s="1">
        <v>6750</v>
      </c>
      <c r="C2006" s="1">
        <v>750</v>
      </c>
      <c r="D2006" s="1" t="s">
        <v>11</v>
      </c>
      <c r="E2006" s="1" t="s">
        <v>17</v>
      </c>
      <c r="F2006" s="1">
        <f t="shared" si="62"/>
        <v>675000</v>
      </c>
      <c r="G2006" s="5">
        <f t="shared" si="63"/>
        <v>1.1111111111111111E-3</v>
      </c>
    </row>
    <row r="2007" spans="1:7" ht="13">
      <c r="A2007" s="4" t="s">
        <v>118</v>
      </c>
      <c r="B2007" s="1">
        <v>5.92</v>
      </c>
      <c r="C2007" s="1">
        <v>673</v>
      </c>
      <c r="D2007" s="1" t="s">
        <v>11</v>
      </c>
      <c r="E2007" s="1" t="s">
        <v>17</v>
      </c>
      <c r="F2007" s="1">
        <f t="shared" si="62"/>
        <v>592</v>
      </c>
      <c r="G2007" s="5">
        <f t="shared" si="63"/>
        <v>1.1368243243243243</v>
      </c>
    </row>
    <row r="2008" spans="1:7" ht="13">
      <c r="A2008" s="4" t="s">
        <v>118</v>
      </c>
      <c r="B2008" s="1">
        <v>7.3949999999999996</v>
      </c>
      <c r="C2008" s="1">
        <v>798</v>
      </c>
      <c r="D2008" s="1" t="s">
        <v>42</v>
      </c>
      <c r="E2008" s="1" t="s">
        <v>25</v>
      </c>
      <c r="F2008" s="1">
        <f t="shared" si="62"/>
        <v>739.5</v>
      </c>
      <c r="G2008" s="5">
        <f t="shared" si="63"/>
        <v>1.079107505070994</v>
      </c>
    </row>
    <row r="2009" spans="1:7" ht="13">
      <c r="A2009" s="4" t="s">
        <v>118</v>
      </c>
      <c r="B2009" s="1">
        <v>3.48</v>
      </c>
      <c r="C2009" s="1">
        <v>395</v>
      </c>
      <c r="D2009" s="1" t="s">
        <v>11</v>
      </c>
      <c r="E2009" s="1" t="s">
        <v>7</v>
      </c>
      <c r="F2009" s="1">
        <f t="shared" si="62"/>
        <v>348</v>
      </c>
      <c r="G2009" s="5">
        <f t="shared" si="63"/>
        <v>1.1350574712643677</v>
      </c>
    </row>
    <row r="2010" spans="1:7" ht="13">
      <c r="A2010" s="4" t="s">
        <v>118</v>
      </c>
      <c r="B2010" s="1">
        <v>8.4</v>
      </c>
      <c r="C2010" s="1">
        <v>870</v>
      </c>
      <c r="D2010" s="1" t="s">
        <v>11</v>
      </c>
      <c r="E2010" s="1" t="s">
        <v>24</v>
      </c>
      <c r="F2010" s="1">
        <f t="shared" si="62"/>
        <v>840</v>
      </c>
      <c r="G2010" s="5">
        <f t="shared" si="63"/>
        <v>1.0357142857142858</v>
      </c>
    </row>
    <row r="2011" spans="1:7" ht="13">
      <c r="A2011" s="4" t="s">
        <v>118</v>
      </c>
      <c r="B2011" s="1">
        <v>5.16</v>
      </c>
      <c r="C2011" s="1">
        <v>542</v>
      </c>
      <c r="D2011" s="1" t="s">
        <v>45</v>
      </c>
      <c r="E2011" s="1" t="s">
        <v>22</v>
      </c>
      <c r="F2011" s="1">
        <f t="shared" si="62"/>
        <v>516</v>
      </c>
      <c r="G2011" s="5">
        <f t="shared" si="63"/>
        <v>1.0503875968992249</v>
      </c>
    </row>
    <row r="2012" spans="1:7" ht="13">
      <c r="A2012" s="4" t="s">
        <v>118</v>
      </c>
      <c r="B2012" s="1">
        <v>5.5</v>
      </c>
      <c r="C2012" s="1">
        <v>595</v>
      </c>
      <c r="D2012" s="1" t="s">
        <v>11</v>
      </c>
      <c r="E2012" s="1" t="s">
        <v>16</v>
      </c>
      <c r="F2012" s="1">
        <f t="shared" si="62"/>
        <v>550</v>
      </c>
      <c r="G2012" s="5">
        <f t="shared" si="63"/>
        <v>1.0818181818181818</v>
      </c>
    </row>
    <row r="2013" spans="1:7" ht="13">
      <c r="A2013" s="4" t="s">
        <v>118</v>
      </c>
      <c r="B2013" s="1">
        <v>8.6999999999999993</v>
      </c>
      <c r="C2013" s="1">
        <v>959</v>
      </c>
      <c r="D2013" s="1" t="s">
        <v>11</v>
      </c>
      <c r="E2013" s="1" t="s">
        <v>9</v>
      </c>
      <c r="F2013" s="1">
        <f t="shared" si="62"/>
        <v>869.99999999999989</v>
      </c>
      <c r="G2013" s="5">
        <f t="shared" si="63"/>
        <v>1.1022988505747129</v>
      </c>
    </row>
    <row r="2014" spans="1:7" ht="13">
      <c r="A2014" s="4" t="s">
        <v>118</v>
      </c>
      <c r="B2014" s="1">
        <v>4.5</v>
      </c>
      <c r="C2014" s="1">
        <v>531</v>
      </c>
      <c r="D2014" s="1" t="s">
        <v>39</v>
      </c>
      <c r="E2014" s="1" t="s">
        <v>15</v>
      </c>
      <c r="F2014" s="1">
        <f t="shared" si="62"/>
        <v>450</v>
      </c>
      <c r="G2014" s="5">
        <f t="shared" si="63"/>
        <v>1.18</v>
      </c>
    </row>
    <row r="2015" spans="1:7" ht="13">
      <c r="A2015" s="4" t="s">
        <v>118</v>
      </c>
      <c r="B2015" s="1">
        <v>5.28</v>
      </c>
      <c r="C2015" s="1">
        <v>610</v>
      </c>
      <c r="D2015" s="1" t="s">
        <v>33</v>
      </c>
      <c r="E2015" s="1" t="s">
        <v>21</v>
      </c>
      <c r="F2015" s="1">
        <f t="shared" si="62"/>
        <v>528</v>
      </c>
      <c r="G2015" s="5">
        <f t="shared" si="63"/>
        <v>1.1553030303030303</v>
      </c>
    </row>
    <row r="2016" spans="1:7" ht="13">
      <c r="A2016" s="4" t="s">
        <v>118</v>
      </c>
      <c r="B2016" s="1">
        <v>6.02</v>
      </c>
      <c r="C2016" s="1">
        <v>868</v>
      </c>
      <c r="D2016" s="1" t="s">
        <v>33</v>
      </c>
      <c r="E2016" s="1" t="s">
        <v>10</v>
      </c>
      <c r="F2016" s="1">
        <f t="shared" ref="F2016:F2079" si="64">B2016*100</f>
        <v>602</v>
      </c>
      <c r="G2016" s="5">
        <f t="shared" si="63"/>
        <v>1.441860465116279</v>
      </c>
    </row>
    <row r="2017" spans="1:7" ht="13">
      <c r="A2017" s="4" t="s">
        <v>118</v>
      </c>
      <c r="B2017" s="1">
        <v>6.7</v>
      </c>
      <c r="C2017" s="1">
        <v>693</v>
      </c>
      <c r="D2017" s="1" t="s">
        <v>33</v>
      </c>
      <c r="E2017" s="1" t="s">
        <v>21</v>
      </c>
      <c r="F2017" s="1">
        <f t="shared" si="64"/>
        <v>670</v>
      </c>
      <c r="G2017" s="5">
        <f t="shared" si="63"/>
        <v>1.0343283582089553</v>
      </c>
    </row>
    <row r="2018" spans="1:7" ht="13">
      <c r="A2018" s="4" t="s">
        <v>118</v>
      </c>
      <c r="B2018" s="1">
        <v>7.4</v>
      </c>
      <c r="C2018" s="1">
        <v>885</v>
      </c>
      <c r="D2018" s="1" t="s">
        <v>33</v>
      </c>
      <c r="E2018" s="1" t="s">
        <v>23</v>
      </c>
      <c r="F2018" s="1">
        <f t="shared" si="64"/>
        <v>740</v>
      </c>
      <c r="G2018" s="5">
        <f t="shared" si="63"/>
        <v>1.1959459459459461</v>
      </c>
    </row>
    <row r="2019" spans="1:7" ht="13">
      <c r="A2019" s="4" t="s">
        <v>118</v>
      </c>
      <c r="B2019" s="1">
        <v>7</v>
      </c>
      <c r="C2019" s="1">
        <v>896</v>
      </c>
      <c r="D2019" s="1" t="s">
        <v>11</v>
      </c>
      <c r="E2019" s="1" t="s">
        <v>25</v>
      </c>
      <c r="F2019" s="1">
        <f t="shared" si="64"/>
        <v>700</v>
      </c>
      <c r="G2019" s="5">
        <f t="shared" si="63"/>
        <v>1.28</v>
      </c>
    </row>
    <row r="2020" spans="1:7" ht="13">
      <c r="A2020" s="4" t="s">
        <v>118</v>
      </c>
      <c r="B2020" s="1">
        <v>5.22</v>
      </c>
      <c r="C2020" s="1">
        <v>621</v>
      </c>
      <c r="D2020" s="1" t="s">
        <v>47</v>
      </c>
      <c r="E2020" s="1" t="s">
        <v>8</v>
      </c>
      <c r="F2020" s="1">
        <f t="shared" si="64"/>
        <v>522</v>
      </c>
      <c r="G2020" s="5">
        <f t="shared" si="63"/>
        <v>1.1896551724137931</v>
      </c>
    </row>
    <row r="2021" spans="1:7" ht="13">
      <c r="A2021" s="4" t="s">
        <v>118</v>
      </c>
      <c r="B2021" s="1">
        <v>7.3</v>
      </c>
      <c r="C2021" s="1">
        <v>873</v>
      </c>
      <c r="D2021" s="1" t="s">
        <v>11</v>
      </c>
      <c r="E2021" s="1" t="s">
        <v>16</v>
      </c>
      <c r="F2021" s="1">
        <f t="shared" si="64"/>
        <v>730</v>
      </c>
      <c r="G2021" s="5">
        <f t="shared" si="63"/>
        <v>1.1958904109589041</v>
      </c>
    </row>
    <row r="2022" spans="1:7" ht="13">
      <c r="A2022" s="4" t="s">
        <v>118</v>
      </c>
      <c r="B2022" s="1">
        <v>6.88</v>
      </c>
      <c r="C2022" s="1">
        <v>803</v>
      </c>
      <c r="D2022" s="1" t="s">
        <v>11</v>
      </c>
      <c r="E2022" s="1" t="s">
        <v>8</v>
      </c>
      <c r="F2022" s="1">
        <f t="shared" si="64"/>
        <v>688</v>
      </c>
      <c r="G2022" s="5">
        <f t="shared" si="63"/>
        <v>1.1671511627906976</v>
      </c>
    </row>
    <row r="2023" spans="1:7" ht="13">
      <c r="A2023" s="4" t="s">
        <v>118</v>
      </c>
      <c r="B2023" s="1">
        <v>6</v>
      </c>
      <c r="C2023" s="1">
        <v>705</v>
      </c>
      <c r="D2023" s="1" t="s">
        <v>53</v>
      </c>
      <c r="E2023" s="1" t="s">
        <v>7</v>
      </c>
      <c r="F2023" s="1">
        <f t="shared" si="64"/>
        <v>600</v>
      </c>
      <c r="G2023" s="5">
        <f t="shared" si="63"/>
        <v>1.175</v>
      </c>
    </row>
    <row r="2024" spans="1:7" ht="13">
      <c r="A2024" s="4" t="s">
        <v>118</v>
      </c>
      <c r="B2024" s="1">
        <v>6</v>
      </c>
      <c r="C2024" s="1">
        <v>733</v>
      </c>
      <c r="D2024" s="1" t="s">
        <v>35</v>
      </c>
      <c r="E2024" s="1" t="s">
        <v>8</v>
      </c>
      <c r="F2024" s="1">
        <f t="shared" si="64"/>
        <v>600</v>
      </c>
      <c r="G2024" s="5">
        <f t="shared" si="63"/>
        <v>1.2216666666666667</v>
      </c>
    </row>
    <row r="2025" spans="1:7" ht="13">
      <c r="A2025" s="4" t="s">
        <v>118</v>
      </c>
      <c r="B2025" s="1">
        <v>5.65</v>
      </c>
      <c r="C2025" s="1">
        <v>549</v>
      </c>
      <c r="D2025" s="1" t="s">
        <v>43</v>
      </c>
      <c r="E2025" s="1" t="s">
        <v>15</v>
      </c>
      <c r="F2025" s="1">
        <f t="shared" si="64"/>
        <v>565</v>
      </c>
      <c r="G2025" s="5">
        <f t="shared" si="63"/>
        <v>0.97168141592920354</v>
      </c>
    </row>
    <row r="2026" spans="1:7" ht="13">
      <c r="A2026" s="4" t="s">
        <v>118</v>
      </c>
      <c r="B2026" s="1">
        <v>7.83</v>
      </c>
      <c r="C2026" s="1">
        <v>878</v>
      </c>
      <c r="D2026" s="1" t="s">
        <v>11</v>
      </c>
      <c r="E2026" s="1" t="s">
        <v>23</v>
      </c>
      <c r="F2026" s="1">
        <f t="shared" si="64"/>
        <v>783</v>
      </c>
      <c r="G2026" s="5">
        <f t="shared" si="63"/>
        <v>1.1213282247765006</v>
      </c>
    </row>
    <row r="2027" spans="1:7" ht="13">
      <c r="A2027" s="4" t="s">
        <v>118</v>
      </c>
      <c r="B2027" s="1">
        <v>7.74</v>
      </c>
      <c r="C2027" s="1">
        <v>869</v>
      </c>
      <c r="D2027" s="1" t="s">
        <v>33</v>
      </c>
      <c r="E2027" s="1" t="s">
        <v>16</v>
      </c>
      <c r="F2027" s="1">
        <f t="shared" si="64"/>
        <v>774</v>
      </c>
      <c r="G2027" s="5">
        <f t="shared" si="63"/>
        <v>1.1227390180878554</v>
      </c>
    </row>
    <row r="2028" spans="1:7" ht="13">
      <c r="A2028" s="4" t="s">
        <v>118</v>
      </c>
      <c r="B2028" s="1">
        <v>4.0999999999999996</v>
      </c>
      <c r="C2028" s="1">
        <v>518</v>
      </c>
      <c r="D2028" s="1" t="s">
        <v>11</v>
      </c>
      <c r="E2028" s="1" t="s">
        <v>18</v>
      </c>
      <c r="F2028" s="1">
        <f t="shared" si="64"/>
        <v>409.99999999999994</v>
      </c>
      <c r="G2028" s="5">
        <f t="shared" si="63"/>
        <v>1.2634146341463417</v>
      </c>
    </row>
    <row r="2029" spans="1:7" ht="13">
      <c r="A2029" s="4" t="s">
        <v>118</v>
      </c>
      <c r="B2029" s="1">
        <v>5.0999999999999996</v>
      </c>
      <c r="C2029" s="1">
        <v>602</v>
      </c>
      <c r="D2029" s="1" t="s">
        <v>11</v>
      </c>
      <c r="E2029" s="1" t="s">
        <v>8</v>
      </c>
      <c r="F2029" s="1">
        <f t="shared" si="64"/>
        <v>509.99999999999994</v>
      </c>
      <c r="G2029" s="5">
        <f t="shared" si="63"/>
        <v>1.1803921568627451</v>
      </c>
    </row>
    <row r="2030" spans="1:7" ht="13">
      <c r="A2030" s="4" t="s">
        <v>118</v>
      </c>
      <c r="B2030" s="1">
        <v>6.02</v>
      </c>
      <c r="C2030" s="1">
        <v>626</v>
      </c>
      <c r="D2030" s="1" t="s">
        <v>11</v>
      </c>
      <c r="E2030" s="1" t="s">
        <v>22</v>
      </c>
      <c r="F2030" s="1">
        <f t="shared" si="64"/>
        <v>602</v>
      </c>
      <c r="G2030" s="5">
        <f t="shared" si="63"/>
        <v>1.0398671096345515</v>
      </c>
    </row>
    <row r="2031" spans="1:7" ht="13">
      <c r="A2031" s="4" t="s">
        <v>118</v>
      </c>
      <c r="B2031" s="1">
        <v>4.5999999999999996</v>
      </c>
      <c r="C2031" s="1">
        <v>516</v>
      </c>
      <c r="D2031" s="1" t="s">
        <v>11</v>
      </c>
      <c r="E2031" s="1" t="s">
        <v>9</v>
      </c>
      <c r="F2031" s="1">
        <f t="shared" si="64"/>
        <v>459.99999999999994</v>
      </c>
      <c r="G2031" s="5">
        <f t="shared" si="63"/>
        <v>1.1217391304347828</v>
      </c>
    </row>
    <row r="2032" spans="1:7" ht="13">
      <c r="A2032" s="4" t="s">
        <v>118</v>
      </c>
      <c r="B2032" s="1">
        <v>7.83</v>
      </c>
      <c r="C2032" s="1">
        <v>957</v>
      </c>
      <c r="D2032" s="1" t="s">
        <v>55</v>
      </c>
      <c r="E2032" s="1" t="s">
        <v>9</v>
      </c>
      <c r="F2032" s="1">
        <f t="shared" si="64"/>
        <v>783</v>
      </c>
      <c r="G2032" s="5">
        <f t="shared" si="63"/>
        <v>1.2222222222222223</v>
      </c>
    </row>
    <row r="2033" spans="1:7" ht="13">
      <c r="A2033" s="4" t="s">
        <v>118</v>
      </c>
      <c r="B2033" s="1">
        <v>5</v>
      </c>
      <c r="C2033" s="1">
        <v>562</v>
      </c>
      <c r="D2033" s="1" t="s">
        <v>43</v>
      </c>
      <c r="E2033" s="1" t="s">
        <v>22</v>
      </c>
      <c r="F2033" s="1">
        <f t="shared" si="64"/>
        <v>500</v>
      </c>
      <c r="G2033" s="5">
        <f t="shared" si="63"/>
        <v>1.1240000000000001</v>
      </c>
    </row>
    <row r="2034" spans="1:7" ht="13">
      <c r="A2034" s="4" t="s">
        <v>118</v>
      </c>
      <c r="B2034" s="1">
        <v>5.4</v>
      </c>
      <c r="C2034" s="1">
        <v>670</v>
      </c>
      <c r="D2034" s="1" t="s">
        <v>11</v>
      </c>
      <c r="E2034" s="1" t="s">
        <v>8</v>
      </c>
      <c r="F2034" s="1">
        <f t="shared" si="64"/>
        <v>540</v>
      </c>
      <c r="G2034" s="5">
        <f t="shared" si="63"/>
        <v>1.2407407407407407</v>
      </c>
    </row>
    <row r="2035" spans="1:7" ht="13">
      <c r="A2035" s="4" t="s">
        <v>118</v>
      </c>
      <c r="B2035" s="1">
        <v>6.53</v>
      </c>
      <c r="C2035" s="1">
        <v>696</v>
      </c>
      <c r="D2035" s="1" t="s">
        <v>11</v>
      </c>
      <c r="E2035" s="1" t="s">
        <v>17</v>
      </c>
      <c r="F2035" s="1">
        <f t="shared" si="64"/>
        <v>653</v>
      </c>
      <c r="G2035" s="5">
        <f t="shared" si="63"/>
        <v>1.0658499234303216</v>
      </c>
    </row>
    <row r="2036" spans="1:7" ht="13">
      <c r="A2036" s="4" t="s">
        <v>118</v>
      </c>
      <c r="B2036" s="1">
        <v>10.3</v>
      </c>
      <c r="C2036" s="1">
        <v>1060</v>
      </c>
      <c r="D2036" s="1" t="s">
        <v>33</v>
      </c>
      <c r="E2036" s="1" t="s">
        <v>17</v>
      </c>
      <c r="F2036" s="1">
        <f t="shared" si="64"/>
        <v>1030</v>
      </c>
      <c r="G2036" s="5">
        <f t="shared" si="63"/>
        <v>1.029126213592233</v>
      </c>
    </row>
    <row r="2037" spans="1:7" ht="13">
      <c r="A2037" s="4" t="s">
        <v>118</v>
      </c>
      <c r="B2037" s="1">
        <v>5.88</v>
      </c>
      <c r="C2037" s="1">
        <v>597</v>
      </c>
      <c r="D2037" s="1" t="s">
        <v>43</v>
      </c>
      <c r="E2037" s="1" t="s">
        <v>12</v>
      </c>
      <c r="F2037" s="1">
        <f t="shared" si="64"/>
        <v>588</v>
      </c>
      <c r="G2037" s="5">
        <f t="shared" si="63"/>
        <v>1.0153061224489797</v>
      </c>
    </row>
    <row r="2038" spans="1:7" ht="13">
      <c r="A2038" s="4" t="s">
        <v>118</v>
      </c>
      <c r="B2038" s="1">
        <v>5.4</v>
      </c>
      <c r="C2038" s="1">
        <v>583</v>
      </c>
      <c r="D2038" s="1" t="s">
        <v>35</v>
      </c>
      <c r="E2038" s="1" t="s">
        <v>8</v>
      </c>
      <c r="F2038" s="1">
        <f t="shared" si="64"/>
        <v>540</v>
      </c>
      <c r="G2038" s="5">
        <f t="shared" si="63"/>
        <v>1.0796296296296297</v>
      </c>
    </row>
    <row r="2039" spans="1:7" ht="13">
      <c r="A2039" s="4" t="s">
        <v>118</v>
      </c>
      <c r="B2039" s="1">
        <v>7.83</v>
      </c>
      <c r="C2039" s="1">
        <v>911</v>
      </c>
      <c r="D2039" s="1" t="s">
        <v>11</v>
      </c>
      <c r="E2039" s="1" t="s">
        <v>22</v>
      </c>
      <c r="F2039" s="1">
        <f t="shared" si="64"/>
        <v>783</v>
      </c>
      <c r="G2039" s="5">
        <f t="shared" si="63"/>
        <v>1.1634738186462323</v>
      </c>
    </row>
    <row r="2040" spans="1:7" ht="13">
      <c r="A2040" s="4" t="s">
        <v>118</v>
      </c>
      <c r="B2040" s="1">
        <v>6.88</v>
      </c>
      <c r="C2040" s="1">
        <v>362</v>
      </c>
      <c r="D2040" s="1" t="s">
        <v>11</v>
      </c>
      <c r="E2040" s="1" t="s">
        <v>10</v>
      </c>
      <c r="F2040" s="1">
        <f t="shared" si="64"/>
        <v>688</v>
      </c>
      <c r="G2040" s="5">
        <f t="shared" si="63"/>
        <v>0.52616279069767447</v>
      </c>
    </row>
    <row r="2041" spans="1:7" ht="13">
      <c r="A2041" s="4" t="s">
        <v>118</v>
      </c>
      <c r="B2041" s="1">
        <v>7.7</v>
      </c>
      <c r="C2041" s="1">
        <v>758</v>
      </c>
      <c r="D2041" s="1" t="s">
        <v>33</v>
      </c>
      <c r="E2041" s="1" t="s">
        <v>15</v>
      </c>
      <c r="F2041" s="1">
        <f t="shared" si="64"/>
        <v>770</v>
      </c>
      <c r="G2041" s="5">
        <f t="shared" si="63"/>
        <v>0.98441558441558441</v>
      </c>
    </row>
    <row r="2042" spans="1:7" ht="13">
      <c r="A2042" s="4" t="s">
        <v>118</v>
      </c>
      <c r="B2042" s="1">
        <v>7</v>
      </c>
      <c r="C2042" s="1">
        <v>759</v>
      </c>
      <c r="D2042" s="1" t="s">
        <v>33</v>
      </c>
      <c r="E2042" s="1" t="s">
        <v>20</v>
      </c>
      <c r="F2042" s="1">
        <f t="shared" si="64"/>
        <v>700</v>
      </c>
      <c r="G2042" s="5">
        <f t="shared" si="63"/>
        <v>1.0842857142857143</v>
      </c>
    </row>
    <row r="2043" spans="1:7" ht="13">
      <c r="A2043" s="4" t="s">
        <v>118</v>
      </c>
      <c r="B2043" s="1">
        <v>4.5</v>
      </c>
      <c r="C2043" s="1">
        <v>543</v>
      </c>
      <c r="D2043" s="1" t="s">
        <v>33</v>
      </c>
      <c r="E2043" s="1" t="s">
        <v>17</v>
      </c>
      <c r="F2043" s="1">
        <f t="shared" si="64"/>
        <v>450</v>
      </c>
      <c r="G2043" s="5">
        <f t="shared" si="63"/>
        <v>1.2066666666666668</v>
      </c>
    </row>
    <row r="2044" spans="1:7" ht="13">
      <c r="A2044" s="4" t="s">
        <v>118</v>
      </c>
      <c r="B2044" s="1">
        <v>5</v>
      </c>
      <c r="C2044" s="1">
        <v>555</v>
      </c>
      <c r="D2044" s="1" t="s">
        <v>11</v>
      </c>
      <c r="E2044" s="1" t="s">
        <v>15</v>
      </c>
      <c r="F2044" s="1">
        <f t="shared" si="64"/>
        <v>500</v>
      </c>
      <c r="G2044" s="5">
        <f t="shared" si="63"/>
        <v>1.1100000000000001</v>
      </c>
    </row>
    <row r="2045" spans="1:7" ht="13">
      <c r="A2045" s="4" t="s">
        <v>118</v>
      </c>
      <c r="B2045" s="1">
        <v>10.199999999999999</v>
      </c>
      <c r="C2045" s="1">
        <v>866</v>
      </c>
      <c r="D2045" s="1" t="s">
        <v>47</v>
      </c>
      <c r="E2045" s="1" t="s">
        <v>7</v>
      </c>
      <c r="F2045" s="1">
        <f t="shared" si="64"/>
        <v>1019.9999999999999</v>
      </c>
      <c r="G2045" s="5">
        <f t="shared" si="63"/>
        <v>0.84901960784313735</v>
      </c>
    </row>
    <row r="2046" spans="1:7" ht="13">
      <c r="A2046" s="4" t="s">
        <v>118</v>
      </c>
      <c r="B2046" s="1">
        <v>7.7</v>
      </c>
      <c r="C2046" s="1">
        <v>889</v>
      </c>
      <c r="D2046" s="1" t="s">
        <v>33</v>
      </c>
      <c r="E2046" s="1" t="s">
        <v>16</v>
      </c>
      <c r="F2046" s="1">
        <f t="shared" si="64"/>
        <v>770</v>
      </c>
      <c r="G2046" s="5">
        <f t="shared" si="63"/>
        <v>1.1545454545454545</v>
      </c>
    </row>
    <row r="2047" spans="1:7" ht="13">
      <c r="A2047" s="4" t="s">
        <v>118</v>
      </c>
      <c r="B2047" s="1">
        <v>4.9000000000000004</v>
      </c>
      <c r="C2047" s="1">
        <v>560</v>
      </c>
      <c r="D2047" s="1" t="s">
        <v>38</v>
      </c>
      <c r="E2047" s="1" t="s">
        <v>15</v>
      </c>
      <c r="F2047" s="1">
        <f t="shared" si="64"/>
        <v>490.00000000000006</v>
      </c>
      <c r="G2047" s="5">
        <f t="shared" si="63"/>
        <v>1.1428571428571428</v>
      </c>
    </row>
    <row r="2048" spans="1:7" ht="13">
      <c r="A2048" s="4" t="s">
        <v>118</v>
      </c>
      <c r="B2048" s="1">
        <v>8.6999999999999993</v>
      </c>
      <c r="C2048" s="1">
        <v>974</v>
      </c>
      <c r="D2048" s="1" t="s">
        <v>11</v>
      </c>
      <c r="E2048" s="1" t="s">
        <v>26</v>
      </c>
      <c r="F2048" s="1">
        <f t="shared" si="64"/>
        <v>869.99999999999989</v>
      </c>
      <c r="G2048" s="5">
        <f t="shared" si="63"/>
        <v>1.1195402298850576</v>
      </c>
    </row>
    <row r="2049" spans="1:7" ht="13">
      <c r="A2049" s="4" t="s">
        <v>118</v>
      </c>
      <c r="B2049" s="1">
        <v>12.04</v>
      </c>
      <c r="C2049" s="1">
        <v>1290</v>
      </c>
      <c r="D2049" s="1" t="s">
        <v>11</v>
      </c>
      <c r="E2049" s="1" t="s">
        <v>8</v>
      </c>
      <c r="F2049" s="1">
        <f t="shared" si="64"/>
        <v>1204</v>
      </c>
      <c r="G2049" s="5">
        <f t="shared" si="63"/>
        <v>1.0714285714285714</v>
      </c>
    </row>
    <row r="2050" spans="1:7" ht="13">
      <c r="A2050" s="4" t="s">
        <v>118</v>
      </c>
      <c r="B2050" s="1">
        <v>6.72</v>
      </c>
      <c r="C2050" s="1">
        <v>769</v>
      </c>
      <c r="D2050" s="1" t="s">
        <v>33</v>
      </c>
      <c r="E2050" s="1" t="s">
        <v>21</v>
      </c>
      <c r="F2050" s="1">
        <f t="shared" si="64"/>
        <v>672</v>
      </c>
      <c r="G2050" s="5">
        <f t="shared" ref="G2050:G2113" si="65">C2050/F2050</f>
        <v>1.1443452380952381</v>
      </c>
    </row>
    <row r="2051" spans="1:7" ht="13">
      <c r="A2051" s="4" t="s">
        <v>118</v>
      </c>
      <c r="B2051" s="1">
        <v>4</v>
      </c>
      <c r="C2051" s="1">
        <v>423</v>
      </c>
      <c r="D2051" s="1" t="s">
        <v>11</v>
      </c>
      <c r="E2051" s="1" t="s">
        <v>22</v>
      </c>
      <c r="F2051" s="1">
        <f t="shared" si="64"/>
        <v>400</v>
      </c>
      <c r="G2051" s="5">
        <f t="shared" si="65"/>
        <v>1.0575000000000001</v>
      </c>
    </row>
    <row r="2052" spans="1:7" ht="13">
      <c r="A2052" s="4" t="s">
        <v>118</v>
      </c>
      <c r="B2052" s="1">
        <v>3.5</v>
      </c>
      <c r="C2052" s="1">
        <v>378</v>
      </c>
      <c r="D2052" s="1" t="s">
        <v>11</v>
      </c>
      <c r="E2052" s="1" t="s">
        <v>24</v>
      </c>
      <c r="F2052" s="1">
        <f t="shared" si="64"/>
        <v>350</v>
      </c>
      <c r="G2052" s="5">
        <f t="shared" si="65"/>
        <v>1.08</v>
      </c>
    </row>
    <row r="2053" spans="1:7" ht="13">
      <c r="A2053" s="4" t="s">
        <v>118</v>
      </c>
      <c r="B2053" s="1">
        <v>3.68</v>
      </c>
      <c r="C2053" s="1">
        <v>552</v>
      </c>
      <c r="D2053" s="1" t="s">
        <v>11</v>
      </c>
      <c r="E2053" s="1" t="s">
        <v>13</v>
      </c>
      <c r="F2053" s="1">
        <f t="shared" si="64"/>
        <v>368</v>
      </c>
      <c r="G2053" s="5">
        <f t="shared" si="65"/>
        <v>1.5</v>
      </c>
    </row>
    <row r="2054" spans="1:7" ht="13">
      <c r="A2054" s="4" t="s">
        <v>118</v>
      </c>
      <c r="B2054" s="1">
        <v>6.4</v>
      </c>
      <c r="C2054" s="1">
        <v>727</v>
      </c>
      <c r="D2054" s="1" t="s">
        <v>38</v>
      </c>
      <c r="E2054" s="1" t="s">
        <v>9</v>
      </c>
      <c r="F2054" s="1">
        <f t="shared" si="64"/>
        <v>640</v>
      </c>
      <c r="G2054" s="5">
        <f t="shared" si="65"/>
        <v>1.1359375</v>
      </c>
    </row>
    <row r="2055" spans="1:7" ht="13">
      <c r="A2055" s="4" t="s">
        <v>118</v>
      </c>
      <c r="B2055" s="1">
        <v>4.3</v>
      </c>
      <c r="C2055" s="1">
        <v>881</v>
      </c>
      <c r="D2055" s="1" t="s">
        <v>11</v>
      </c>
      <c r="E2055" s="1" t="s">
        <v>25</v>
      </c>
      <c r="F2055" s="1">
        <f t="shared" si="64"/>
        <v>430</v>
      </c>
      <c r="G2055" s="5">
        <f t="shared" si="65"/>
        <v>2.0488372093023255</v>
      </c>
    </row>
    <row r="2056" spans="1:7" ht="13">
      <c r="A2056" s="4" t="s">
        <v>118</v>
      </c>
      <c r="B2056" s="1">
        <v>7.39</v>
      </c>
      <c r="C2056" s="1">
        <v>737</v>
      </c>
      <c r="D2056" s="1" t="s">
        <v>42</v>
      </c>
      <c r="E2056" s="1" t="s">
        <v>25</v>
      </c>
      <c r="F2056" s="1">
        <f t="shared" si="64"/>
        <v>739</v>
      </c>
      <c r="G2056" s="5">
        <f t="shared" si="65"/>
        <v>0.99729364005412724</v>
      </c>
    </row>
    <row r="2057" spans="1:7" ht="13">
      <c r="A2057" s="4" t="s">
        <v>118</v>
      </c>
      <c r="B2057" s="1">
        <v>5.5</v>
      </c>
      <c r="C2057" s="1">
        <v>816</v>
      </c>
      <c r="D2057" s="1" t="s">
        <v>11</v>
      </c>
      <c r="E2057" s="1" t="s">
        <v>8</v>
      </c>
      <c r="F2057" s="1">
        <f t="shared" si="64"/>
        <v>550</v>
      </c>
      <c r="G2057" s="5">
        <f t="shared" si="65"/>
        <v>1.4836363636363636</v>
      </c>
    </row>
    <row r="2058" spans="1:7" ht="13">
      <c r="A2058" s="4" t="s">
        <v>118</v>
      </c>
      <c r="B2058" s="1">
        <v>6.9</v>
      </c>
      <c r="C2058" s="1">
        <v>830</v>
      </c>
      <c r="D2058" s="1" t="s">
        <v>33</v>
      </c>
      <c r="E2058" s="1" t="s">
        <v>8</v>
      </c>
      <c r="F2058" s="1">
        <f t="shared" si="64"/>
        <v>690</v>
      </c>
      <c r="G2058" s="5">
        <f t="shared" si="65"/>
        <v>1.2028985507246377</v>
      </c>
    </row>
    <row r="2059" spans="1:7" ht="13">
      <c r="A2059" s="4" t="s">
        <v>118</v>
      </c>
      <c r="B2059" s="1">
        <v>6.5250000000000004</v>
      </c>
      <c r="C2059" s="1">
        <v>770</v>
      </c>
      <c r="D2059" s="1" t="s">
        <v>11</v>
      </c>
      <c r="E2059" s="1" t="s">
        <v>16</v>
      </c>
      <c r="F2059" s="1">
        <f t="shared" si="64"/>
        <v>652.5</v>
      </c>
      <c r="G2059" s="5">
        <f t="shared" si="65"/>
        <v>1.1800766283524904</v>
      </c>
    </row>
    <row r="2060" spans="1:7" ht="13">
      <c r="A2060" s="4" t="s">
        <v>118</v>
      </c>
      <c r="B2060" s="1">
        <v>7.74</v>
      </c>
      <c r="C2060" s="1">
        <v>912</v>
      </c>
      <c r="D2060" s="1" t="s">
        <v>37</v>
      </c>
      <c r="E2060" s="1" t="s">
        <v>21</v>
      </c>
      <c r="F2060" s="1">
        <f t="shared" si="64"/>
        <v>774</v>
      </c>
      <c r="G2060" s="5">
        <f t="shared" si="65"/>
        <v>1.1782945736434109</v>
      </c>
    </row>
    <row r="2061" spans="1:7" ht="13">
      <c r="A2061" s="4" t="s">
        <v>118</v>
      </c>
      <c r="B2061" s="1">
        <v>9.3000000000000007</v>
      </c>
      <c r="C2061" s="1">
        <v>1060</v>
      </c>
      <c r="D2061" s="1" t="s">
        <v>45</v>
      </c>
      <c r="E2061" s="1" t="s">
        <v>10</v>
      </c>
      <c r="F2061" s="1">
        <f t="shared" si="64"/>
        <v>930.00000000000011</v>
      </c>
      <c r="G2061" s="5">
        <f t="shared" si="65"/>
        <v>1.139784946236559</v>
      </c>
    </row>
    <row r="2062" spans="1:7" ht="13">
      <c r="A2062" s="4" t="s">
        <v>118</v>
      </c>
      <c r="B2062" s="1">
        <v>8.9</v>
      </c>
      <c r="C2062" s="1">
        <v>956</v>
      </c>
      <c r="D2062" s="1" t="s">
        <v>39</v>
      </c>
      <c r="E2062" s="1" t="s">
        <v>49</v>
      </c>
      <c r="F2062" s="1">
        <f t="shared" si="64"/>
        <v>890</v>
      </c>
      <c r="G2062" s="5">
        <f t="shared" si="65"/>
        <v>1.0741573033707865</v>
      </c>
    </row>
    <row r="2063" spans="1:7" ht="13">
      <c r="A2063" s="4" t="s">
        <v>118</v>
      </c>
      <c r="B2063" s="1">
        <v>8.3000000000000007</v>
      </c>
      <c r="C2063" s="1">
        <v>1000</v>
      </c>
      <c r="D2063" s="1" t="s">
        <v>40</v>
      </c>
      <c r="E2063" s="1" t="s">
        <v>17</v>
      </c>
      <c r="F2063" s="1">
        <f t="shared" si="64"/>
        <v>830.00000000000011</v>
      </c>
      <c r="G2063" s="5">
        <f t="shared" si="65"/>
        <v>1.2048192771084336</v>
      </c>
    </row>
    <row r="2064" spans="1:7" ht="13">
      <c r="A2064" s="4" t="s">
        <v>118</v>
      </c>
      <c r="B2064" s="1">
        <v>8.6999999999999993</v>
      </c>
      <c r="C2064" s="1">
        <v>9.27</v>
      </c>
      <c r="D2064" s="1" t="s">
        <v>33</v>
      </c>
      <c r="E2064" s="1" t="s">
        <v>15</v>
      </c>
      <c r="F2064" s="1">
        <f t="shared" si="64"/>
        <v>869.99999999999989</v>
      </c>
      <c r="G2064" s="5">
        <f t="shared" si="65"/>
        <v>1.0655172413793105E-2</v>
      </c>
    </row>
    <row r="2065" spans="1:7" ht="13">
      <c r="A2065" s="4" t="s">
        <v>118</v>
      </c>
      <c r="B2065" s="1">
        <v>6.9</v>
      </c>
      <c r="C2065" s="1">
        <v>793</v>
      </c>
      <c r="D2065" s="1" t="s">
        <v>11</v>
      </c>
      <c r="E2065" s="1" t="s">
        <v>22</v>
      </c>
      <c r="F2065" s="1">
        <f t="shared" si="64"/>
        <v>690</v>
      </c>
      <c r="G2065" s="5">
        <f t="shared" si="65"/>
        <v>1.1492753623188405</v>
      </c>
    </row>
    <row r="2066" spans="1:7" ht="13">
      <c r="A2066" s="4" t="s">
        <v>118</v>
      </c>
      <c r="B2066" s="1">
        <v>6</v>
      </c>
      <c r="C2066" s="1">
        <v>544</v>
      </c>
      <c r="D2066" s="1" t="s">
        <v>70</v>
      </c>
      <c r="E2066" s="1" t="s">
        <v>18</v>
      </c>
      <c r="F2066" s="1">
        <f t="shared" si="64"/>
        <v>600</v>
      </c>
      <c r="G2066" s="5">
        <f t="shared" si="65"/>
        <v>0.90666666666666662</v>
      </c>
    </row>
    <row r="2067" spans="1:7" ht="13">
      <c r="A2067" s="4" t="s">
        <v>118</v>
      </c>
      <c r="B2067" s="1">
        <v>6.96</v>
      </c>
      <c r="C2067" s="1">
        <v>780</v>
      </c>
      <c r="D2067" s="1" t="s">
        <v>11</v>
      </c>
      <c r="E2067" s="1" t="s">
        <v>14</v>
      </c>
      <c r="F2067" s="1">
        <f t="shared" si="64"/>
        <v>696</v>
      </c>
      <c r="G2067" s="5">
        <f t="shared" si="65"/>
        <v>1.1206896551724137</v>
      </c>
    </row>
    <row r="2068" spans="1:7" ht="13">
      <c r="A2068" s="4" t="s">
        <v>118</v>
      </c>
      <c r="B2068" s="1">
        <v>8.5</v>
      </c>
      <c r="C2068" s="1">
        <v>835</v>
      </c>
      <c r="D2068" s="1" t="s">
        <v>11</v>
      </c>
      <c r="E2068" s="1" t="s">
        <v>15</v>
      </c>
      <c r="F2068" s="1">
        <f t="shared" si="64"/>
        <v>850</v>
      </c>
      <c r="G2068" s="5">
        <f t="shared" si="65"/>
        <v>0.98235294117647054</v>
      </c>
    </row>
    <row r="2069" spans="1:7" ht="13">
      <c r="A2069" s="4" t="s">
        <v>118</v>
      </c>
      <c r="B2069" s="1">
        <v>7.3</v>
      </c>
      <c r="C2069" s="1">
        <v>770</v>
      </c>
      <c r="D2069" s="1" t="s">
        <v>47</v>
      </c>
      <c r="E2069" s="1" t="s">
        <v>28</v>
      </c>
      <c r="F2069" s="1">
        <f t="shared" si="64"/>
        <v>730</v>
      </c>
      <c r="G2069" s="5">
        <f t="shared" si="65"/>
        <v>1.0547945205479452</v>
      </c>
    </row>
    <row r="2070" spans="1:7" ht="13">
      <c r="A2070" s="4" t="s">
        <v>118</v>
      </c>
      <c r="B2070" s="1">
        <v>6.02</v>
      </c>
      <c r="C2070" s="1">
        <v>683</v>
      </c>
      <c r="D2070" s="1" t="s">
        <v>60</v>
      </c>
      <c r="E2070" s="1" t="s">
        <v>9</v>
      </c>
      <c r="F2070" s="1">
        <f t="shared" si="64"/>
        <v>602</v>
      </c>
      <c r="G2070" s="5">
        <f t="shared" si="65"/>
        <v>1.1345514950166113</v>
      </c>
    </row>
    <row r="2071" spans="1:7" ht="13">
      <c r="A2071" s="4" t="s">
        <v>118</v>
      </c>
      <c r="B2071" s="1">
        <v>5.88</v>
      </c>
      <c r="C2071" s="1">
        <v>655</v>
      </c>
      <c r="D2071" s="1" t="s">
        <v>11</v>
      </c>
      <c r="E2071" s="1" t="s">
        <v>15</v>
      </c>
      <c r="F2071" s="1">
        <f t="shared" si="64"/>
        <v>588</v>
      </c>
      <c r="G2071" s="5">
        <f t="shared" si="65"/>
        <v>1.1139455782312926</v>
      </c>
    </row>
    <row r="2072" spans="1:7" ht="13">
      <c r="A2072" s="4" t="s">
        <v>118</v>
      </c>
      <c r="B2072" s="1">
        <v>6.88</v>
      </c>
      <c r="C2072" s="1">
        <v>733.3</v>
      </c>
      <c r="D2072" s="1" t="s">
        <v>33</v>
      </c>
      <c r="E2072" s="1" t="s">
        <v>20</v>
      </c>
      <c r="F2072" s="1">
        <f t="shared" si="64"/>
        <v>688</v>
      </c>
      <c r="G2072" s="5">
        <f t="shared" si="65"/>
        <v>1.0658430232558138</v>
      </c>
    </row>
    <row r="2073" spans="1:7" ht="13">
      <c r="A2073" s="4" t="s">
        <v>118</v>
      </c>
      <c r="B2073" s="1">
        <v>6.88</v>
      </c>
      <c r="C2073" s="1">
        <v>751</v>
      </c>
      <c r="D2073" s="1" t="s">
        <v>47</v>
      </c>
      <c r="E2073" s="1" t="s">
        <v>25</v>
      </c>
      <c r="F2073" s="1">
        <f t="shared" si="64"/>
        <v>688</v>
      </c>
      <c r="G2073" s="5">
        <f t="shared" si="65"/>
        <v>1.0915697674418605</v>
      </c>
    </row>
    <row r="2074" spans="1:7" ht="13">
      <c r="A2074" s="4" t="s">
        <v>118</v>
      </c>
      <c r="B2074" s="1">
        <v>6.9</v>
      </c>
      <c r="C2074" s="1">
        <v>820</v>
      </c>
      <c r="D2074" s="1" t="s">
        <v>11</v>
      </c>
      <c r="E2074" s="1" t="s">
        <v>8</v>
      </c>
      <c r="F2074" s="1">
        <f t="shared" si="64"/>
        <v>690</v>
      </c>
      <c r="G2074" s="5">
        <f t="shared" si="65"/>
        <v>1.1884057971014492</v>
      </c>
    </row>
    <row r="2075" spans="1:7" ht="13">
      <c r="A2075" s="4" t="s">
        <v>118</v>
      </c>
      <c r="B2075" s="1">
        <v>5</v>
      </c>
      <c r="C2075" s="1">
        <v>703</v>
      </c>
      <c r="D2075" s="1" t="s">
        <v>33</v>
      </c>
      <c r="E2075" s="1" t="s">
        <v>16</v>
      </c>
      <c r="F2075" s="1">
        <f t="shared" si="64"/>
        <v>500</v>
      </c>
      <c r="G2075" s="5">
        <f t="shared" si="65"/>
        <v>1.4059999999999999</v>
      </c>
    </row>
    <row r="2076" spans="1:7" ht="13">
      <c r="A2076" s="4" t="s">
        <v>118</v>
      </c>
      <c r="B2076" s="1">
        <v>7.74</v>
      </c>
      <c r="C2076" s="1">
        <v>862</v>
      </c>
      <c r="D2076" s="1" t="s">
        <v>37</v>
      </c>
      <c r="E2076" s="1" t="s">
        <v>16</v>
      </c>
      <c r="F2076" s="1">
        <f t="shared" si="64"/>
        <v>774</v>
      </c>
      <c r="G2076" s="5">
        <f t="shared" si="65"/>
        <v>1.1136950904392764</v>
      </c>
    </row>
    <row r="2077" spans="1:7" ht="13">
      <c r="A2077" s="4" t="s">
        <v>118</v>
      </c>
      <c r="B2077" s="1">
        <v>4.8</v>
      </c>
      <c r="C2077" s="1">
        <v>519.4</v>
      </c>
      <c r="D2077" s="1" t="s">
        <v>11</v>
      </c>
      <c r="E2077" s="1" t="s">
        <v>24</v>
      </c>
      <c r="F2077" s="1">
        <f t="shared" si="64"/>
        <v>480</v>
      </c>
      <c r="G2077" s="5">
        <f t="shared" si="65"/>
        <v>1.0820833333333333</v>
      </c>
    </row>
    <row r="2078" spans="1:7" ht="13">
      <c r="A2078" s="4" t="s">
        <v>118</v>
      </c>
      <c r="B2078" s="1">
        <v>4.2</v>
      </c>
      <c r="C2078" s="1">
        <v>480.2</v>
      </c>
      <c r="D2078" s="1" t="s">
        <v>51</v>
      </c>
      <c r="E2078" s="1" t="s">
        <v>26</v>
      </c>
      <c r="F2078" s="1">
        <f t="shared" si="64"/>
        <v>420</v>
      </c>
      <c r="G2078" s="5">
        <f t="shared" si="65"/>
        <v>1.1433333333333333</v>
      </c>
    </row>
    <row r="2079" spans="1:7" ht="13">
      <c r="A2079" s="4" t="s">
        <v>118</v>
      </c>
      <c r="B2079" s="1">
        <v>5.0999999999999996</v>
      </c>
      <c r="C2079" s="1">
        <v>543</v>
      </c>
      <c r="D2079" s="1" t="s">
        <v>33</v>
      </c>
      <c r="E2079" s="1" t="s">
        <v>15</v>
      </c>
      <c r="F2079" s="1">
        <f t="shared" si="64"/>
        <v>509.99999999999994</v>
      </c>
      <c r="G2079" s="5">
        <f t="shared" si="65"/>
        <v>1.0647058823529414</v>
      </c>
    </row>
    <row r="2080" spans="1:7" ht="13">
      <c r="A2080" s="4" t="s">
        <v>118</v>
      </c>
      <c r="B2080" s="1">
        <v>8.75</v>
      </c>
      <c r="C2080" s="1">
        <v>954</v>
      </c>
      <c r="D2080" s="1" t="s">
        <v>47</v>
      </c>
      <c r="E2080" s="1" t="s">
        <v>31</v>
      </c>
      <c r="F2080" s="1">
        <f t="shared" ref="F2080:F2143" si="66">B2080*100</f>
        <v>875</v>
      </c>
      <c r="G2080" s="5">
        <f t="shared" si="65"/>
        <v>1.0902857142857143</v>
      </c>
    </row>
    <row r="2081" spans="1:7" ht="13">
      <c r="A2081" s="4" t="s">
        <v>118</v>
      </c>
      <c r="B2081" s="1">
        <v>6.72</v>
      </c>
      <c r="C2081" s="1">
        <v>660.7</v>
      </c>
      <c r="D2081" s="1" t="s">
        <v>39</v>
      </c>
      <c r="E2081" s="1" t="s">
        <v>25</v>
      </c>
      <c r="F2081" s="1">
        <f t="shared" si="66"/>
        <v>672</v>
      </c>
      <c r="G2081" s="5">
        <f t="shared" si="65"/>
        <v>0.98318452380952392</v>
      </c>
    </row>
    <row r="2082" spans="1:7" ht="13">
      <c r="A2082" s="4" t="s">
        <v>118</v>
      </c>
      <c r="B2082" s="1">
        <v>5.2</v>
      </c>
      <c r="C2082" s="1">
        <v>620</v>
      </c>
      <c r="D2082" s="1" t="s">
        <v>11</v>
      </c>
      <c r="E2082" s="1" t="s">
        <v>16</v>
      </c>
      <c r="F2082" s="1">
        <f t="shared" si="66"/>
        <v>520</v>
      </c>
      <c r="G2082" s="5">
        <f t="shared" si="65"/>
        <v>1.1923076923076923</v>
      </c>
    </row>
    <row r="2083" spans="1:7" ht="13">
      <c r="A2083" s="4" t="s">
        <v>118</v>
      </c>
      <c r="B2083" s="1">
        <v>6.6</v>
      </c>
      <c r="C2083" s="1">
        <v>731</v>
      </c>
      <c r="D2083" s="1" t="s">
        <v>35</v>
      </c>
      <c r="E2083" s="1" t="s">
        <v>22</v>
      </c>
      <c r="F2083" s="1">
        <f t="shared" si="66"/>
        <v>660</v>
      </c>
      <c r="G2083" s="5">
        <f t="shared" si="65"/>
        <v>1.1075757575757577</v>
      </c>
    </row>
    <row r="2084" spans="1:7" ht="13">
      <c r="A2084" s="4" t="s">
        <v>118</v>
      </c>
      <c r="B2084" s="1">
        <v>8.5</v>
      </c>
      <c r="C2084" s="1">
        <v>830</v>
      </c>
      <c r="D2084" s="1" t="s">
        <v>33</v>
      </c>
      <c r="E2084" s="1" t="s">
        <v>46</v>
      </c>
      <c r="F2084" s="1">
        <f t="shared" si="66"/>
        <v>850</v>
      </c>
      <c r="G2084" s="5">
        <f t="shared" si="65"/>
        <v>0.97647058823529409</v>
      </c>
    </row>
    <row r="2085" spans="1:7" ht="13">
      <c r="A2085" s="4" t="s">
        <v>118</v>
      </c>
      <c r="B2085" s="1">
        <v>4.5</v>
      </c>
      <c r="C2085" s="1">
        <v>345</v>
      </c>
      <c r="D2085" s="1" t="s">
        <v>11</v>
      </c>
      <c r="E2085" s="1" t="s">
        <v>22</v>
      </c>
      <c r="F2085" s="1">
        <f t="shared" si="66"/>
        <v>450</v>
      </c>
      <c r="G2085" s="5">
        <f t="shared" si="65"/>
        <v>0.76666666666666672</v>
      </c>
    </row>
    <row r="2086" spans="1:7" ht="13">
      <c r="A2086" s="4" t="s">
        <v>118</v>
      </c>
      <c r="B2086" s="1">
        <v>9.0299999999999994</v>
      </c>
      <c r="C2086" s="1">
        <v>983</v>
      </c>
      <c r="D2086" s="1" t="s">
        <v>50</v>
      </c>
      <c r="E2086" s="1" t="s">
        <v>21</v>
      </c>
      <c r="F2086" s="1">
        <f t="shared" si="66"/>
        <v>902.99999999999989</v>
      </c>
      <c r="G2086" s="5">
        <f t="shared" si="65"/>
        <v>1.0885935769656701</v>
      </c>
    </row>
    <row r="2087" spans="1:7" ht="13">
      <c r="A2087" s="4" t="s">
        <v>118</v>
      </c>
      <c r="B2087" s="1">
        <v>4.5</v>
      </c>
      <c r="C2087" s="1">
        <v>461</v>
      </c>
      <c r="D2087" s="1" t="s">
        <v>11</v>
      </c>
      <c r="E2087" s="1" t="s">
        <v>16</v>
      </c>
      <c r="F2087" s="1">
        <f t="shared" si="66"/>
        <v>450</v>
      </c>
      <c r="G2087" s="5">
        <f t="shared" si="65"/>
        <v>1.0244444444444445</v>
      </c>
    </row>
    <row r="2088" spans="1:7" ht="13">
      <c r="A2088" s="4" t="s">
        <v>118</v>
      </c>
      <c r="B2088" s="1">
        <v>6.7</v>
      </c>
      <c r="C2088" s="1">
        <v>669.73</v>
      </c>
      <c r="D2088" s="1" t="s">
        <v>11</v>
      </c>
      <c r="E2088" s="1" t="s">
        <v>17</v>
      </c>
      <c r="F2088" s="1">
        <f t="shared" si="66"/>
        <v>670</v>
      </c>
      <c r="G2088" s="5">
        <f t="shared" si="65"/>
        <v>0.99959701492537312</v>
      </c>
    </row>
    <row r="2089" spans="1:7" ht="13">
      <c r="A2089" s="4" t="s">
        <v>118</v>
      </c>
      <c r="B2089" s="1">
        <v>5</v>
      </c>
      <c r="C2089" s="1">
        <v>801</v>
      </c>
      <c r="D2089" s="1" t="s">
        <v>39</v>
      </c>
      <c r="E2089" s="1" t="s">
        <v>20</v>
      </c>
      <c r="F2089" s="1">
        <f t="shared" si="66"/>
        <v>500</v>
      </c>
      <c r="G2089" s="5">
        <f t="shared" si="65"/>
        <v>1.6020000000000001</v>
      </c>
    </row>
    <row r="2090" spans="1:7" ht="13">
      <c r="A2090" s="4" t="s">
        <v>118</v>
      </c>
      <c r="B2090" s="1">
        <v>5.6</v>
      </c>
      <c r="C2090" s="1">
        <v>629</v>
      </c>
      <c r="D2090" s="1" t="s">
        <v>36</v>
      </c>
      <c r="E2090" s="1" t="s">
        <v>9</v>
      </c>
      <c r="F2090" s="1">
        <f t="shared" si="66"/>
        <v>560</v>
      </c>
      <c r="G2090" s="5">
        <f t="shared" si="65"/>
        <v>1.1232142857142857</v>
      </c>
    </row>
    <row r="2091" spans="1:7" ht="13">
      <c r="A2091" s="4" t="s">
        <v>118</v>
      </c>
      <c r="B2091" s="1">
        <v>5.22</v>
      </c>
      <c r="C2091" s="1">
        <v>470</v>
      </c>
      <c r="D2091" s="1" t="s">
        <v>70</v>
      </c>
      <c r="E2091" s="1" t="s">
        <v>22</v>
      </c>
      <c r="F2091" s="1">
        <f t="shared" si="66"/>
        <v>522</v>
      </c>
      <c r="G2091" s="5">
        <f t="shared" si="65"/>
        <v>0.90038314176245215</v>
      </c>
    </row>
    <row r="2092" spans="1:7" ht="13">
      <c r="A2092" s="4" t="s">
        <v>118</v>
      </c>
      <c r="B2092" s="1">
        <v>6.72</v>
      </c>
      <c r="C2092" s="1">
        <v>727</v>
      </c>
      <c r="D2092" s="1" t="s">
        <v>11</v>
      </c>
      <c r="E2092" s="1" t="s">
        <v>26</v>
      </c>
      <c r="F2092" s="1">
        <f t="shared" si="66"/>
        <v>672</v>
      </c>
      <c r="G2092" s="5">
        <f t="shared" si="65"/>
        <v>1.0818452380952381</v>
      </c>
    </row>
    <row r="2093" spans="1:7" ht="13">
      <c r="A2093" s="4" t="s">
        <v>118</v>
      </c>
      <c r="B2093" s="1">
        <v>3.5</v>
      </c>
      <c r="C2093" s="1">
        <v>304</v>
      </c>
      <c r="D2093" s="1" t="s">
        <v>55</v>
      </c>
      <c r="E2093" s="1" t="s">
        <v>15</v>
      </c>
      <c r="F2093" s="1">
        <f t="shared" si="66"/>
        <v>350</v>
      </c>
      <c r="G2093" s="5">
        <f t="shared" si="65"/>
        <v>0.86857142857142855</v>
      </c>
    </row>
    <row r="2094" spans="1:7" ht="13">
      <c r="A2094" s="4" t="s">
        <v>118</v>
      </c>
      <c r="B2094" s="1">
        <v>5.46</v>
      </c>
      <c r="C2094" s="1">
        <v>644</v>
      </c>
      <c r="D2094" s="1" t="s">
        <v>43</v>
      </c>
      <c r="E2094" s="1" t="s">
        <v>15</v>
      </c>
      <c r="F2094" s="1">
        <f t="shared" si="66"/>
        <v>546</v>
      </c>
      <c r="G2094" s="5">
        <f t="shared" si="65"/>
        <v>1.1794871794871795</v>
      </c>
    </row>
    <row r="2095" spans="1:7" ht="13">
      <c r="A2095" s="4" t="s">
        <v>118</v>
      </c>
      <c r="B2095" s="1">
        <v>6.72</v>
      </c>
      <c r="C2095" s="1">
        <v>789.56</v>
      </c>
      <c r="D2095" s="1" t="s">
        <v>11</v>
      </c>
      <c r="E2095" s="1" t="s">
        <v>8</v>
      </c>
      <c r="F2095" s="1">
        <f t="shared" si="66"/>
        <v>672</v>
      </c>
      <c r="G2095" s="5">
        <f t="shared" si="65"/>
        <v>1.174940476190476</v>
      </c>
    </row>
    <row r="2096" spans="1:7" ht="13">
      <c r="A2096" s="4" t="s">
        <v>118</v>
      </c>
      <c r="B2096" s="1">
        <v>6.96</v>
      </c>
      <c r="C2096" s="1">
        <v>748</v>
      </c>
      <c r="D2096" s="1" t="s">
        <v>92</v>
      </c>
      <c r="E2096" s="1" t="s">
        <v>9</v>
      </c>
      <c r="F2096" s="1">
        <f t="shared" si="66"/>
        <v>696</v>
      </c>
      <c r="G2096" s="5">
        <f t="shared" si="65"/>
        <v>1.0747126436781609</v>
      </c>
    </row>
    <row r="2097" spans="1:7" ht="13">
      <c r="A2097" s="4" t="s">
        <v>118</v>
      </c>
      <c r="B2097" s="1">
        <v>9.1300000000000008</v>
      </c>
      <c r="C2097" s="1">
        <v>935</v>
      </c>
      <c r="D2097" s="1" t="s">
        <v>11</v>
      </c>
      <c r="E2097" s="1" t="s">
        <v>19</v>
      </c>
      <c r="F2097" s="1">
        <f t="shared" si="66"/>
        <v>913.00000000000011</v>
      </c>
      <c r="G2097" s="5">
        <f t="shared" si="65"/>
        <v>1.0240963855421685</v>
      </c>
    </row>
    <row r="2098" spans="1:7" ht="13">
      <c r="A2098" s="4" t="s">
        <v>118</v>
      </c>
      <c r="B2098" s="1">
        <v>4.5</v>
      </c>
      <c r="C2098" s="1">
        <v>510.6</v>
      </c>
      <c r="D2098" s="1" t="s">
        <v>43</v>
      </c>
      <c r="E2098" s="1" t="s">
        <v>15</v>
      </c>
      <c r="F2098" s="1">
        <f t="shared" si="66"/>
        <v>450</v>
      </c>
      <c r="G2098" s="5">
        <f t="shared" si="65"/>
        <v>1.1346666666666667</v>
      </c>
    </row>
    <row r="2099" spans="1:7" ht="13">
      <c r="A2099" s="4" t="s">
        <v>118</v>
      </c>
      <c r="B2099" s="1">
        <v>6.5250000000000004</v>
      </c>
      <c r="C2099" s="1">
        <v>600</v>
      </c>
      <c r="D2099" s="1" t="s">
        <v>11</v>
      </c>
      <c r="E2099" s="1" t="s">
        <v>18</v>
      </c>
      <c r="F2099" s="1">
        <f t="shared" si="66"/>
        <v>652.5</v>
      </c>
      <c r="G2099" s="5">
        <f t="shared" si="65"/>
        <v>0.91954022988505746</v>
      </c>
    </row>
    <row r="2100" spans="1:7" ht="13">
      <c r="A2100" s="4" t="s">
        <v>118</v>
      </c>
      <c r="B2100" s="1">
        <v>3.8</v>
      </c>
      <c r="C2100" s="1">
        <v>352</v>
      </c>
      <c r="D2100" s="1" t="s">
        <v>38</v>
      </c>
      <c r="E2100" s="1" t="s">
        <v>8</v>
      </c>
      <c r="F2100" s="1">
        <f t="shared" si="66"/>
        <v>380</v>
      </c>
      <c r="G2100" s="5">
        <f t="shared" si="65"/>
        <v>0.9263157894736842</v>
      </c>
    </row>
    <row r="2101" spans="1:7" ht="13">
      <c r="A2101" s="4" t="s">
        <v>118</v>
      </c>
      <c r="B2101" s="1">
        <v>6.02</v>
      </c>
      <c r="C2101" s="1">
        <v>385</v>
      </c>
      <c r="D2101" s="1" t="s">
        <v>63</v>
      </c>
      <c r="E2101" s="1" t="s">
        <v>20</v>
      </c>
      <c r="F2101" s="1">
        <f t="shared" si="66"/>
        <v>602</v>
      </c>
      <c r="G2101" s="5">
        <f t="shared" si="65"/>
        <v>0.63953488372093026</v>
      </c>
    </row>
    <row r="2102" spans="1:7" ht="13">
      <c r="A2102" s="4" t="s">
        <v>118</v>
      </c>
      <c r="B2102" s="1">
        <v>6.9</v>
      </c>
      <c r="C2102" s="1">
        <v>780</v>
      </c>
      <c r="D2102" s="1" t="s">
        <v>33</v>
      </c>
      <c r="E2102" s="1" t="s">
        <v>15</v>
      </c>
      <c r="F2102" s="1">
        <f t="shared" si="66"/>
        <v>690</v>
      </c>
      <c r="G2102" s="5">
        <f t="shared" si="65"/>
        <v>1.1304347826086956</v>
      </c>
    </row>
    <row r="2103" spans="1:7" ht="13">
      <c r="A2103" s="4" t="s">
        <v>118</v>
      </c>
      <c r="B2103" s="1">
        <v>4.2</v>
      </c>
      <c r="C2103" s="1">
        <v>568</v>
      </c>
      <c r="D2103" s="1" t="s">
        <v>11</v>
      </c>
      <c r="E2103" s="1" t="s">
        <v>21</v>
      </c>
      <c r="F2103" s="1">
        <f t="shared" si="66"/>
        <v>420</v>
      </c>
      <c r="G2103" s="5">
        <f t="shared" si="65"/>
        <v>1.3523809523809525</v>
      </c>
    </row>
    <row r="2104" spans="1:7" ht="13">
      <c r="A2104" s="4" t="s">
        <v>118</v>
      </c>
      <c r="B2104" s="1">
        <v>9.1</v>
      </c>
      <c r="C2104" s="1">
        <v>858</v>
      </c>
      <c r="D2104" s="1" t="s">
        <v>33</v>
      </c>
      <c r="E2104" s="1" t="s">
        <v>17</v>
      </c>
      <c r="F2104" s="1">
        <f t="shared" si="66"/>
        <v>910</v>
      </c>
      <c r="G2104" s="5">
        <f t="shared" si="65"/>
        <v>0.94285714285714284</v>
      </c>
    </row>
    <row r="2105" spans="1:7" ht="13">
      <c r="A2105" s="4" t="s">
        <v>118</v>
      </c>
      <c r="B2105" s="1">
        <v>6.1</v>
      </c>
      <c r="C2105" s="1">
        <v>628</v>
      </c>
      <c r="D2105" s="1" t="s">
        <v>48</v>
      </c>
      <c r="E2105" s="1" t="s">
        <v>23</v>
      </c>
      <c r="F2105" s="1">
        <f t="shared" si="66"/>
        <v>610</v>
      </c>
      <c r="G2105" s="5">
        <f t="shared" si="65"/>
        <v>1.0295081967213116</v>
      </c>
    </row>
    <row r="2106" spans="1:7" ht="13">
      <c r="A2106" s="4" t="s">
        <v>118</v>
      </c>
      <c r="B2106" s="1">
        <v>5.2</v>
      </c>
      <c r="C2106" s="1">
        <v>611</v>
      </c>
      <c r="D2106" s="1" t="s">
        <v>33</v>
      </c>
      <c r="E2106" s="1" t="s">
        <v>15</v>
      </c>
      <c r="F2106" s="1">
        <f t="shared" si="66"/>
        <v>520</v>
      </c>
      <c r="G2106" s="5">
        <f t="shared" si="65"/>
        <v>1.175</v>
      </c>
    </row>
    <row r="2107" spans="1:7" ht="13">
      <c r="A2107" s="4" t="s">
        <v>118</v>
      </c>
      <c r="B2107" s="1">
        <v>3.44</v>
      </c>
      <c r="C2107" s="1">
        <v>408</v>
      </c>
      <c r="D2107" s="1" t="s">
        <v>11</v>
      </c>
      <c r="E2107" s="1" t="s">
        <v>9</v>
      </c>
      <c r="F2107" s="1">
        <f t="shared" si="66"/>
        <v>344</v>
      </c>
      <c r="G2107" s="5">
        <f t="shared" si="65"/>
        <v>1.1860465116279071</v>
      </c>
    </row>
    <row r="2108" spans="1:7" ht="13">
      <c r="A2108" s="4" t="s">
        <v>118</v>
      </c>
      <c r="B2108" s="1">
        <v>8.3000000000000007</v>
      </c>
      <c r="C2108" s="1">
        <v>862</v>
      </c>
      <c r="D2108" s="1" t="s">
        <v>11</v>
      </c>
      <c r="E2108" s="1" t="s">
        <v>20</v>
      </c>
      <c r="F2108" s="1">
        <f t="shared" si="66"/>
        <v>830.00000000000011</v>
      </c>
      <c r="G2108" s="5">
        <f t="shared" si="65"/>
        <v>1.0385542168674697</v>
      </c>
    </row>
    <row r="2109" spans="1:7" ht="13">
      <c r="A2109" s="4" t="s">
        <v>118</v>
      </c>
      <c r="B2109" s="1">
        <v>5</v>
      </c>
      <c r="C2109" s="1">
        <v>527</v>
      </c>
      <c r="D2109" s="1" t="s">
        <v>33</v>
      </c>
      <c r="E2109" s="1" t="s">
        <v>15</v>
      </c>
      <c r="F2109" s="1">
        <f t="shared" si="66"/>
        <v>500</v>
      </c>
      <c r="G2109" s="5">
        <f t="shared" si="65"/>
        <v>1.054</v>
      </c>
    </row>
    <row r="2110" spans="1:7" ht="13">
      <c r="A2110" s="4" t="s">
        <v>118</v>
      </c>
      <c r="B2110" s="1">
        <v>7.74</v>
      </c>
      <c r="C2110" s="1">
        <v>905</v>
      </c>
      <c r="D2110" s="1" t="s">
        <v>11</v>
      </c>
      <c r="E2110" s="1" t="s">
        <v>29</v>
      </c>
      <c r="F2110" s="1">
        <f t="shared" si="66"/>
        <v>774</v>
      </c>
      <c r="G2110" s="5">
        <f t="shared" si="65"/>
        <v>1.169250645994832</v>
      </c>
    </row>
    <row r="2111" spans="1:7" ht="13">
      <c r="A2111" s="4" t="s">
        <v>118</v>
      </c>
      <c r="B2111" s="1">
        <v>7.75</v>
      </c>
      <c r="C2111" s="1">
        <v>802</v>
      </c>
      <c r="D2111" s="1" t="s">
        <v>11</v>
      </c>
      <c r="E2111" s="1" t="s">
        <v>16</v>
      </c>
      <c r="F2111" s="1">
        <f t="shared" si="66"/>
        <v>775</v>
      </c>
      <c r="G2111" s="5">
        <f t="shared" si="65"/>
        <v>1.0348387096774194</v>
      </c>
    </row>
    <row r="2112" spans="1:7" ht="13">
      <c r="A2112" s="4" t="s">
        <v>118</v>
      </c>
      <c r="B2112" s="1">
        <v>5.16</v>
      </c>
      <c r="C2112" s="1">
        <v>585</v>
      </c>
      <c r="D2112" s="1" t="s">
        <v>42</v>
      </c>
      <c r="E2112" s="1" t="s">
        <v>22</v>
      </c>
      <c r="F2112" s="1">
        <f t="shared" si="66"/>
        <v>516</v>
      </c>
      <c r="G2112" s="5">
        <f t="shared" si="65"/>
        <v>1.1337209302325582</v>
      </c>
    </row>
    <row r="2113" spans="1:7" ht="13">
      <c r="A2113" s="4" t="s">
        <v>118</v>
      </c>
      <c r="B2113" s="1">
        <v>6.1</v>
      </c>
      <c r="C2113" s="1">
        <v>598</v>
      </c>
      <c r="D2113" s="1" t="s">
        <v>11</v>
      </c>
      <c r="E2113" s="1" t="s">
        <v>21</v>
      </c>
      <c r="F2113" s="1">
        <f t="shared" si="66"/>
        <v>610</v>
      </c>
      <c r="G2113" s="5">
        <f t="shared" si="65"/>
        <v>0.98032786885245904</v>
      </c>
    </row>
    <row r="2114" spans="1:7" ht="13">
      <c r="A2114" s="4" t="s">
        <v>118</v>
      </c>
      <c r="B2114" s="1">
        <v>7.48</v>
      </c>
      <c r="C2114" s="1">
        <v>877</v>
      </c>
      <c r="D2114" s="1" t="s">
        <v>11</v>
      </c>
      <c r="E2114" s="1" t="s">
        <v>21</v>
      </c>
      <c r="F2114" s="1">
        <f t="shared" si="66"/>
        <v>748</v>
      </c>
      <c r="G2114" s="5">
        <f t="shared" ref="G2114:G2177" si="67">C2114/F2114</f>
        <v>1.1724598930481283</v>
      </c>
    </row>
    <row r="2115" spans="1:7" ht="13">
      <c r="A2115" s="4" t="s">
        <v>118</v>
      </c>
      <c r="B2115" s="1">
        <v>6.02</v>
      </c>
      <c r="C2115" s="1">
        <v>690</v>
      </c>
      <c r="D2115" s="1" t="s">
        <v>39</v>
      </c>
      <c r="E2115" s="1" t="s">
        <v>25</v>
      </c>
      <c r="F2115" s="1">
        <f t="shared" si="66"/>
        <v>602</v>
      </c>
      <c r="G2115" s="5">
        <f t="shared" si="67"/>
        <v>1.1461794019933556</v>
      </c>
    </row>
    <row r="2116" spans="1:7" ht="13">
      <c r="A2116" s="4" t="s">
        <v>118</v>
      </c>
      <c r="B2116" s="1">
        <v>7.5</v>
      </c>
      <c r="C2116" s="1">
        <v>980</v>
      </c>
      <c r="D2116" s="1" t="s">
        <v>47</v>
      </c>
      <c r="E2116" s="1" t="s">
        <v>7</v>
      </c>
      <c r="F2116" s="1">
        <f t="shared" si="66"/>
        <v>750</v>
      </c>
      <c r="G2116" s="5">
        <f t="shared" si="67"/>
        <v>1.3066666666666666</v>
      </c>
    </row>
    <row r="2117" spans="1:7" ht="13">
      <c r="A2117" s="4" t="s">
        <v>118</v>
      </c>
      <c r="B2117" s="1">
        <v>5</v>
      </c>
      <c r="C2117" s="1">
        <v>614</v>
      </c>
      <c r="D2117" s="1" t="s">
        <v>42</v>
      </c>
      <c r="E2117" s="1" t="s">
        <v>30</v>
      </c>
      <c r="F2117" s="1">
        <f t="shared" si="66"/>
        <v>500</v>
      </c>
      <c r="G2117" s="5">
        <f t="shared" si="67"/>
        <v>1.228</v>
      </c>
    </row>
    <row r="2118" spans="1:7" ht="13">
      <c r="A2118" s="4" t="s">
        <v>118</v>
      </c>
      <c r="B2118" s="1">
        <v>5</v>
      </c>
      <c r="C2118" s="1">
        <v>694</v>
      </c>
      <c r="D2118" s="1" t="s">
        <v>11</v>
      </c>
      <c r="E2118" s="1" t="s">
        <v>16</v>
      </c>
      <c r="F2118" s="1">
        <f t="shared" si="66"/>
        <v>500</v>
      </c>
      <c r="G2118" s="5">
        <f t="shared" si="67"/>
        <v>1.3879999999999999</v>
      </c>
    </row>
    <row r="2119" spans="1:7" ht="13">
      <c r="A2119" s="4" t="s">
        <v>118</v>
      </c>
      <c r="B2119" s="1">
        <v>3.1</v>
      </c>
      <c r="C2119" s="1">
        <v>343</v>
      </c>
      <c r="D2119" s="1" t="s">
        <v>11</v>
      </c>
      <c r="E2119" s="1" t="s">
        <v>31</v>
      </c>
      <c r="F2119" s="1">
        <f t="shared" si="66"/>
        <v>310</v>
      </c>
      <c r="G2119" s="5">
        <f t="shared" si="67"/>
        <v>1.1064516129032258</v>
      </c>
    </row>
    <row r="2120" spans="1:7" ht="13">
      <c r="A2120" s="4" t="s">
        <v>118</v>
      </c>
      <c r="B2120" s="1">
        <v>5.39</v>
      </c>
      <c r="C2120" s="1">
        <v>605</v>
      </c>
      <c r="D2120" s="1" t="s">
        <v>38</v>
      </c>
      <c r="E2120" s="1" t="s">
        <v>24</v>
      </c>
      <c r="F2120" s="1">
        <f t="shared" si="66"/>
        <v>539</v>
      </c>
      <c r="G2120" s="5">
        <f t="shared" si="67"/>
        <v>1.1224489795918366</v>
      </c>
    </row>
    <row r="2121" spans="1:7" ht="13">
      <c r="A2121" s="4" t="s">
        <v>118</v>
      </c>
      <c r="B2121" s="1">
        <v>5.2</v>
      </c>
      <c r="C2121" s="1">
        <v>514</v>
      </c>
      <c r="D2121" s="1" t="s">
        <v>47</v>
      </c>
      <c r="E2121" s="1" t="s">
        <v>9</v>
      </c>
      <c r="F2121" s="1">
        <f t="shared" si="66"/>
        <v>520</v>
      </c>
      <c r="G2121" s="5">
        <f t="shared" si="67"/>
        <v>0.9884615384615385</v>
      </c>
    </row>
    <row r="2122" spans="1:7" ht="13">
      <c r="A2122" s="4" t="s">
        <v>118</v>
      </c>
      <c r="B2122" s="1">
        <v>9</v>
      </c>
      <c r="C2122" s="1">
        <v>933.37</v>
      </c>
      <c r="D2122" s="1" t="s">
        <v>33</v>
      </c>
      <c r="E2122" s="1" t="s">
        <v>7</v>
      </c>
      <c r="F2122" s="1">
        <f t="shared" si="66"/>
        <v>900</v>
      </c>
      <c r="G2122" s="5">
        <f t="shared" si="67"/>
        <v>1.0370777777777778</v>
      </c>
    </row>
    <row r="2123" spans="1:7" ht="13">
      <c r="A2123" s="4" t="s">
        <v>118</v>
      </c>
      <c r="B2123" s="1">
        <v>8.6999999999999993</v>
      </c>
      <c r="C2123" s="1">
        <v>1020</v>
      </c>
      <c r="D2123" s="1" t="s">
        <v>45</v>
      </c>
      <c r="E2123" s="1" t="s">
        <v>20</v>
      </c>
      <c r="F2123" s="1">
        <f t="shared" si="66"/>
        <v>869.99999999999989</v>
      </c>
      <c r="G2123" s="5">
        <f t="shared" si="67"/>
        <v>1.1724137931034484</v>
      </c>
    </row>
    <row r="2124" spans="1:7" ht="13">
      <c r="A2124" s="4" t="s">
        <v>118</v>
      </c>
      <c r="B2124" s="1">
        <v>6.5</v>
      </c>
      <c r="C2124" s="1">
        <v>722</v>
      </c>
      <c r="D2124" s="1" t="s">
        <v>103</v>
      </c>
      <c r="E2124" s="1" t="s">
        <v>20</v>
      </c>
      <c r="F2124" s="1">
        <f t="shared" si="66"/>
        <v>650</v>
      </c>
      <c r="G2124" s="5">
        <f t="shared" si="67"/>
        <v>1.1107692307692307</v>
      </c>
    </row>
    <row r="2125" spans="1:7" ht="13">
      <c r="A2125" s="4" t="s">
        <v>118</v>
      </c>
      <c r="B2125" s="1">
        <v>20</v>
      </c>
      <c r="C2125" s="1">
        <v>2060</v>
      </c>
      <c r="D2125" s="1" t="s">
        <v>33</v>
      </c>
      <c r="E2125" s="1" t="s">
        <v>20</v>
      </c>
      <c r="F2125" s="1">
        <f t="shared" si="66"/>
        <v>2000</v>
      </c>
      <c r="G2125" s="5">
        <f t="shared" si="67"/>
        <v>1.03</v>
      </c>
    </row>
    <row r="2126" spans="1:7" ht="13">
      <c r="A2126" s="4" t="s">
        <v>118</v>
      </c>
      <c r="B2126" s="1">
        <v>5</v>
      </c>
      <c r="C2126" s="1">
        <v>567</v>
      </c>
      <c r="D2126" s="1" t="s">
        <v>11</v>
      </c>
      <c r="E2126" s="1" t="s">
        <v>7</v>
      </c>
      <c r="F2126" s="1">
        <f t="shared" si="66"/>
        <v>500</v>
      </c>
      <c r="G2126" s="5">
        <f t="shared" si="67"/>
        <v>1.1339999999999999</v>
      </c>
    </row>
    <row r="2127" spans="1:7" ht="13">
      <c r="A2127" s="4" t="s">
        <v>118</v>
      </c>
      <c r="B2127" s="1">
        <v>4.3499999999999996</v>
      </c>
      <c r="C2127" s="1">
        <v>553</v>
      </c>
      <c r="D2127" s="1" t="s">
        <v>11</v>
      </c>
      <c r="E2127" s="1" t="s">
        <v>15</v>
      </c>
      <c r="F2127" s="1">
        <f t="shared" si="66"/>
        <v>434.99999999999994</v>
      </c>
      <c r="G2127" s="5">
        <f t="shared" si="67"/>
        <v>1.2712643678160922</v>
      </c>
    </row>
    <row r="2128" spans="1:7" ht="13">
      <c r="A2128" s="4" t="s">
        <v>118</v>
      </c>
      <c r="B2128" s="1">
        <v>8.9700000000000006</v>
      </c>
      <c r="C2128" s="1">
        <v>940</v>
      </c>
      <c r="D2128" s="1" t="s">
        <v>11</v>
      </c>
      <c r="E2128" s="1" t="s">
        <v>31</v>
      </c>
      <c r="F2128" s="1">
        <f t="shared" si="66"/>
        <v>897.00000000000011</v>
      </c>
      <c r="G2128" s="5">
        <f t="shared" si="67"/>
        <v>1.0479375696766999</v>
      </c>
    </row>
    <row r="2129" spans="1:7" ht="13">
      <c r="A2129" s="4" t="s">
        <v>118</v>
      </c>
      <c r="B2129" s="1">
        <v>6.8849999999999998</v>
      </c>
      <c r="C2129" s="1">
        <v>762</v>
      </c>
      <c r="D2129" s="1" t="s">
        <v>44</v>
      </c>
      <c r="E2129" s="1" t="s">
        <v>22</v>
      </c>
      <c r="F2129" s="1">
        <f t="shared" si="66"/>
        <v>688.5</v>
      </c>
      <c r="G2129" s="5">
        <f t="shared" si="67"/>
        <v>1.1067538126361656</v>
      </c>
    </row>
    <row r="2130" spans="1:7" ht="13">
      <c r="A2130" s="4" t="s">
        <v>118</v>
      </c>
      <c r="B2130" s="1">
        <v>8.5</v>
      </c>
      <c r="C2130" s="1">
        <v>1000</v>
      </c>
      <c r="D2130" s="1" t="s">
        <v>58</v>
      </c>
      <c r="E2130" s="1" t="s">
        <v>20</v>
      </c>
      <c r="F2130" s="1">
        <f t="shared" si="66"/>
        <v>850</v>
      </c>
      <c r="G2130" s="5">
        <f t="shared" si="67"/>
        <v>1.1764705882352942</v>
      </c>
    </row>
    <row r="2131" spans="1:7" ht="13">
      <c r="A2131" s="4" t="s">
        <v>118</v>
      </c>
      <c r="B2131" s="1">
        <v>7.2</v>
      </c>
      <c r="C2131" s="1">
        <v>735</v>
      </c>
      <c r="D2131" s="1" t="s">
        <v>35</v>
      </c>
      <c r="E2131" s="1" t="s">
        <v>25</v>
      </c>
      <c r="F2131" s="1">
        <f t="shared" si="66"/>
        <v>720</v>
      </c>
      <c r="G2131" s="5">
        <f t="shared" si="67"/>
        <v>1.0208333333333333</v>
      </c>
    </row>
    <row r="2132" spans="1:7" ht="13">
      <c r="A2132" s="4" t="s">
        <v>118</v>
      </c>
      <c r="B2132" s="1">
        <v>5.5</v>
      </c>
      <c r="C2132" s="1">
        <v>620</v>
      </c>
      <c r="D2132" s="1" t="s">
        <v>11</v>
      </c>
      <c r="E2132" s="1" t="s">
        <v>15</v>
      </c>
      <c r="F2132" s="1">
        <f t="shared" si="66"/>
        <v>550</v>
      </c>
      <c r="G2132" s="5">
        <f t="shared" si="67"/>
        <v>1.1272727272727272</v>
      </c>
    </row>
    <row r="2133" spans="1:7" ht="13">
      <c r="A2133" s="4" t="s">
        <v>118</v>
      </c>
      <c r="B2133" s="1">
        <v>5.6</v>
      </c>
      <c r="C2133" s="1">
        <v>484</v>
      </c>
      <c r="D2133" s="1" t="s">
        <v>33</v>
      </c>
      <c r="E2133" s="1" t="s">
        <v>29</v>
      </c>
      <c r="F2133" s="1">
        <f t="shared" si="66"/>
        <v>560</v>
      </c>
      <c r="G2133" s="5">
        <f t="shared" si="67"/>
        <v>0.86428571428571432</v>
      </c>
    </row>
    <row r="2134" spans="1:7" ht="13">
      <c r="A2134" s="4" t="s">
        <v>118</v>
      </c>
      <c r="B2134" s="1">
        <v>5.16</v>
      </c>
      <c r="C2134" s="1">
        <v>551</v>
      </c>
      <c r="D2134" s="1" t="s">
        <v>48</v>
      </c>
      <c r="E2134" s="1" t="s">
        <v>30</v>
      </c>
      <c r="F2134" s="1">
        <f t="shared" si="66"/>
        <v>516</v>
      </c>
      <c r="G2134" s="5">
        <f t="shared" si="67"/>
        <v>1.067829457364341</v>
      </c>
    </row>
    <row r="2135" spans="1:7" ht="13">
      <c r="A2135" s="4" t="s">
        <v>118</v>
      </c>
      <c r="B2135" s="1">
        <v>4</v>
      </c>
      <c r="C2135" s="1">
        <v>432</v>
      </c>
      <c r="D2135" s="1" t="s">
        <v>39</v>
      </c>
      <c r="E2135" s="1" t="s">
        <v>21</v>
      </c>
      <c r="F2135" s="1">
        <f t="shared" si="66"/>
        <v>400</v>
      </c>
      <c r="G2135" s="5">
        <f t="shared" si="67"/>
        <v>1.08</v>
      </c>
    </row>
    <row r="2136" spans="1:7" ht="13">
      <c r="A2136" s="4" t="s">
        <v>118</v>
      </c>
      <c r="B2136" s="1">
        <v>7.9</v>
      </c>
      <c r="C2136" s="1">
        <v>855</v>
      </c>
      <c r="D2136" s="1" t="s">
        <v>11</v>
      </c>
      <c r="E2136" s="1" t="s">
        <v>27</v>
      </c>
      <c r="F2136" s="1">
        <f t="shared" si="66"/>
        <v>790</v>
      </c>
      <c r="G2136" s="5">
        <f t="shared" si="67"/>
        <v>1.0822784810126582</v>
      </c>
    </row>
    <row r="2137" spans="1:7" ht="13">
      <c r="A2137" s="4" t="s">
        <v>118</v>
      </c>
      <c r="B2137" s="1">
        <v>4.3</v>
      </c>
      <c r="C2137" s="1">
        <v>399</v>
      </c>
      <c r="D2137" s="1" t="s">
        <v>33</v>
      </c>
      <c r="E2137" s="1" t="s">
        <v>30</v>
      </c>
      <c r="F2137" s="1">
        <f t="shared" si="66"/>
        <v>430</v>
      </c>
      <c r="G2137" s="5">
        <f t="shared" si="67"/>
        <v>0.9279069767441861</v>
      </c>
    </row>
    <row r="2138" spans="1:7" ht="13">
      <c r="A2138" s="4" t="s">
        <v>118</v>
      </c>
      <c r="B2138" s="1">
        <v>7.35</v>
      </c>
      <c r="C2138" s="1">
        <v>745.81</v>
      </c>
      <c r="D2138" s="1" t="s">
        <v>59</v>
      </c>
      <c r="E2138" s="1" t="s">
        <v>16</v>
      </c>
      <c r="F2138" s="1">
        <f t="shared" si="66"/>
        <v>735</v>
      </c>
      <c r="G2138" s="5">
        <f t="shared" si="67"/>
        <v>1.0147074829931972</v>
      </c>
    </row>
    <row r="2139" spans="1:7" ht="13">
      <c r="A2139" s="4" t="s">
        <v>118</v>
      </c>
      <c r="B2139" s="1">
        <v>7.3</v>
      </c>
      <c r="C2139" s="1">
        <v>842</v>
      </c>
      <c r="D2139" s="1" t="s">
        <v>38</v>
      </c>
      <c r="E2139" s="1" t="s">
        <v>9</v>
      </c>
      <c r="F2139" s="1">
        <f t="shared" si="66"/>
        <v>730</v>
      </c>
      <c r="G2139" s="5">
        <f t="shared" si="67"/>
        <v>1.1534246575342466</v>
      </c>
    </row>
    <row r="2140" spans="1:7" ht="13">
      <c r="A2140" s="4" t="s">
        <v>118</v>
      </c>
      <c r="B2140" s="1">
        <v>9.35</v>
      </c>
      <c r="C2140" s="1">
        <v>819</v>
      </c>
      <c r="D2140" s="1" t="s">
        <v>37</v>
      </c>
      <c r="E2140" s="1" t="s">
        <v>18</v>
      </c>
      <c r="F2140" s="1">
        <f t="shared" si="66"/>
        <v>935</v>
      </c>
      <c r="G2140" s="5">
        <f t="shared" si="67"/>
        <v>0.87593582887700538</v>
      </c>
    </row>
    <row r="2141" spans="1:7" ht="13">
      <c r="A2141" s="4" t="s">
        <v>118</v>
      </c>
      <c r="B2141" s="1">
        <v>5.85</v>
      </c>
      <c r="C2141" s="1">
        <v>646</v>
      </c>
      <c r="D2141" s="1" t="s">
        <v>45</v>
      </c>
      <c r="E2141" s="1" t="s">
        <v>15</v>
      </c>
      <c r="F2141" s="1">
        <f t="shared" si="66"/>
        <v>585</v>
      </c>
      <c r="G2141" s="5">
        <f t="shared" si="67"/>
        <v>1.1042735042735043</v>
      </c>
    </row>
    <row r="2142" spans="1:7" ht="13">
      <c r="A2142" s="4" t="s">
        <v>118</v>
      </c>
      <c r="B2142" s="1">
        <v>4.7</v>
      </c>
      <c r="C2142" s="1">
        <v>540</v>
      </c>
      <c r="D2142" s="1" t="s">
        <v>104</v>
      </c>
      <c r="E2142" s="1" t="s">
        <v>26</v>
      </c>
      <c r="F2142" s="1">
        <f t="shared" si="66"/>
        <v>470</v>
      </c>
      <c r="G2142" s="5">
        <f t="shared" si="67"/>
        <v>1.1489361702127661</v>
      </c>
    </row>
    <row r="2143" spans="1:7" ht="13">
      <c r="A2143" s="4" t="s">
        <v>118</v>
      </c>
      <c r="B2143" s="1">
        <v>7</v>
      </c>
      <c r="C2143" s="1">
        <v>719</v>
      </c>
      <c r="D2143" s="1" t="s">
        <v>67</v>
      </c>
      <c r="E2143" s="1" t="s">
        <v>22</v>
      </c>
      <c r="F2143" s="1">
        <f t="shared" si="66"/>
        <v>700</v>
      </c>
      <c r="G2143" s="5">
        <f t="shared" si="67"/>
        <v>1.0271428571428571</v>
      </c>
    </row>
    <row r="2144" spans="1:7" ht="13">
      <c r="A2144" s="4" t="s">
        <v>118</v>
      </c>
      <c r="B2144" s="1">
        <v>7.74</v>
      </c>
      <c r="C2144" s="1">
        <v>835</v>
      </c>
      <c r="D2144" s="1" t="s">
        <v>77</v>
      </c>
      <c r="E2144" s="1" t="s">
        <v>8</v>
      </c>
      <c r="F2144" s="1">
        <f t="shared" ref="F2144:F2207" si="68">B2144*100</f>
        <v>774</v>
      </c>
      <c r="G2144" s="5">
        <f t="shared" si="67"/>
        <v>1.078811369509044</v>
      </c>
    </row>
    <row r="2145" spans="1:7" ht="13">
      <c r="A2145" s="4" t="s">
        <v>118</v>
      </c>
      <c r="B2145" s="1">
        <v>4.8</v>
      </c>
      <c r="C2145" s="1">
        <v>560</v>
      </c>
      <c r="D2145" s="1" t="s">
        <v>33</v>
      </c>
      <c r="E2145" s="1" t="s">
        <v>15</v>
      </c>
      <c r="F2145" s="1">
        <f t="shared" si="68"/>
        <v>480</v>
      </c>
      <c r="G2145" s="5">
        <f t="shared" si="67"/>
        <v>1.1666666666666667</v>
      </c>
    </row>
    <row r="2146" spans="1:7" ht="13">
      <c r="A2146" s="4" t="s">
        <v>118</v>
      </c>
      <c r="B2146" s="1">
        <v>5.5</v>
      </c>
      <c r="C2146" s="1">
        <v>963</v>
      </c>
      <c r="D2146" s="1" t="s">
        <v>11</v>
      </c>
      <c r="E2146" s="1" t="s">
        <v>24</v>
      </c>
      <c r="F2146" s="1">
        <f t="shared" si="68"/>
        <v>550</v>
      </c>
      <c r="G2146" s="5">
        <f t="shared" si="67"/>
        <v>1.750909090909091</v>
      </c>
    </row>
    <row r="2147" spans="1:7" ht="13">
      <c r="A2147" s="4" t="s">
        <v>118</v>
      </c>
      <c r="B2147" s="1">
        <v>5.2</v>
      </c>
      <c r="C2147" s="1">
        <v>569</v>
      </c>
      <c r="D2147" s="1" t="s">
        <v>47</v>
      </c>
      <c r="E2147" s="1" t="s">
        <v>26</v>
      </c>
      <c r="F2147" s="1">
        <f t="shared" si="68"/>
        <v>520</v>
      </c>
      <c r="G2147" s="5">
        <f t="shared" si="67"/>
        <v>1.0942307692307693</v>
      </c>
    </row>
    <row r="2148" spans="1:7" ht="13">
      <c r="A2148" s="4" t="s">
        <v>118</v>
      </c>
      <c r="B2148" s="1">
        <v>4.3499999999999996</v>
      </c>
      <c r="C2148" s="1">
        <v>516</v>
      </c>
      <c r="D2148" s="1" t="s">
        <v>11</v>
      </c>
      <c r="E2148" s="1" t="s">
        <v>8</v>
      </c>
      <c r="F2148" s="1">
        <f t="shared" si="68"/>
        <v>434.99999999999994</v>
      </c>
      <c r="G2148" s="5">
        <f t="shared" si="67"/>
        <v>1.1862068965517243</v>
      </c>
    </row>
    <row r="2149" spans="1:7" ht="13">
      <c r="A2149" s="4" t="s">
        <v>118</v>
      </c>
      <c r="B2149" s="1">
        <v>7.8</v>
      </c>
      <c r="C2149" s="1">
        <v>26</v>
      </c>
      <c r="D2149" s="1" t="s">
        <v>33</v>
      </c>
      <c r="E2149" s="1" t="s">
        <v>29</v>
      </c>
      <c r="F2149" s="1">
        <f t="shared" si="68"/>
        <v>780</v>
      </c>
      <c r="G2149" s="5">
        <f t="shared" si="67"/>
        <v>3.3333333333333333E-2</v>
      </c>
    </row>
    <row r="2150" spans="1:7" ht="13">
      <c r="A2150" s="4" t="s">
        <v>118</v>
      </c>
      <c r="B2150" s="1">
        <v>8.0749999999999993</v>
      </c>
      <c r="C2150" s="1">
        <v>771</v>
      </c>
      <c r="D2150" s="1" t="s">
        <v>50</v>
      </c>
      <c r="E2150" s="1" t="s">
        <v>22</v>
      </c>
      <c r="F2150" s="1">
        <f t="shared" si="68"/>
        <v>807.49999999999989</v>
      </c>
      <c r="G2150" s="5">
        <f t="shared" si="67"/>
        <v>0.95479876160990729</v>
      </c>
    </row>
    <row r="2151" spans="1:7" ht="13">
      <c r="A2151" s="4" t="s">
        <v>118</v>
      </c>
      <c r="B2151" s="1">
        <v>8</v>
      </c>
      <c r="C2151" s="1">
        <v>919</v>
      </c>
      <c r="D2151" s="1" t="s">
        <v>38</v>
      </c>
      <c r="E2151" s="1" t="s">
        <v>22</v>
      </c>
      <c r="F2151" s="1">
        <f t="shared" si="68"/>
        <v>800</v>
      </c>
      <c r="G2151" s="5">
        <f t="shared" si="67"/>
        <v>1.1487499999999999</v>
      </c>
    </row>
    <row r="2152" spans="1:7" ht="13">
      <c r="A2152" s="4" t="s">
        <v>118</v>
      </c>
      <c r="B2152" s="1">
        <v>4.38</v>
      </c>
      <c r="C2152" s="1">
        <v>499</v>
      </c>
      <c r="D2152" s="1" t="s">
        <v>43</v>
      </c>
      <c r="E2152" s="1" t="s">
        <v>24</v>
      </c>
      <c r="F2152" s="1">
        <f t="shared" si="68"/>
        <v>438</v>
      </c>
      <c r="G2152" s="5">
        <f t="shared" si="67"/>
        <v>1.139269406392694</v>
      </c>
    </row>
    <row r="2153" spans="1:7" ht="13">
      <c r="A2153" s="4" t="s">
        <v>118</v>
      </c>
      <c r="B2153" s="1">
        <v>6.88</v>
      </c>
      <c r="C2153" s="1">
        <v>760</v>
      </c>
      <c r="D2153" s="1" t="s">
        <v>38</v>
      </c>
      <c r="E2153" s="1" t="s">
        <v>22</v>
      </c>
      <c r="F2153" s="1">
        <f t="shared" si="68"/>
        <v>688</v>
      </c>
      <c r="G2153" s="5">
        <f t="shared" si="67"/>
        <v>1.1046511627906976</v>
      </c>
    </row>
    <row r="2154" spans="1:7" ht="13">
      <c r="A2154" s="4" t="s">
        <v>118</v>
      </c>
      <c r="B2154" s="1">
        <v>5.4</v>
      </c>
      <c r="C2154" s="1">
        <v>632</v>
      </c>
      <c r="D2154" s="1" t="s">
        <v>45</v>
      </c>
      <c r="E2154" s="1" t="s">
        <v>8</v>
      </c>
      <c r="F2154" s="1">
        <f t="shared" si="68"/>
        <v>540</v>
      </c>
      <c r="G2154" s="5">
        <f t="shared" si="67"/>
        <v>1.1703703703703703</v>
      </c>
    </row>
    <row r="2155" spans="1:7" ht="13">
      <c r="A2155" s="4" t="s">
        <v>118</v>
      </c>
      <c r="B2155" s="1">
        <v>6.4</v>
      </c>
      <c r="C2155" s="1">
        <v>273</v>
      </c>
      <c r="D2155" s="1" t="s">
        <v>43</v>
      </c>
      <c r="E2155" s="1" t="s">
        <v>23</v>
      </c>
      <c r="F2155" s="1">
        <f t="shared" si="68"/>
        <v>640</v>
      </c>
      <c r="G2155" s="5">
        <f t="shared" si="67"/>
        <v>0.42656250000000001</v>
      </c>
    </row>
    <row r="2156" spans="1:7" ht="13">
      <c r="A2156" s="4" t="s">
        <v>118</v>
      </c>
      <c r="B2156" s="1">
        <v>8</v>
      </c>
      <c r="C2156" s="1">
        <v>704</v>
      </c>
      <c r="D2156" s="1" t="s">
        <v>11</v>
      </c>
      <c r="E2156" s="1" t="s">
        <v>22</v>
      </c>
      <c r="F2156" s="1">
        <f t="shared" si="68"/>
        <v>800</v>
      </c>
      <c r="G2156" s="5">
        <f t="shared" si="67"/>
        <v>0.88</v>
      </c>
    </row>
    <row r="2157" spans="1:7" ht="13">
      <c r="A2157" s="4" t="s">
        <v>118</v>
      </c>
      <c r="B2157" s="1">
        <v>3.86</v>
      </c>
      <c r="C2157" s="1">
        <v>407</v>
      </c>
      <c r="D2157" s="1" t="s">
        <v>11</v>
      </c>
      <c r="E2157" s="1" t="s">
        <v>8</v>
      </c>
      <c r="F2157" s="1">
        <f t="shared" si="68"/>
        <v>386</v>
      </c>
      <c r="G2157" s="5">
        <f t="shared" si="67"/>
        <v>1.0544041450777202</v>
      </c>
    </row>
    <row r="2158" spans="1:7" ht="13">
      <c r="A2158" s="4" t="s">
        <v>118</v>
      </c>
      <c r="B2158" s="1">
        <v>7.4</v>
      </c>
      <c r="C2158" s="1">
        <v>899</v>
      </c>
      <c r="D2158" s="1" t="s">
        <v>11</v>
      </c>
      <c r="E2158" s="1" t="s">
        <v>22</v>
      </c>
      <c r="F2158" s="1">
        <f t="shared" si="68"/>
        <v>740</v>
      </c>
      <c r="G2158" s="5">
        <f t="shared" si="67"/>
        <v>1.2148648648648648</v>
      </c>
    </row>
    <row r="2159" spans="1:7" ht="13">
      <c r="A2159" s="4" t="s">
        <v>118</v>
      </c>
      <c r="B2159" s="1">
        <v>9.57</v>
      </c>
      <c r="C2159" s="1">
        <v>934</v>
      </c>
      <c r="D2159" s="1" t="s">
        <v>42</v>
      </c>
      <c r="E2159" s="1" t="s">
        <v>22</v>
      </c>
      <c r="F2159" s="1">
        <f t="shared" si="68"/>
        <v>957</v>
      </c>
      <c r="G2159" s="5">
        <f t="shared" si="67"/>
        <v>0.97596656217345867</v>
      </c>
    </row>
    <row r="2160" spans="1:7" ht="13">
      <c r="A2160" s="4" t="s">
        <v>118</v>
      </c>
      <c r="B2160" s="1">
        <v>7.5</v>
      </c>
      <c r="C2160" s="1">
        <v>872</v>
      </c>
      <c r="D2160" s="1" t="s">
        <v>11</v>
      </c>
      <c r="E2160" s="1" t="s">
        <v>27</v>
      </c>
      <c r="F2160" s="1">
        <f t="shared" si="68"/>
        <v>750</v>
      </c>
      <c r="G2160" s="5">
        <f t="shared" si="67"/>
        <v>1.1626666666666667</v>
      </c>
    </row>
    <row r="2161" spans="1:7" ht="13">
      <c r="A2161" s="4" t="s">
        <v>118</v>
      </c>
      <c r="B2161" s="1">
        <v>6</v>
      </c>
      <c r="C2161" s="1">
        <v>754.2</v>
      </c>
      <c r="D2161" s="1" t="s">
        <v>11</v>
      </c>
      <c r="E2161" s="1" t="s">
        <v>22</v>
      </c>
      <c r="F2161" s="1">
        <f t="shared" si="68"/>
        <v>600</v>
      </c>
      <c r="G2161" s="5">
        <f t="shared" si="67"/>
        <v>1.2570000000000001</v>
      </c>
    </row>
    <row r="2162" spans="1:7" ht="13">
      <c r="A2162" s="4" t="s">
        <v>118</v>
      </c>
      <c r="B2162" s="1">
        <v>4.75</v>
      </c>
      <c r="C2162" s="1">
        <v>486</v>
      </c>
      <c r="D2162" s="1" t="s">
        <v>42</v>
      </c>
      <c r="E2162" s="1" t="s">
        <v>16</v>
      </c>
      <c r="F2162" s="1">
        <f t="shared" si="68"/>
        <v>475</v>
      </c>
      <c r="G2162" s="5">
        <f t="shared" si="67"/>
        <v>1.023157894736842</v>
      </c>
    </row>
    <row r="2163" spans="1:7" ht="13">
      <c r="A2163" s="4" t="s">
        <v>118</v>
      </c>
      <c r="B2163" s="1">
        <v>5.3</v>
      </c>
      <c r="C2163" s="1">
        <v>703.1</v>
      </c>
      <c r="D2163" s="1" t="s">
        <v>39</v>
      </c>
      <c r="E2163" s="1" t="s">
        <v>9</v>
      </c>
      <c r="F2163" s="1">
        <f t="shared" si="68"/>
        <v>530</v>
      </c>
      <c r="G2163" s="5">
        <f t="shared" si="67"/>
        <v>1.3266037735849057</v>
      </c>
    </row>
    <row r="2164" spans="1:7" ht="13">
      <c r="A2164" s="4" t="s">
        <v>118</v>
      </c>
      <c r="B2164" s="1">
        <v>696</v>
      </c>
      <c r="C2164" s="1">
        <v>6</v>
      </c>
      <c r="D2164" s="1" t="s">
        <v>11</v>
      </c>
      <c r="E2164" s="1" t="s">
        <v>19</v>
      </c>
      <c r="F2164" s="1">
        <f t="shared" si="68"/>
        <v>69600</v>
      </c>
      <c r="G2164" s="5">
        <f t="shared" si="67"/>
        <v>8.6206896551724131E-5</v>
      </c>
    </row>
    <row r="2165" spans="1:7" ht="13">
      <c r="A2165" s="4" t="s">
        <v>118</v>
      </c>
      <c r="B2165" s="1">
        <v>5</v>
      </c>
      <c r="C2165" s="1">
        <v>592</v>
      </c>
      <c r="D2165" s="1" t="s">
        <v>11</v>
      </c>
      <c r="E2165" s="1" t="s">
        <v>8</v>
      </c>
      <c r="F2165" s="1">
        <f t="shared" si="68"/>
        <v>500</v>
      </c>
      <c r="G2165" s="5">
        <f t="shared" si="67"/>
        <v>1.1839999999999999</v>
      </c>
    </row>
    <row r="2166" spans="1:7" ht="13">
      <c r="A2166" s="4" t="s">
        <v>118</v>
      </c>
      <c r="B2166" s="1">
        <v>3.48</v>
      </c>
      <c r="C2166" s="1">
        <v>390</v>
      </c>
      <c r="D2166" s="1" t="s">
        <v>38</v>
      </c>
      <c r="E2166" s="1" t="s">
        <v>7</v>
      </c>
      <c r="F2166" s="1">
        <f t="shared" si="68"/>
        <v>348</v>
      </c>
      <c r="G2166" s="5">
        <f t="shared" si="67"/>
        <v>1.1206896551724137</v>
      </c>
    </row>
    <row r="2167" spans="1:7" ht="13">
      <c r="A2167" s="4" t="s">
        <v>118</v>
      </c>
      <c r="B2167" s="1">
        <v>7.5</v>
      </c>
      <c r="C2167" s="1">
        <v>774.4</v>
      </c>
      <c r="D2167" s="1" t="s">
        <v>79</v>
      </c>
      <c r="E2167" s="1" t="s">
        <v>22</v>
      </c>
      <c r="F2167" s="1">
        <f t="shared" si="68"/>
        <v>750</v>
      </c>
      <c r="G2167" s="5">
        <f t="shared" si="67"/>
        <v>1.0325333333333333</v>
      </c>
    </row>
    <row r="2168" spans="1:7" ht="13">
      <c r="A2168" s="4" t="s">
        <v>118</v>
      </c>
      <c r="B2168" s="1">
        <v>6</v>
      </c>
      <c r="C2168" s="1">
        <v>666</v>
      </c>
      <c r="D2168" s="1" t="s">
        <v>40</v>
      </c>
      <c r="E2168" s="1" t="s">
        <v>17</v>
      </c>
      <c r="F2168" s="1">
        <f t="shared" si="68"/>
        <v>600</v>
      </c>
      <c r="G2168" s="5">
        <f t="shared" si="67"/>
        <v>1.1100000000000001</v>
      </c>
    </row>
    <row r="2169" spans="1:7" ht="13">
      <c r="A2169" s="4" t="s">
        <v>118</v>
      </c>
      <c r="B2169" s="1">
        <v>9.6</v>
      </c>
      <c r="C2169" s="1">
        <v>878</v>
      </c>
      <c r="D2169" s="1" t="s">
        <v>45</v>
      </c>
      <c r="E2169" s="1" t="s">
        <v>7</v>
      </c>
      <c r="F2169" s="1">
        <f t="shared" si="68"/>
        <v>960</v>
      </c>
      <c r="G2169" s="5">
        <f t="shared" si="67"/>
        <v>0.9145833333333333</v>
      </c>
    </row>
    <row r="2170" spans="1:7" ht="13">
      <c r="A2170" s="4" t="s">
        <v>118</v>
      </c>
      <c r="B2170" s="1">
        <v>4.2</v>
      </c>
      <c r="C2170" s="1">
        <v>483</v>
      </c>
      <c r="D2170" s="1" t="s">
        <v>11</v>
      </c>
      <c r="E2170" s="1" t="s">
        <v>9</v>
      </c>
      <c r="F2170" s="1">
        <f t="shared" si="68"/>
        <v>420</v>
      </c>
      <c r="G2170" s="5">
        <f t="shared" si="67"/>
        <v>1.1499999999999999</v>
      </c>
    </row>
    <row r="2171" spans="1:7" ht="13">
      <c r="A2171" s="4" t="s">
        <v>118</v>
      </c>
      <c r="B2171" s="1">
        <v>5.6</v>
      </c>
      <c r="C2171" s="1">
        <v>639</v>
      </c>
      <c r="D2171" s="1" t="s">
        <v>33</v>
      </c>
      <c r="E2171" s="1" t="s">
        <v>9</v>
      </c>
      <c r="F2171" s="1">
        <f t="shared" si="68"/>
        <v>560</v>
      </c>
      <c r="G2171" s="5">
        <f t="shared" si="67"/>
        <v>1.1410714285714285</v>
      </c>
    </row>
    <row r="2172" spans="1:7" ht="13">
      <c r="A2172" s="4" t="s">
        <v>118</v>
      </c>
      <c r="B2172" s="1">
        <v>4.0999999999999996</v>
      </c>
      <c r="C2172" s="1">
        <v>505</v>
      </c>
      <c r="D2172" s="1" t="s">
        <v>38</v>
      </c>
      <c r="E2172" s="1" t="s">
        <v>16</v>
      </c>
      <c r="F2172" s="1">
        <f t="shared" si="68"/>
        <v>409.99999999999994</v>
      </c>
      <c r="G2172" s="5">
        <f t="shared" si="67"/>
        <v>1.2317073170731709</v>
      </c>
    </row>
    <row r="2173" spans="1:7" ht="13">
      <c r="A2173" s="4" t="s">
        <v>118</v>
      </c>
      <c r="B2173" s="1">
        <v>6.56</v>
      </c>
      <c r="C2173" s="1">
        <v>708</v>
      </c>
      <c r="D2173" s="1" t="s">
        <v>11</v>
      </c>
      <c r="E2173" s="1" t="s">
        <v>18</v>
      </c>
      <c r="F2173" s="1">
        <f t="shared" si="68"/>
        <v>656</v>
      </c>
      <c r="G2173" s="5">
        <f t="shared" si="67"/>
        <v>1.0792682926829269</v>
      </c>
    </row>
    <row r="2174" spans="1:7" ht="13">
      <c r="A2174" s="4" t="s">
        <v>118</v>
      </c>
      <c r="B2174" s="1">
        <v>1.74</v>
      </c>
      <c r="C2174" s="1">
        <v>197</v>
      </c>
      <c r="D2174" s="1" t="s">
        <v>50</v>
      </c>
      <c r="E2174" s="1" t="s">
        <v>15</v>
      </c>
      <c r="F2174" s="1">
        <f t="shared" si="68"/>
        <v>174</v>
      </c>
      <c r="G2174" s="5">
        <f t="shared" si="67"/>
        <v>1.132183908045977</v>
      </c>
    </row>
    <row r="2175" spans="1:7" ht="13">
      <c r="A2175" s="4" t="s">
        <v>118</v>
      </c>
      <c r="B2175" s="1">
        <v>6.5</v>
      </c>
      <c r="C2175" s="1">
        <v>865</v>
      </c>
      <c r="D2175" s="1" t="s">
        <v>11</v>
      </c>
      <c r="E2175" s="1" t="s">
        <v>8</v>
      </c>
      <c r="F2175" s="1">
        <f t="shared" si="68"/>
        <v>650</v>
      </c>
      <c r="G2175" s="5">
        <f t="shared" si="67"/>
        <v>1.3307692307692307</v>
      </c>
    </row>
    <row r="2176" spans="1:7" ht="13">
      <c r="A2176" s="4" t="s">
        <v>118</v>
      </c>
      <c r="B2176" s="1">
        <v>7</v>
      </c>
      <c r="C2176" s="1">
        <v>818</v>
      </c>
      <c r="D2176" s="1" t="s">
        <v>11</v>
      </c>
      <c r="E2176" s="1" t="s">
        <v>27</v>
      </c>
      <c r="F2176" s="1">
        <f t="shared" si="68"/>
        <v>700</v>
      </c>
      <c r="G2176" s="5">
        <f t="shared" si="67"/>
        <v>1.1685714285714286</v>
      </c>
    </row>
    <row r="2177" spans="1:7" ht="13">
      <c r="A2177" s="4" t="s">
        <v>118</v>
      </c>
      <c r="B2177" s="1">
        <v>6.7</v>
      </c>
      <c r="C2177" s="1">
        <v>677</v>
      </c>
      <c r="D2177" s="1" t="s">
        <v>39</v>
      </c>
      <c r="E2177" s="1" t="s">
        <v>17</v>
      </c>
      <c r="F2177" s="1">
        <f t="shared" si="68"/>
        <v>670</v>
      </c>
      <c r="G2177" s="5">
        <f t="shared" si="67"/>
        <v>1.0104477611940299</v>
      </c>
    </row>
    <row r="2178" spans="1:7" ht="13">
      <c r="A2178" s="4" t="s">
        <v>118</v>
      </c>
      <c r="B2178" s="1">
        <v>8.9</v>
      </c>
      <c r="C2178" s="1">
        <v>938</v>
      </c>
      <c r="D2178" s="1" t="s">
        <v>42</v>
      </c>
      <c r="E2178" s="1" t="s">
        <v>17</v>
      </c>
      <c r="F2178" s="1">
        <f t="shared" si="68"/>
        <v>890</v>
      </c>
      <c r="G2178" s="5">
        <f t="shared" ref="G2178:G2241" si="69">C2178/F2178</f>
        <v>1.053932584269663</v>
      </c>
    </row>
    <row r="2179" spans="1:7" ht="13">
      <c r="A2179" s="4" t="s">
        <v>118</v>
      </c>
      <c r="B2179" s="1">
        <v>4.3499999999999996</v>
      </c>
      <c r="C2179" s="1">
        <v>513</v>
      </c>
      <c r="D2179" s="1" t="s">
        <v>39</v>
      </c>
      <c r="E2179" s="1" t="s">
        <v>14</v>
      </c>
      <c r="F2179" s="1">
        <f t="shared" si="68"/>
        <v>434.99999999999994</v>
      </c>
      <c r="G2179" s="5">
        <f t="shared" si="69"/>
        <v>1.1793103448275863</v>
      </c>
    </row>
    <row r="2180" spans="1:7" ht="13">
      <c r="A2180" s="4" t="s">
        <v>118</v>
      </c>
      <c r="B2180" s="1">
        <v>8.4</v>
      </c>
      <c r="C2180" s="1">
        <v>831</v>
      </c>
      <c r="D2180" s="1" t="s">
        <v>11</v>
      </c>
      <c r="E2180" s="1" t="s">
        <v>12</v>
      </c>
      <c r="F2180" s="1">
        <f t="shared" si="68"/>
        <v>840</v>
      </c>
      <c r="G2180" s="5">
        <f t="shared" si="69"/>
        <v>0.98928571428571432</v>
      </c>
    </row>
    <row r="2181" spans="1:7" ht="13">
      <c r="A2181" s="4" t="s">
        <v>118</v>
      </c>
      <c r="B2181" s="1">
        <v>7.3</v>
      </c>
      <c r="C2181" s="1">
        <v>794</v>
      </c>
      <c r="D2181" s="1" t="s">
        <v>11</v>
      </c>
      <c r="E2181" s="1" t="s">
        <v>12</v>
      </c>
      <c r="F2181" s="1">
        <f t="shared" si="68"/>
        <v>730</v>
      </c>
      <c r="G2181" s="5">
        <f t="shared" si="69"/>
        <v>1.0876712328767124</v>
      </c>
    </row>
    <row r="2182" spans="1:7" ht="13">
      <c r="A2182" s="4" t="s">
        <v>118</v>
      </c>
      <c r="B2182" s="1">
        <v>10.44</v>
      </c>
      <c r="C2182" s="1">
        <v>955</v>
      </c>
      <c r="D2182" s="1" t="s">
        <v>33</v>
      </c>
      <c r="E2182" s="1" t="s">
        <v>15</v>
      </c>
      <c r="F2182" s="1">
        <f t="shared" si="68"/>
        <v>1044</v>
      </c>
      <c r="G2182" s="5">
        <f t="shared" si="69"/>
        <v>0.91475095785440608</v>
      </c>
    </row>
    <row r="2183" spans="1:7" ht="13">
      <c r="A2183" s="4" t="s">
        <v>118</v>
      </c>
      <c r="B2183" s="1">
        <v>3.78</v>
      </c>
      <c r="C2183" s="1">
        <v>430</v>
      </c>
      <c r="D2183" s="1" t="s">
        <v>11</v>
      </c>
      <c r="E2183" s="1" t="s">
        <v>26</v>
      </c>
      <c r="F2183" s="1">
        <f t="shared" si="68"/>
        <v>378</v>
      </c>
      <c r="G2183" s="5">
        <f t="shared" si="69"/>
        <v>1.1375661375661377</v>
      </c>
    </row>
    <row r="2184" spans="1:7" ht="13">
      <c r="A2184" s="4" t="s">
        <v>118</v>
      </c>
      <c r="B2184" s="1">
        <v>6.88</v>
      </c>
      <c r="C2184" s="1">
        <v>686</v>
      </c>
      <c r="D2184" s="1" t="s">
        <v>11</v>
      </c>
      <c r="E2184" s="1" t="s">
        <v>46</v>
      </c>
      <c r="F2184" s="1">
        <f t="shared" si="68"/>
        <v>688</v>
      </c>
      <c r="G2184" s="5">
        <f t="shared" si="69"/>
        <v>0.99709302325581395</v>
      </c>
    </row>
    <row r="2185" spans="1:7" ht="13">
      <c r="A2185" s="4" t="s">
        <v>118</v>
      </c>
      <c r="B2185" s="1">
        <v>8.3000000000000007</v>
      </c>
      <c r="C2185" s="1">
        <v>795</v>
      </c>
      <c r="D2185" s="1" t="s">
        <v>33</v>
      </c>
      <c r="E2185" s="1" t="s">
        <v>7</v>
      </c>
      <c r="F2185" s="1">
        <f t="shared" si="68"/>
        <v>830.00000000000011</v>
      </c>
      <c r="G2185" s="5">
        <f t="shared" si="69"/>
        <v>0.95783132530120474</v>
      </c>
    </row>
    <row r="2186" spans="1:7" ht="13">
      <c r="A2186" s="4" t="s">
        <v>118</v>
      </c>
      <c r="B2186" s="1">
        <v>7.56</v>
      </c>
      <c r="C2186" s="1">
        <v>788</v>
      </c>
      <c r="D2186" s="1" t="s">
        <v>11</v>
      </c>
      <c r="E2186" s="1" t="s">
        <v>27</v>
      </c>
      <c r="F2186" s="1">
        <f t="shared" si="68"/>
        <v>756</v>
      </c>
      <c r="G2186" s="5">
        <f t="shared" si="69"/>
        <v>1.0423280423280423</v>
      </c>
    </row>
    <row r="2187" spans="1:7" ht="13">
      <c r="A2187" s="4" t="s">
        <v>118</v>
      </c>
      <c r="B2187" s="1">
        <v>6.88</v>
      </c>
      <c r="C2187" s="1">
        <v>881</v>
      </c>
      <c r="D2187" s="1" t="s">
        <v>11</v>
      </c>
      <c r="E2187" s="1" t="s">
        <v>15</v>
      </c>
      <c r="F2187" s="1">
        <f t="shared" si="68"/>
        <v>688</v>
      </c>
      <c r="G2187" s="5">
        <f t="shared" si="69"/>
        <v>1.2805232558139534</v>
      </c>
    </row>
    <row r="2188" spans="1:7" ht="13">
      <c r="A2188" s="4" t="s">
        <v>118</v>
      </c>
      <c r="B2188" s="1">
        <v>8.6</v>
      </c>
      <c r="C2188" s="1">
        <v>1090</v>
      </c>
      <c r="D2188" s="1" t="s">
        <v>11</v>
      </c>
      <c r="E2188" s="1" t="s">
        <v>20</v>
      </c>
      <c r="F2188" s="1">
        <f t="shared" si="68"/>
        <v>860</v>
      </c>
      <c r="G2188" s="5">
        <f t="shared" si="69"/>
        <v>1.2674418604651163</v>
      </c>
    </row>
    <row r="2189" spans="1:7" ht="13">
      <c r="A2189" s="4" t="s">
        <v>118</v>
      </c>
      <c r="B2189" s="1">
        <v>4</v>
      </c>
      <c r="C2189" s="1">
        <v>308</v>
      </c>
      <c r="D2189" s="1" t="s">
        <v>11</v>
      </c>
      <c r="E2189" s="1" t="s">
        <v>49</v>
      </c>
      <c r="F2189" s="1">
        <f t="shared" si="68"/>
        <v>400</v>
      </c>
      <c r="G2189" s="5">
        <f t="shared" si="69"/>
        <v>0.77</v>
      </c>
    </row>
    <row r="2190" spans="1:7" ht="13">
      <c r="A2190" s="4" t="s">
        <v>118</v>
      </c>
      <c r="B2190" s="1">
        <v>8.4</v>
      </c>
      <c r="C2190" s="1">
        <v>920</v>
      </c>
      <c r="D2190" s="1" t="s">
        <v>33</v>
      </c>
      <c r="E2190" s="1" t="s">
        <v>15</v>
      </c>
      <c r="F2190" s="1">
        <f t="shared" si="68"/>
        <v>840</v>
      </c>
      <c r="G2190" s="5">
        <f t="shared" si="69"/>
        <v>1.0952380952380953</v>
      </c>
    </row>
    <row r="2191" spans="1:7" ht="13">
      <c r="A2191" s="4" t="s">
        <v>119</v>
      </c>
      <c r="B2191" s="1">
        <v>9.98</v>
      </c>
      <c r="C2191" s="1">
        <v>990</v>
      </c>
      <c r="D2191" s="1" t="s">
        <v>33</v>
      </c>
      <c r="E2191" s="1" t="s">
        <v>21</v>
      </c>
      <c r="F2191" s="1">
        <f t="shared" si="68"/>
        <v>998</v>
      </c>
      <c r="G2191" s="5">
        <f t="shared" si="69"/>
        <v>0.99198396793587174</v>
      </c>
    </row>
    <row r="2192" spans="1:7" ht="13">
      <c r="A2192" s="4" t="s">
        <v>119</v>
      </c>
      <c r="B2192" s="1">
        <v>8.1999999999999993</v>
      </c>
      <c r="C2192" s="1">
        <v>830</v>
      </c>
      <c r="D2192" s="1" t="s">
        <v>39</v>
      </c>
      <c r="E2192" s="1" t="s">
        <v>16</v>
      </c>
      <c r="F2192" s="1">
        <f t="shared" si="68"/>
        <v>819.99999999999989</v>
      </c>
      <c r="G2192" s="5">
        <f t="shared" si="69"/>
        <v>1.0121951219512197</v>
      </c>
    </row>
    <row r="2193" spans="1:7" ht="13">
      <c r="A2193" s="4" t="s">
        <v>119</v>
      </c>
      <c r="B2193" s="1">
        <v>6.5</v>
      </c>
      <c r="C2193" s="1">
        <v>765</v>
      </c>
      <c r="D2193" s="1" t="s">
        <v>72</v>
      </c>
      <c r="E2193" s="1" t="s">
        <v>8</v>
      </c>
      <c r="F2193" s="1">
        <f t="shared" si="68"/>
        <v>650</v>
      </c>
      <c r="G2193" s="5">
        <f t="shared" si="69"/>
        <v>1.176923076923077</v>
      </c>
    </row>
    <row r="2194" spans="1:7" ht="13">
      <c r="A2194" s="4" t="s">
        <v>119</v>
      </c>
      <c r="B2194" s="1">
        <v>7.5</v>
      </c>
      <c r="C2194" s="1">
        <v>755</v>
      </c>
      <c r="D2194" s="1" t="s">
        <v>11</v>
      </c>
      <c r="E2194" s="1" t="s">
        <v>16</v>
      </c>
      <c r="F2194" s="1">
        <f t="shared" si="68"/>
        <v>750</v>
      </c>
      <c r="G2194" s="5">
        <f t="shared" si="69"/>
        <v>1.0066666666666666</v>
      </c>
    </row>
    <row r="2195" spans="1:7" ht="13">
      <c r="A2195" s="4" t="s">
        <v>119</v>
      </c>
      <c r="B2195" s="1">
        <v>4.8600000000000003</v>
      </c>
      <c r="C2195" s="1">
        <v>450</v>
      </c>
      <c r="D2195" s="1" t="s">
        <v>11</v>
      </c>
      <c r="E2195" s="1" t="s">
        <v>18</v>
      </c>
      <c r="F2195" s="1">
        <f t="shared" si="68"/>
        <v>486.00000000000006</v>
      </c>
      <c r="G2195" s="5">
        <f t="shared" si="69"/>
        <v>0.92592592592592582</v>
      </c>
    </row>
    <row r="2196" spans="1:7" ht="13">
      <c r="A2196" s="4" t="s">
        <v>119</v>
      </c>
      <c r="B2196" s="1">
        <v>8.9</v>
      </c>
      <c r="C2196" s="1">
        <v>861</v>
      </c>
      <c r="D2196" s="1" t="s">
        <v>11</v>
      </c>
      <c r="E2196" s="1" t="s">
        <v>31</v>
      </c>
      <c r="F2196" s="1">
        <f t="shared" si="68"/>
        <v>890</v>
      </c>
      <c r="G2196" s="5">
        <f t="shared" si="69"/>
        <v>0.96741573033707862</v>
      </c>
    </row>
    <row r="2197" spans="1:7" ht="13">
      <c r="A2197" s="4" t="s">
        <v>119</v>
      </c>
      <c r="B2197" s="1">
        <v>6.4</v>
      </c>
      <c r="C2197" s="1">
        <v>614</v>
      </c>
      <c r="D2197" s="1" t="s">
        <v>11</v>
      </c>
      <c r="E2197" s="1" t="s">
        <v>17</v>
      </c>
      <c r="F2197" s="1">
        <f t="shared" si="68"/>
        <v>640</v>
      </c>
      <c r="G2197" s="5">
        <f t="shared" si="69"/>
        <v>0.95937499999999998</v>
      </c>
    </row>
    <row r="2198" spans="1:7" ht="13">
      <c r="A2198" s="4" t="s">
        <v>119</v>
      </c>
      <c r="B2198" s="1">
        <v>5.46</v>
      </c>
      <c r="C2198" s="1">
        <v>650</v>
      </c>
      <c r="D2198" s="1" t="s">
        <v>47</v>
      </c>
      <c r="E2198" s="1" t="s">
        <v>10</v>
      </c>
      <c r="F2198" s="1">
        <f t="shared" si="68"/>
        <v>546</v>
      </c>
      <c r="G2198" s="5">
        <f t="shared" si="69"/>
        <v>1.1904761904761905</v>
      </c>
    </row>
    <row r="2199" spans="1:7" ht="13">
      <c r="A2199" s="4" t="s">
        <v>119</v>
      </c>
      <c r="B2199" s="1">
        <v>7.83</v>
      </c>
      <c r="C2199" s="1">
        <v>837</v>
      </c>
      <c r="D2199" s="1" t="s">
        <v>35</v>
      </c>
      <c r="E2199" s="1" t="s">
        <v>23</v>
      </c>
      <c r="F2199" s="1">
        <f t="shared" si="68"/>
        <v>783</v>
      </c>
      <c r="G2199" s="5">
        <f t="shared" si="69"/>
        <v>1.0689655172413792</v>
      </c>
    </row>
    <row r="2200" spans="1:7" ht="13">
      <c r="A2200" s="4" t="s">
        <v>119</v>
      </c>
      <c r="B2200" s="1">
        <v>4.4000000000000004</v>
      </c>
      <c r="C2200" s="1">
        <v>420</v>
      </c>
      <c r="D2200" s="1" t="s">
        <v>11</v>
      </c>
      <c r="E2200" s="1" t="s">
        <v>12</v>
      </c>
      <c r="F2200" s="1">
        <f t="shared" si="68"/>
        <v>440.00000000000006</v>
      </c>
      <c r="G2200" s="5">
        <f t="shared" si="69"/>
        <v>0.95454545454545447</v>
      </c>
    </row>
    <row r="2201" spans="1:7" ht="13">
      <c r="A2201" s="4" t="s">
        <v>119</v>
      </c>
      <c r="B2201" s="1">
        <v>6.4</v>
      </c>
      <c r="C2201" s="1">
        <v>665</v>
      </c>
      <c r="D2201" s="1" t="s">
        <v>38</v>
      </c>
      <c r="E2201" s="1" t="s">
        <v>9</v>
      </c>
      <c r="F2201" s="1">
        <f t="shared" si="68"/>
        <v>640</v>
      </c>
      <c r="G2201" s="5">
        <f t="shared" si="69"/>
        <v>1.0390625</v>
      </c>
    </row>
    <row r="2202" spans="1:7" ht="13">
      <c r="A2202" s="4" t="s">
        <v>119</v>
      </c>
      <c r="B2202" s="1">
        <v>8.8000000000000007</v>
      </c>
      <c r="C2202" s="1">
        <v>917</v>
      </c>
      <c r="D2202" s="1" t="s">
        <v>11</v>
      </c>
      <c r="E2202" s="1" t="s">
        <v>8</v>
      </c>
      <c r="F2202" s="1">
        <f t="shared" si="68"/>
        <v>880.00000000000011</v>
      </c>
      <c r="G2202" s="5">
        <f t="shared" si="69"/>
        <v>1.0420454545454545</v>
      </c>
    </row>
    <row r="2203" spans="1:7" ht="13">
      <c r="A2203" s="4" t="s">
        <v>119</v>
      </c>
      <c r="B2203" s="1">
        <v>6</v>
      </c>
      <c r="C2203" s="1">
        <v>617</v>
      </c>
      <c r="D2203" s="1" t="s">
        <v>35</v>
      </c>
      <c r="E2203" s="1" t="s">
        <v>15</v>
      </c>
      <c r="F2203" s="1">
        <f t="shared" si="68"/>
        <v>600</v>
      </c>
      <c r="G2203" s="5">
        <f t="shared" si="69"/>
        <v>1.0283333333333333</v>
      </c>
    </row>
    <row r="2204" spans="1:7" ht="13">
      <c r="A2204" s="4" t="s">
        <v>119</v>
      </c>
      <c r="B2204" s="1">
        <v>6.72</v>
      </c>
      <c r="C2204" s="1">
        <v>738</v>
      </c>
      <c r="D2204" s="1" t="s">
        <v>11</v>
      </c>
      <c r="E2204" s="1" t="s">
        <v>24</v>
      </c>
      <c r="F2204" s="1">
        <f t="shared" si="68"/>
        <v>672</v>
      </c>
      <c r="G2204" s="5">
        <f t="shared" si="69"/>
        <v>1.0982142857142858</v>
      </c>
    </row>
    <row r="2205" spans="1:7" ht="13">
      <c r="A2205" s="4" t="s">
        <v>119</v>
      </c>
      <c r="B2205" s="1">
        <v>6.2</v>
      </c>
      <c r="C2205" s="1">
        <v>617</v>
      </c>
      <c r="D2205" s="1" t="s">
        <v>11</v>
      </c>
      <c r="E2205" s="1" t="s">
        <v>7</v>
      </c>
      <c r="F2205" s="1">
        <f t="shared" si="68"/>
        <v>620</v>
      </c>
      <c r="G2205" s="5">
        <f t="shared" si="69"/>
        <v>0.99516129032258061</v>
      </c>
    </row>
    <row r="2206" spans="1:7" ht="13">
      <c r="A2206" s="4" t="s">
        <v>119</v>
      </c>
      <c r="B2206" s="1">
        <v>8.6</v>
      </c>
      <c r="C2206" s="1">
        <v>856</v>
      </c>
      <c r="D2206" s="1" t="s">
        <v>11</v>
      </c>
      <c r="E2206" s="1" t="s">
        <v>68</v>
      </c>
      <c r="F2206" s="1">
        <f t="shared" si="68"/>
        <v>860</v>
      </c>
      <c r="G2206" s="5">
        <f t="shared" si="69"/>
        <v>0.99534883720930234</v>
      </c>
    </row>
    <row r="2207" spans="1:7" ht="13">
      <c r="A2207" s="4" t="s">
        <v>119</v>
      </c>
      <c r="B2207" s="1">
        <v>12</v>
      </c>
      <c r="C2207" s="1">
        <v>980</v>
      </c>
      <c r="D2207" s="1" t="s">
        <v>33</v>
      </c>
      <c r="E2207" s="1" t="s">
        <v>20</v>
      </c>
      <c r="F2207" s="1">
        <f t="shared" si="68"/>
        <v>1200</v>
      </c>
      <c r="G2207" s="5">
        <f t="shared" si="69"/>
        <v>0.81666666666666665</v>
      </c>
    </row>
    <row r="2208" spans="1:7" ht="13">
      <c r="A2208" s="4" t="s">
        <v>119</v>
      </c>
      <c r="B2208" s="1">
        <v>5.8</v>
      </c>
      <c r="C2208" s="1">
        <v>438</v>
      </c>
      <c r="D2208" s="1" t="s">
        <v>67</v>
      </c>
      <c r="E2208" s="1" t="s">
        <v>17</v>
      </c>
      <c r="F2208" s="1">
        <f t="shared" ref="F2208:F2271" si="70">B2208*100</f>
        <v>580</v>
      </c>
      <c r="G2208" s="5">
        <f t="shared" si="69"/>
        <v>0.7551724137931034</v>
      </c>
    </row>
    <row r="2209" spans="1:7" ht="13">
      <c r="A2209" s="4" t="s">
        <v>119</v>
      </c>
      <c r="B2209" s="1">
        <v>8.4</v>
      </c>
      <c r="C2209" s="1">
        <v>778</v>
      </c>
      <c r="D2209" s="1" t="s">
        <v>105</v>
      </c>
      <c r="E2209" s="1" t="s">
        <v>32</v>
      </c>
      <c r="F2209" s="1">
        <f t="shared" si="70"/>
        <v>840</v>
      </c>
      <c r="G2209" s="5">
        <f t="shared" si="69"/>
        <v>0.92619047619047623</v>
      </c>
    </row>
    <row r="2210" spans="1:7" ht="13">
      <c r="A2210" s="4" t="s">
        <v>119</v>
      </c>
      <c r="B2210" s="1">
        <v>4.5</v>
      </c>
      <c r="C2210" s="1">
        <v>560</v>
      </c>
      <c r="D2210" s="1" t="s">
        <v>39</v>
      </c>
      <c r="E2210" s="1" t="s">
        <v>15</v>
      </c>
      <c r="F2210" s="1">
        <f t="shared" si="70"/>
        <v>450</v>
      </c>
      <c r="G2210" s="5">
        <f t="shared" si="69"/>
        <v>1.2444444444444445</v>
      </c>
    </row>
    <row r="2211" spans="1:7" ht="13">
      <c r="A2211" s="4" t="s">
        <v>119</v>
      </c>
      <c r="B2211" s="1">
        <v>5</v>
      </c>
      <c r="C2211" s="1">
        <v>560</v>
      </c>
      <c r="D2211" s="1" t="s">
        <v>11</v>
      </c>
      <c r="E2211" s="1" t="s">
        <v>15</v>
      </c>
      <c r="F2211" s="1">
        <f t="shared" si="70"/>
        <v>500</v>
      </c>
      <c r="G2211" s="5">
        <f t="shared" si="69"/>
        <v>1.1200000000000001</v>
      </c>
    </row>
    <row r="2212" spans="1:7" ht="13">
      <c r="A2212" s="4" t="s">
        <v>119</v>
      </c>
      <c r="B2212" s="1">
        <v>7.7</v>
      </c>
      <c r="C2212" s="1">
        <v>815</v>
      </c>
      <c r="D2212" s="1" t="s">
        <v>11</v>
      </c>
      <c r="E2212" s="1" t="s">
        <v>25</v>
      </c>
      <c r="F2212" s="1">
        <f t="shared" si="70"/>
        <v>770</v>
      </c>
      <c r="G2212" s="5">
        <f t="shared" si="69"/>
        <v>1.0584415584415585</v>
      </c>
    </row>
    <row r="2213" spans="1:7" ht="13">
      <c r="A2213" s="4" t="s">
        <v>119</v>
      </c>
      <c r="B2213" s="1">
        <v>5.74</v>
      </c>
      <c r="C2213" s="1">
        <v>644</v>
      </c>
      <c r="D2213" s="1" t="s">
        <v>11</v>
      </c>
      <c r="E2213" s="1" t="s">
        <v>21</v>
      </c>
      <c r="F2213" s="1">
        <f t="shared" si="70"/>
        <v>574</v>
      </c>
      <c r="G2213" s="5">
        <f t="shared" si="69"/>
        <v>1.1219512195121952</v>
      </c>
    </row>
    <row r="2214" spans="1:7" ht="13">
      <c r="A2214" s="4" t="s">
        <v>119</v>
      </c>
      <c r="B2214" s="1">
        <v>7.4</v>
      </c>
      <c r="C2214" s="1">
        <v>794</v>
      </c>
      <c r="D2214" s="1" t="s">
        <v>33</v>
      </c>
      <c r="E2214" s="1" t="s">
        <v>23</v>
      </c>
      <c r="F2214" s="1">
        <f t="shared" si="70"/>
        <v>740</v>
      </c>
      <c r="G2214" s="5">
        <f t="shared" si="69"/>
        <v>1.0729729729729729</v>
      </c>
    </row>
    <row r="2215" spans="1:7" ht="13">
      <c r="A2215" s="4" t="s">
        <v>119</v>
      </c>
      <c r="B2215" s="1">
        <v>7.5</v>
      </c>
      <c r="C2215" s="1">
        <v>647.97</v>
      </c>
      <c r="D2215" s="1" t="s">
        <v>40</v>
      </c>
      <c r="E2215" s="1" t="s">
        <v>16</v>
      </c>
      <c r="F2215" s="1">
        <f t="shared" si="70"/>
        <v>750</v>
      </c>
      <c r="G2215" s="5">
        <f t="shared" si="69"/>
        <v>0.86396000000000006</v>
      </c>
    </row>
    <row r="2216" spans="1:7" ht="13">
      <c r="A2216" s="4" t="s">
        <v>119</v>
      </c>
      <c r="B2216" s="1">
        <v>7.56</v>
      </c>
      <c r="C2216" s="1">
        <v>689</v>
      </c>
      <c r="D2216" s="1" t="s">
        <v>33</v>
      </c>
      <c r="E2216" s="1" t="s">
        <v>31</v>
      </c>
      <c r="F2216" s="1">
        <f t="shared" si="70"/>
        <v>756</v>
      </c>
      <c r="G2216" s="5">
        <f t="shared" si="69"/>
        <v>0.91137566137566139</v>
      </c>
    </row>
    <row r="2217" spans="1:7" ht="13">
      <c r="A2217" s="4" t="s">
        <v>119</v>
      </c>
      <c r="B2217" s="1">
        <v>4.3499999999999996</v>
      </c>
      <c r="C2217" s="1">
        <v>477</v>
      </c>
      <c r="D2217" s="1" t="s">
        <v>11</v>
      </c>
      <c r="E2217" s="1" t="s">
        <v>8</v>
      </c>
      <c r="F2217" s="1">
        <f t="shared" si="70"/>
        <v>434.99999999999994</v>
      </c>
      <c r="G2217" s="5">
        <f t="shared" si="69"/>
        <v>1.0965517241379312</v>
      </c>
    </row>
    <row r="2218" spans="1:7" ht="13">
      <c r="A2218" s="4" t="s">
        <v>119</v>
      </c>
      <c r="B2218" s="1">
        <v>7.5</v>
      </c>
      <c r="C2218" s="1">
        <v>734</v>
      </c>
      <c r="D2218" s="1" t="s">
        <v>43</v>
      </c>
      <c r="E2218" s="1" t="s">
        <v>16</v>
      </c>
      <c r="F2218" s="1">
        <f t="shared" si="70"/>
        <v>750</v>
      </c>
      <c r="G2218" s="5">
        <f t="shared" si="69"/>
        <v>0.97866666666666668</v>
      </c>
    </row>
    <row r="2219" spans="1:7" ht="13">
      <c r="A2219" s="4" t="s">
        <v>119</v>
      </c>
      <c r="B2219" s="1">
        <v>5.8</v>
      </c>
      <c r="C2219" s="1">
        <v>6.12</v>
      </c>
      <c r="D2219" s="1" t="s">
        <v>43</v>
      </c>
      <c r="E2219" s="1" t="s">
        <v>10</v>
      </c>
      <c r="F2219" s="1">
        <f t="shared" si="70"/>
        <v>580</v>
      </c>
      <c r="G2219" s="5">
        <f t="shared" si="69"/>
        <v>1.0551724137931035E-2</v>
      </c>
    </row>
    <row r="2220" spans="1:7" ht="13">
      <c r="A2220" s="4" t="s">
        <v>119</v>
      </c>
      <c r="B2220" s="1">
        <v>5</v>
      </c>
      <c r="C2220" s="1">
        <v>553</v>
      </c>
      <c r="D2220" s="1" t="s">
        <v>43</v>
      </c>
      <c r="E2220" s="1" t="s">
        <v>22</v>
      </c>
      <c r="F2220" s="1">
        <f t="shared" si="70"/>
        <v>500</v>
      </c>
      <c r="G2220" s="5">
        <f t="shared" si="69"/>
        <v>1.1060000000000001</v>
      </c>
    </row>
    <row r="2221" spans="1:7" ht="13">
      <c r="A2221" s="4" t="s">
        <v>119</v>
      </c>
      <c r="B2221" s="1">
        <v>9.67</v>
      </c>
      <c r="C2221" s="1">
        <v>949</v>
      </c>
      <c r="D2221" s="1" t="s">
        <v>11</v>
      </c>
      <c r="E2221" s="1" t="s">
        <v>10</v>
      </c>
      <c r="F2221" s="1">
        <f t="shared" si="70"/>
        <v>967</v>
      </c>
      <c r="G2221" s="5">
        <f t="shared" si="69"/>
        <v>0.98138572905894517</v>
      </c>
    </row>
    <row r="2222" spans="1:7" ht="13">
      <c r="A2222" s="4" t="s">
        <v>119</v>
      </c>
      <c r="B2222" s="1">
        <v>8.6999999999999993</v>
      </c>
      <c r="C2222" s="1">
        <v>949</v>
      </c>
      <c r="D2222" s="1" t="s">
        <v>11</v>
      </c>
      <c r="E2222" s="1" t="s">
        <v>24</v>
      </c>
      <c r="F2222" s="1">
        <f t="shared" si="70"/>
        <v>869.99999999999989</v>
      </c>
      <c r="G2222" s="5">
        <f t="shared" si="69"/>
        <v>1.0908045977011496</v>
      </c>
    </row>
    <row r="2223" spans="1:7" ht="13">
      <c r="A2223" s="4" t="s">
        <v>119</v>
      </c>
      <c r="B2223" s="1">
        <v>6.96</v>
      </c>
      <c r="C2223" s="1">
        <v>636</v>
      </c>
      <c r="D2223" s="1" t="s">
        <v>33</v>
      </c>
      <c r="E2223" s="1" t="s">
        <v>9</v>
      </c>
      <c r="F2223" s="1">
        <f t="shared" si="70"/>
        <v>696</v>
      </c>
      <c r="G2223" s="5">
        <f t="shared" si="69"/>
        <v>0.91379310344827591</v>
      </c>
    </row>
    <row r="2224" spans="1:7" ht="13">
      <c r="A2224" s="4" t="s">
        <v>119</v>
      </c>
      <c r="B2224" s="1">
        <v>5</v>
      </c>
      <c r="C2224" s="1">
        <v>503</v>
      </c>
      <c r="D2224" s="1" t="s">
        <v>50</v>
      </c>
      <c r="E2224" s="1" t="s">
        <v>15</v>
      </c>
      <c r="F2224" s="1">
        <f t="shared" si="70"/>
        <v>500</v>
      </c>
      <c r="G2224" s="5">
        <f t="shared" si="69"/>
        <v>1.006</v>
      </c>
    </row>
    <row r="2225" spans="1:7" ht="13">
      <c r="A2225" s="4" t="s">
        <v>119</v>
      </c>
      <c r="B2225" s="1">
        <v>5.6</v>
      </c>
      <c r="C2225" s="1">
        <v>485</v>
      </c>
      <c r="D2225" s="1" t="s">
        <v>102</v>
      </c>
      <c r="E2225" s="1" t="s">
        <v>26</v>
      </c>
      <c r="F2225" s="1">
        <f t="shared" si="70"/>
        <v>560</v>
      </c>
      <c r="G2225" s="5">
        <f t="shared" si="69"/>
        <v>0.8660714285714286</v>
      </c>
    </row>
    <row r="2226" spans="1:7" ht="13">
      <c r="A2226" s="4" t="s">
        <v>119</v>
      </c>
      <c r="B2226" s="1">
        <v>7.5</v>
      </c>
      <c r="C2226" s="1">
        <v>745</v>
      </c>
      <c r="D2226" s="1" t="s">
        <v>43</v>
      </c>
      <c r="E2226" s="1" t="s">
        <v>24</v>
      </c>
      <c r="F2226" s="1">
        <f t="shared" si="70"/>
        <v>750</v>
      </c>
      <c r="G2226" s="5">
        <f t="shared" si="69"/>
        <v>0.99333333333333329</v>
      </c>
    </row>
    <row r="2227" spans="1:7" ht="13">
      <c r="A2227" s="4" t="s">
        <v>119</v>
      </c>
      <c r="B2227" s="1">
        <v>7.5</v>
      </c>
      <c r="C2227" s="1">
        <v>694</v>
      </c>
      <c r="D2227" s="1" t="s">
        <v>11</v>
      </c>
      <c r="E2227" s="1" t="s">
        <v>16</v>
      </c>
      <c r="F2227" s="1">
        <f t="shared" si="70"/>
        <v>750</v>
      </c>
      <c r="G2227" s="5">
        <f t="shared" si="69"/>
        <v>0.92533333333333334</v>
      </c>
    </row>
    <row r="2228" spans="1:7" ht="13">
      <c r="A2228" s="4" t="s">
        <v>119</v>
      </c>
      <c r="B2228" s="1">
        <v>200</v>
      </c>
      <c r="C2228" s="1">
        <v>18912</v>
      </c>
      <c r="D2228" s="1" t="s">
        <v>33</v>
      </c>
      <c r="E2228" s="1" t="s">
        <v>9</v>
      </c>
      <c r="F2228" s="1">
        <f t="shared" si="70"/>
        <v>20000</v>
      </c>
      <c r="G2228" s="5">
        <f t="shared" si="69"/>
        <v>0.9456</v>
      </c>
    </row>
    <row r="2229" spans="1:7" ht="13">
      <c r="A2229" s="4" t="s">
        <v>119</v>
      </c>
      <c r="B2229" s="1">
        <v>6.09</v>
      </c>
      <c r="C2229" s="1">
        <v>619</v>
      </c>
      <c r="D2229" s="1" t="s">
        <v>42</v>
      </c>
      <c r="E2229" s="1" t="s">
        <v>8</v>
      </c>
      <c r="F2229" s="1">
        <f t="shared" si="70"/>
        <v>609</v>
      </c>
      <c r="G2229" s="5">
        <f t="shared" si="69"/>
        <v>1.0164203612479474</v>
      </c>
    </row>
    <row r="2230" spans="1:7" ht="13">
      <c r="A2230" s="4" t="s">
        <v>119</v>
      </c>
      <c r="B2230" s="1">
        <v>3.44</v>
      </c>
      <c r="C2230" s="1">
        <v>412</v>
      </c>
      <c r="D2230" s="1" t="s">
        <v>43</v>
      </c>
      <c r="E2230" s="1" t="s">
        <v>8</v>
      </c>
      <c r="F2230" s="1">
        <f t="shared" si="70"/>
        <v>344</v>
      </c>
      <c r="G2230" s="5">
        <f t="shared" si="69"/>
        <v>1.1976744186046511</v>
      </c>
    </row>
    <row r="2231" spans="1:7" ht="13">
      <c r="A2231" s="4" t="s">
        <v>119</v>
      </c>
      <c r="B2231" s="1">
        <v>6.76</v>
      </c>
      <c r="C2231" s="1">
        <v>836</v>
      </c>
      <c r="D2231" s="1" t="s">
        <v>11</v>
      </c>
      <c r="E2231" s="1" t="s">
        <v>8</v>
      </c>
      <c r="F2231" s="1">
        <f t="shared" si="70"/>
        <v>676</v>
      </c>
      <c r="G2231" s="5">
        <f t="shared" si="69"/>
        <v>1.2366863905325445</v>
      </c>
    </row>
    <row r="2232" spans="1:7" ht="13">
      <c r="A2232" s="4" t="s">
        <v>119</v>
      </c>
      <c r="B2232" s="1">
        <v>5.04</v>
      </c>
      <c r="C2232" s="1">
        <v>484</v>
      </c>
      <c r="D2232" s="1" t="s">
        <v>11</v>
      </c>
      <c r="E2232" s="1" t="s">
        <v>15</v>
      </c>
      <c r="F2232" s="1">
        <f t="shared" si="70"/>
        <v>504</v>
      </c>
      <c r="G2232" s="5">
        <f t="shared" si="69"/>
        <v>0.96031746031746035</v>
      </c>
    </row>
    <row r="2233" spans="1:7" ht="13">
      <c r="A2233" s="4" t="s">
        <v>119</v>
      </c>
      <c r="B2233" s="1">
        <v>6.88</v>
      </c>
      <c r="C2233" s="1">
        <v>672</v>
      </c>
      <c r="D2233" s="1" t="s">
        <v>33</v>
      </c>
      <c r="E2233" s="1" t="s">
        <v>8</v>
      </c>
      <c r="F2233" s="1">
        <f t="shared" si="70"/>
        <v>688</v>
      </c>
      <c r="G2233" s="5">
        <f t="shared" si="69"/>
        <v>0.97674418604651159</v>
      </c>
    </row>
    <row r="2234" spans="1:7" ht="13">
      <c r="A2234" s="4" t="s">
        <v>119</v>
      </c>
      <c r="B2234" s="1">
        <v>8.6</v>
      </c>
      <c r="C2234" s="1">
        <v>1001</v>
      </c>
      <c r="D2234" s="1" t="s">
        <v>42</v>
      </c>
      <c r="E2234" s="1" t="s">
        <v>8</v>
      </c>
      <c r="F2234" s="1">
        <f t="shared" si="70"/>
        <v>860</v>
      </c>
      <c r="G2234" s="5">
        <f t="shared" si="69"/>
        <v>1.163953488372093</v>
      </c>
    </row>
    <row r="2235" spans="1:7" ht="13">
      <c r="A2235" s="4" t="s">
        <v>119</v>
      </c>
      <c r="B2235" s="1">
        <v>7.5</v>
      </c>
      <c r="C2235" s="1">
        <v>860</v>
      </c>
      <c r="D2235" s="1" t="s">
        <v>47</v>
      </c>
      <c r="E2235" s="1" t="s">
        <v>21</v>
      </c>
      <c r="F2235" s="1">
        <f t="shared" si="70"/>
        <v>750</v>
      </c>
      <c r="G2235" s="5">
        <f t="shared" si="69"/>
        <v>1.1466666666666667</v>
      </c>
    </row>
    <row r="2236" spans="1:7" ht="13">
      <c r="A2236" s="4" t="s">
        <v>119</v>
      </c>
      <c r="B2236" s="1">
        <v>3.48</v>
      </c>
      <c r="C2236" s="1">
        <v>376</v>
      </c>
      <c r="D2236" s="1" t="s">
        <v>39</v>
      </c>
      <c r="E2236" s="1" t="s">
        <v>15</v>
      </c>
      <c r="F2236" s="1">
        <f t="shared" si="70"/>
        <v>348</v>
      </c>
      <c r="G2236" s="5">
        <f t="shared" si="69"/>
        <v>1.0804597701149425</v>
      </c>
    </row>
    <row r="2237" spans="1:7" ht="13">
      <c r="A2237" s="4" t="s">
        <v>119</v>
      </c>
      <c r="B2237" s="1">
        <v>8.6999999999999993</v>
      </c>
      <c r="C2237" s="1">
        <v>793</v>
      </c>
      <c r="D2237" s="1" t="s">
        <v>33</v>
      </c>
      <c r="E2237" s="1" t="s">
        <v>14</v>
      </c>
      <c r="F2237" s="1">
        <f t="shared" si="70"/>
        <v>869.99999999999989</v>
      </c>
      <c r="G2237" s="5">
        <f t="shared" si="69"/>
        <v>0.91149425287356334</v>
      </c>
    </row>
    <row r="2238" spans="1:7" ht="13">
      <c r="A2238" s="4" t="s">
        <v>119</v>
      </c>
      <c r="B2238" s="1">
        <v>12</v>
      </c>
      <c r="C2238" s="1">
        <v>1120</v>
      </c>
      <c r="D2238" s="1" t="s">
        <v>39</v>
      </c>
      <c r="E2238" s="1" t="s">
        <v>41</v>
      </c>
      <c r="F2238" s="1">
        <f t="shared" si="70"/>
        <v>1200</v>
      </c>
      <c r="G2238" s="5">
        <f t="shared" si="69"/>
        <v>0.93333333333333335</v>
      </c>
    </row>
    <row r="2239" spans="1:7" ht="13">
      <c r="A2239" s="4" t="s">
        <v>119</v>
      </c>
      <c r="B2239" s="1">
        <v>6</v>
      </c>
      <c r="C2239" s="1">
        <v>635</v>
      </c>
      <c r="D2239" s="1" t="s">
        <v>33</v>
      </c>
      <c r="E2239" s="1" t="s">
        <v>8</v>
      </c>
      <c r="F2239" s="1">
        <f t="shared" si="70"/>
        <v>600</v>
      </c>
      <c r="G2239" s="5">
        <f t="shared" si="69"/>
        <v>1.0583333333333333</v>
      </c>
    </row>
    <row r="2240" spans="1:7" ht="13">
      <c r="A2240" s="4" t="s">
        <v>119</v>
      </c>
      <c r="B2240" s="1">
        <v>7.6</v>
      </c>
      <c r="C2240" s="1">
        <v>948</v>
      </c>
      <c r="D2240" s="1" t="s">
        <v>34</v>
      </c>
      <c r="E2240" s="1" t="s">
        <v>10</v>
      </c>
      <c r="F2240" s="1">
        <f t="shared" si="70"/>
        <v>760</v>
      </c>
      <c r="G2240" s="5">
        <f t="shared" si="69"/>
        <v>1.2473684210526317</v>
      </c>
    </row>
    <row r="2241" spans="1:7" ht="13">
      <c r="A2241" s="4" t="s">
        <v>119</v>
      </c>
      <c r="B2241" s="1">
        <v>12</v>
      </c>
      <c r="C2241" s="1">
        <v>2250</v>
      </c>
      <c r="D2241" s="1" t="s">
        <v>11</v>
      </c>
      <c r="E2241" s="1" t="s">
        <v>12</v>
      </c>
      <c r="F2241" s="1">
        <f t="shared" si="70"/>
        <v>1200</v>
      </c>
      <c r="G2241" s="5">
        <f t="shared" si="69"/>
        <v>1.875</v>
      </c>
    </row>
    <row r="2242" spans="1:7" ht="13">
      <c r="A2242" s="4" t="s">
        <v>119</v>
      </c>
      <c r="B2242" s="1">
        <v>3.9</v>
      </c>
      <c r="C2242" s="1">
        <v>429</v>
      </c>
      <c r="D2242" s="1" t="s">
        <v>11</v>
      </c>
      <c r="E2242" s="1" t="s">
        <v>15</v>
      </c>
      <c r="F2242" s="1">
        <f t="shared" si="70"/>
        <v>390</v>
      </c>
      <c r="G2242" s="5">
        <f t="shared" ref="G2242:G2305" si="71">C2242/F2242</f>
        <v>1.1000000000000001</v>
      </c>
    </row>
    <row r="2243" spans="1:7" ht="13">
      <c r="A2243" s="4" t="s">
        <v>119</v>
      </c>
      <c r="B2243" s="1">
        <v>4.3</v>
      </c>
      <c r="C2243" s="1">
        <v>368</v>
      </c>
      <c r="D2243" s="1" t="s">
        <v>33</v>
      </c>
      <c r="E2243" s="1" t="s">
        <v>30</v>
      </c>
      <c r="F2243" s="1">
        <f t="shared" si="70"/>
        <v>430</v>
      </c>
      <c r="G2243" s="5">
        <f t="shared" si="71"/>
        <v>0.85581395348837208</v>
      </c>
    </row>
    <row r="2244" spans="1:7" ht="13">
      <c r="A2244" s="4" t="s">
        <v>119</v>
      </c>
      <c r="B2244" s="1">
        <v>5.6</v>
      </c>
      <c r="C2244" s="1">
        <v>590</v>
      </c>
      <c r="D2244" s="1" t="s">
        <v>33</v>
      </c>
      <c r="E2244" s="1" t="s">
        <v>29</v>
      </c>
      <c r="F2244" s="1">
        <f t="shared" si="70"/>
        <v>560</v>
      </c>
      <c r="G2244" s="5">
        <f t="shared" si="71"/>
        <v>1.0535714285714286</v>
      </c>
    </row>
    <row r="2245" spans="1:7" ht="13">
      <c r="A2245" s="4" t="s">
        <v>119</v>
      </c>
      <c r="B2245" s="1">
        <v>5.7</v>
      </c>
      <c r="C2245" s="1">
        <v>550</v>
      </c>
      <c r="D2245" s="1" t="s">
        <v>47</v>
      </c>
      <c r="E2245" s="1" t="s">
        <v>8</v>
      </c>
      <c r="F2245" s="1">
        <f t="shared" si="70"/>
        <v>570</v>
      </c>
      <c r="G2245" s="5">
        <f t="shared" si="71"/>
        <v>0.96491228070175439</v>
      </c>
    </row>
    <row r="2246" spans="1:7" ht="13">
      <c r="A2246" s="4" t="s">
        <v>119</v>
      </c>
      <c r="B2246" s="1">
        <v>5.22</v>
      </c>
      <c r="C2246" s="1">
        <v>657</v>
      </c>
      <c r="D2246" s="1" t="s">
        <v>39</v>
      </c>
      <c r="E2246" s="1" t="s">
        <v>9</v>
      </c>
      <c r="F2246" s="1">
        <f t="shared" si="70"/>
        <v>522</v>
      </c>
      <c r="G2246" s="5">
        <f t="shared" si="71"/>
        <v>1.2586206896551724</v>
      </c>
    </row>
    <row r="2247" spans="1:7" ht="13">
      <c r="A2247" s="4" t="s">
        <v>119</v>
      </c>
      <c r="B2247" s="1">
        <v>4.2</v>
      </c>
      <c r="C2247" s="1">
        <v>409</v>
      </c>
      <c r="D2247" s="1" t="s">
        <v>33</v>
      </c>
      <c r="E2247" s="1" t="s">
        <v>17</v>
      </c>
      <c r="F2247" s="1">
        <f t="shared" si="70"/>
        <v>420</v>
      </c>
      <c r="G2247" s="5">
        <f t="shared" si="71"/>
        <v>0.97380952380952379</v>
      </c>
    </row>
    <row r="2248" spans="1:7" ht="13">
      <c r="A2248" s="4" t="s">
        <v>119</v>
      </c>
      <c r="B2248" s="1">
        <v>7.8</v>
      </c>
      <c r="C2248" s="1">
        <v>804</v>
      </c>
      <c r="D2248" s="1" t="s">
        <v>39</v>
      </c>
      <c r="E2248" s="1" t="s">
        <v>9</v>
      </c>
      <c r="F2248" s="1">
        <f t="shared" si="70"/>
        <v>780</v>
      </c>
      <c r="G2248" s="5">
        <f t="shared" si="71"/>
        <v>1.0307692307692307</v>
      </c>
    </row>
    <row r="2249" spans="1:7" ht="13">
      <c r="A2249" s="4" t="s">
        <v>119</v>
      </c>
      <c r="B2249" s="1">
        <v>6</v>
      </c>
      <c r="C2249" s="1">
        <v>599</v>
      </c>
      <c r="D2249" s="1" t="s">
        <v>11</v>
      </c>
      <c r="E2249" s="1" t="s">
        <v>19</v>
      </c>
      <c r="F2249" s="1">
        <f t="shared" si="70"/>
        <v>600</v>
      </c>
      <c r="G2249" s="5">
        <f t="shared" si="71"/>
        <v>0.99833333333333329</v>
      </c>
    </row>
    <row r="2250" spans="1:7" ht="13">
      <c r="A2250" s="4" t="s">
        <v>119</v>
      </c>
      <c r="B2250" s="1">
        <v>9.1999999999999993</v>
      </c>
      <c r="C2250" s="1">
        <v>822</v>
      </c>
      <c r="D2250" s="1" t="s">
        <v>37</v>
      </c>
      <c r="E2250" s="1" t="s">
        <v>18</v>
      </c>
      <c r="F2250" s="1">
        <f t="shared" si="70"/>
        <v>919.99999999999989</v>
      </c>
      <c r="G2250" s="5">
        <f t="shared" si="71"/>
        <v>0.89347826086956528</v>
      </c>
    </row>
    <row r="2251" spans="1:7" ht="13">
      <c r="A2251" s="4" t="s">
        <v>119</v>
      </c>
      <c r="B2251" s="1">
        <v>4.3499999999999996</v>
      </c>
      <c r="C2251" s="1">
        <v>588</v>
      </c>
      <c r="D2251" s="1" t="s">
        <v>39</v>
      </c>
      <c r="E2251" s="1" t="s">
        <v>30</v>
      </c>
      <c r="F2251" s="1">
        <f t="shared" si="70"/>
        <v>434.99999999999994</v>
      </c>
      <c r="G2251" s="5">
        <f t="shared" si="71"/>
        <v>1.3517241379310347</v>
      </c>
    </row>
    <row r="2252" spans="1:7" ht="13">
      <c r="A2252" s="4" t="s">
        <v>119</v>
      </c>
      <c r="B2252" s="1">
        <v>8.6999999999999993</v>
      </c>
      <c r="C2252" s="1">
        <v>848</v>
      </c>
      <c r="D2252" s="1" t="s">
        <v>33</v>
      </c>
      <c r="E2252" s="1" t="s">
        <v>26</v>
      </c>
      <c r="F2252" s="1">
        <f t="shared" si="70"/>
        <v>869.99999999999989</v>
      </c>
      <c r="G2252" s="5">
        <f t="shared" si="71"/>
        <v>0.97471264367816102</v>
      </c>
    </row>
    <row r="2253" spans="1:7" ht="13">
      <c r="A2253" s="4" t="s">
        <v>119</v>
      </c>
      <c r="B2253" s="1">
        <v>7.3</v>
      </c>
      <c r="C2253" s="1">
        <v>711</v>
      </c>
      <c r="D2253" s="1" t="s">
        <v>33</v>
      </c>
      <c r="E2253" s="1" t="s">
        <v>16</v>
      </c>
      <c r="F2253" s="1">
        <f t="shared" si="70"/>
        <v>730</v>
      </c>
      <c r="G2253" s="5">
        <f t="shared" si="71"/>
        <v>0.97397260273972608</v>
      </c>
    </row>
    <row r="2254" spans="1:7" ht="13">
      <c r="A2254" s="4" t="s">
        <v>119</v>
      </c>
      <c r="B2254" s="1">
        <v>5.12</v>
      </c>
      <c r="C2254" s="1">
        <v>577</v>
      </c>
      <c r="D2254" s="1" t="s">
        <v>39</v>
      </c>
      <c r="E2254" s="1" t="s">
        <v>15</v>
      </c>
      <c r="F2254" s="1">
        <f t="shared" si="70"/>
        <v>512</v>
      </c>
      <c r="G2254" s="5">
        <f t="shared" si="71"/>
        <v>1.126953125</v>
      </c>
    </row>
    <row r="2255" spans="1:7" ht="13">
      <c r="A2255" s="4" t="s">
        <v>119</v>
      </c>
      <c r="B2255" s="1">
        <v>4.4000000000000004</v>
      </c>
      <c r="C2255" s="1">
        <v>5.5</v>
      </c>
      <c r="D2255" s="1" t="s">
        <v>11</v>
      </c>
      <c r="E2255" s="1" t="s">
        <v>15</v>
      </c>
      <c r="F2255" s="1">
        <f t="shared" si="70"/>
        <v>440.00000000000006</v>
      </c>
      <c r="G2255" s="5">
        <f t="shared" si="71"/>
        <v>1.2499999999999999E-2</v>
      </c>
    </row>
    <row r="2256" spans="1:7" ht="13">
      <c r="A2256" s="4" t="s">
        <v>119</v>
      </c>
      <c r="B2256" s="1">
        <v>6.09</v>
      </c>
      <c r="C2256" s="1">
        <v>637</v>
      </c>
      <c r="D2256" s="1" t="s">
        <v>37</v>
      </c>
      <c r="E2256" s="1" t="s">
        <v>15</v>
      </c>
      <c r="F2256" s="1">
        <f t="shared" si="70"/>
        <v>609</v>
      </c>
      <c r="G2256" s="5">
        <f t="shared" si="71"/>
        <v>1.0459770114942528</v>
      </c>
    </row>
    <row r="2257" spans="1:7" ht="13">
      <c r="A2257" s="4" t="s">
        <v>119</v>
      </c>
      <c r="B2257" s="1">
        <v>8.1</v>
      </c>
      <c r="C2257" s="1">
        <v>954</v>
      </c>
      <c r="D2257" s="1" t="s">
        <v>42</v>
      </c>
      <c r="E2257" s="1" t="s">
        <v>10</v>
      </c>
      <c r="F2257" s="1">
        <f t="shared" si="70"/>
        <v>810</v>
      </c>
      <c r="G2257" s="5">
        <f t="shared" si="71"/>
        <v>1.1777777777777778</v>
      </c>
    </row>
    <row r="2258" spans="1:7" ht="13">
      <c r="A2258" s="4" t="s">
        <v>119</v>
      </c>
      <c r="B2258" s="1">
        <v>4.8</v>
      </c>
      <c r="C2258" s="1">
        <v>613</v>
      </c>
      <c r="D2258" s="1" t="s">
        <v>11</v>
      </c>
      <c r="E2258" s="1" t="s">
        <v>15</v>
      </c>
      <c r="F2258" s="1">
        <f t="shared" si="70"/>
        <v>480</v>
      </c>
      <c r="G2258" s="5">
        <f t="shared" si="71"/>
        <v>1.2770833333333333</v>
      </c>
    </row>
    <row r="2259" spans="1:7" ht="13">
      <c r="A2259" s="4" t="s">
        <v>119</v>
      </c>
      <c r="B2259" s="1">
        <v>6.4</v>
      </c>
      <c r="C2259" s="1">
        <v>694</v>
      </c>
      <c r="D2259" s="1" t="s">
        <v>11</v>
      </c>
      <c r="E2259" s="1" t="s">
        <v>32</v>
      </c>
      <c r="F2259" s="1">
        <f t="shared" si="70"/>
        <v>640</v>
      </c>
      <c r="G2259" s="5">
        <f t="shared" si="71"/>
        <v>1.0843750000000001</v>
      </c>
    </row>
    <row r="2260" spans="1:7" ht="13">
      <c r="A2260" s="4" t="s">
        <v>119</v>
      </c>
      <c r="B2260" s="1">
        <v>7.74</v>
      </c>
      <c r="C2260" s="1">
        <v>725</v>
      </c>
      <c r="D2260" s="1" t="s">
        <v>33</v>
      </c>
      <c r="E2260" s="1" t="s">
        <v>15</v>
      </c>
      <c r="F2260" s="1">
        <f t="shared" si="70"/>
        <v>774</v>
      </c>
      <c r="G2260" s="5">
        <f t="shared" si="71"/>
        <v>0.93669250645994828</v>
      </c>
    </row>
    <row r="2261" spans="1:7" ht="13">
      <c r="A2261" s="4" t="s">
        <v>119</v>
      </c>
      <c r="B2261" s="1">
        <v>8.5</v>
      </c>
      <c r="C2261" s="1">
        <v>693</v>
      </c>
      <c r="D2261" s="1" t="s">
        <v>33</v>
      </c>
      <c r="E2261" s="1" t="s">
        <v>46</v>
      </c>
      <c r="F2261" s="1">
        <f t="shared" si="70"/>
        <v>850</v>
      </c>
      <c r="G2261" s="5">
        <f t="shared" si="71"/>
        <v>0.81529411764705884</v>
      </c>
    </row>
    <row r="2262" spans="1:7" ht="13">
      <c r="A2262" s="4" t="s">
        <v>119</v>
      </c>
      <c r="B2262" s="1">
        <v>7.1</v>
      </c>
      <c r="C2262" s="1">
        <v>722</v>
      </c>
      <c r="D2262" s="1" t="s">
        <v>104</v>
      </c>
      <c r="E2262" s="1" t="s">
        <v>26</v>
      </c>
      <c r="F2262" s="1">
        <f t="shared" si="70"/>
        <v>710</v>
      </c>
      <c r="G2262" s="5">
        <f t="shared" si="71"/>
        <v>1.0169014084507042</v>
      </c>
    </row>
    <row r="2263" spans="1:7" ht="13">
      <c r="A2263" s="4" t="s">
        <v>119</v>
      </c>
      <c r="B2263" s="1">
        <v>9.5</v>
      </c>
      <c r="C2263" s="1">
        <v>925</v>
      </c>
      <c r="D2263" s="1" t="s">
        <v>11</v>
      </c>
      <c r="E2263" s="1" t="s">
        <v>14</v>
      </c>
      <c r="F2263" s="1">
        <f t="shared" si="70"/>
        <v>950</v>
      </c>
      <c r="G2263" s="5">
        <f t="shared" si="71"/>
        <v>0.97368421052631582</v>
      </c>
    </row>
    <row r="2264" spans="1:7" ht="13">
      <c r="A2264" s="4" t="s">
        <v>119</v>
      </c>
      <c r="B2264" s="1">
        <v>7.74</v>
      </c>
      <c r="C2264" s="1">
        <v>724</v>
      </c>
      <c r="D2264" s="1" t="s">
        <v>77</v>
      </c>
      <c r="E2264" s="1" t="s">
        <v>8</v>
      </c>
      <c r="F2264" s="1">
        <f t="shared" si="70"/>
        <v>774</v>
      </c>
      <c r="G2264" s="5">
        <f t="shared" si="71"/>
        <v>0.93540051679586567</v>
      </c>
    </row>
    <row r="2265" spans="1:7" ht="13">
      <c r="A2265" s="4" t="s">
        <v>119</v>
      </c>
      <c r="B2265" s="1">
        <v>6.1</v>
      </c>
      <c r="C2265" s="1">
        <v>783</v>
      </c>
      <c r="D2265" s="1" t="s">
        <v>11</v>
      </c>
      <c r="E2265" s="1" t="s">
        <v>15</v>
      </c>
      <c r="F2265" s="1">
        <f t="shared" si="70"/>
        <v>610</v>
      </c>
      <c r="G2265" s="5">
        <f t="shared" si="71"/>
        <v>1.2836065573770492</v>
      </c>
    </row>
    <row r="2266" spans="1:7" ht="13">
      <c r="A2266" s="4" t="s">
        <v>119</v>
      </c>
      <c r="B2266" s="1">
        <v>7.2</v>
      </c>
      <c r="C2266" s="1">
        <v>689.57</v>
      </c>
      <c r="D2266" s="1" t="s">
        <v>33</v>
      </c>
      <c r="E2266" s="1" t="s">
        <v>25</v>
      </c>
      <c r="F2266" s="1">
        <f t="shared" si="70"/>
        <v>720</v>
      </c>
      <c r="G2266" s="5">
        <f t="shared" si="71"/>
        <v>0.95773611111111123</v>
      </c>
    </row>
    <row r="2267" spans="1:7" ht="13">
      <c r="A2267" s="4" t="s">
        <v>119</v>
      </c>
      <c r="B2267" s="1">
        <v>9.6</v>
      </c>
      <c r="C2267" s="1">
        <v>583</v>
      </c>
      <c r="D2267" s="1" t="s">
        <v>50</v>
      </c>
      <c r="E2267" s="1" t="s">
        <v>8</v>
      </c>
      <c r="F2267" s="1">
        <f t="shared" si="70"/>
        <v>960</v>
      </c>
      <c r="G2267" s="5">
        <f t="shared" si="71"/>
        <v>0.60729166666666667</v>
      </c>
    </row>
    <row r="2268" spans="1:7" ht="13">
      <c r="A2268" s="4" t="s">
        <v>119</v>
      </c>
      <c r="B2268" s="1">
        <v>6.96</v>
      </c>
      <c r="C2268" s="1">
        <v>735</v>
      </c>
      <c r="D2268" s="1" t="s">
        <v>11</v>
      </c>
      <c r="E2268" s="1" t="s">
        <v>31</v>
      </c>
      <c r="F2268" s="1">
        <f t="shared" si="70"/>
        <v>696</v>
      </c>
      <c r="G2268" s="5">
        <f t="shared" si="71"/>
        <v>1.0560344827586208</v>
      </c>
    </row>
    <row r="2269" spans="1:7" ht="13">
      <c r="A2269" s="4" t="s">
        <v>119</v>
      </c>
      <c r="B2269" s="1">
        <v>6.96</v>
      </c>
      <c r="C2269" s="1">
        <v>571</v>
      </c>
      <c r="D2269" s="1" t="s">
        <v>38</v>
      </c>
      <c r="E2269" s="1" t="s">
        <v>41</v>
      </c>
      <c r="F2269" s="1">
        <f t="shared" si="70"/>
        <v>696</v>
      </c>
      <c r="G2269" s="5">
        <f t="shared" si="71"/>
        <v>0.8204022988505747</v>
      </c>
    </row>
    <row r="2270" spans="1:7" ht="13">
      <c r="A2270" s="4" t="s">
        <v>119</v>
      </c>
      <c r="B2270" s="1">
        <v>4.9800000000000004</v>
      </c>
      <c r="C2270" s="1">
        <v>536</v>
      </c>
      <c r="D2270" s="1" t="s">
        <v>11</v>
      </c>
      <c r="E2270" s="1" t="s">
        <v>23</v>
      </c>
      <c r="F2270" s="1">
        <f t="shared" si="70"/>
        <v>498.00000000000006</v>
      </c>
      <c r="G2270" s="5">
        <f t="shared" si="71"/>
        <v>1.076305220883534</v>
      </c>
    </row>
    <row r="2271" spans="1:7" ht="13">
      <c r="A2271" s="4" t="s">
        <v>119</v>
      </c>
      <c r="B2271" s="1">
        <v>4.2</v>
      </c>
      <c r="C2271" s="1">
        <v>23.56</v>
      </c>
      <c r="D2271" s="1" t="s">
        <v>39</v>
      </c>
      <c r="E2271" s="1" t="s">
        <v>17</v>
      </c>
      <c r="F2271" s="1">
        <f t="shared" si="70"/>
        <v>420</v>
      </c>
      <c r="G2271" s="5">
        <f t="shared" si="71"/>
        <v>5.6095238095238094E-2</v>
      </c>
    </row>
    <row r="2272" spans="1:7" ht="13">
      <c r="A2272" s="4" t="s">
        <v>119</v>
      </c>
      <c r="B2272" s="1">
        <v>5.9</v>
      </c>
      <c r="C2272" s="1">
        <v>556</v>
      </c>
      <c r="D2272" s="1" t="s">
        <v>39</v>
      </c>
      <c r="E2272" s="1" t="s">
        <v>22</v>
      </c>
      <c r="F2272" s="1">
        <f t="shared" ref="F2272:F2335" si="72">B2272*100</f>
        <v>590</v>
      </c>
      <c r="G2272" s="5">
        <f t="shared" si="71"/>
        <v>0.94237288135593222</v>
      </c>
    </row>
    <row r="2273" spans="1:7" ht="13">
      <c r="A2273" s="4" t="s">
        <v>119</v>
      </c>
      <c r="B2273" s="1">
        <v>8</v>
      </c>
      <c r="C2273" s="1">
        <v>715</v>
      </c>
      <c r="D2273" s="1" t="s">
        <v>11</v>
      </c>
      <c r="E2273" s="1" t="s">
        <v>12</v>
      </c>
      <c r="F2273" s="1">
        <f t="shared" si="72"/>
        <v>800</v>
      </c>
      <c r="G2273" s="5">
        <f t="shared" si="71"/>
        <v>0.89375000000000004</v>
      </c>
    </row>
    <row r="2274" spans="1:7" ht="13">
      <c r="A2274" s="4" t="s">
        <v>119</v>
      </c>
      <c r="B2274" s="1">
        <v>9.6999999999999993</v>
      </c>
      <c r="C2274" s="1">
        <v>902</v>
      </c>
      <c r="D2274" s="1" t="s">
        <v>11</v>
      </c>
      <c r="E2274" s="1" t="s">
        <v>14</v>
      </c>
      <c r="F2274" s="1">
        <f t="shared" si="72"/>
        <v>969.99999999999989</v>
      </c>
      <c r="G2274" s="5">
        <f t="shared" si="71"/>
        <v>0.92989690721649498</v>
      </c>
    </row>
    <row r="2275" spans="1:7" ht="13">
      <c r="A2275" s="4" t="s">
        <v>119</v>
      </c>
      <c r="B2275" s="1">
        <v>8.6</v>
      </c>
      <c r="C2275" s="1">
        <v>860</v>
      </c>
      <c r="D2275" s="1" t="s">
        <v>11</v>
      </c>
      <c r="E2275" s="1" t="s">
        <v>68</v>
      </c>
      <c r="F2275" s="1">
        <f t="shared" si="72"/>
        <v>860</v>
      </c>
      <c r="G2275" s="5">
        <f t="shared" si="71"/>
        <v>1</v>
      </c>
    </row>
    <row r="2276" spans="1:7" ht="13">
      <c r="A2276" s="4" t="s">
        <v>119</v>
      </c>
      <c r="B2276" s="1">
        <v>5.5</v>
      </c>
      <c r="C2276" s="1">
        <v>637</v>
      </c>
      <c r="D2276" s="1" t="s">
        <v>35</v>
      </c>
      <c r="E2276" s="1" t="s">
        <v>8</v>
      </c>
      <c r="F2276" s="1">
        <f t="shared" si="72"/>
        <v>550</v>
      </c>
      <c r="G2276" s="5">
        <f t="shared" si="71"/>
        <v>1.1581818181818182</v>
      </c>
    </row>
    <row r="2277" spans="1:7" ht="13">
      <c r="A2277" s="4" t="s">
        <v>119</v>
      </c>
      <c r="B2277" s="1">
        <v>5.6</v>
      </c>
      <c r="C2277" s="1">
        <v>549</v>
      </c>
      <c r="D2277" s="1" t="s">
        <v>33</v>
      </c>
      <c r="E2277" s="1" t="s">
        <v>9</v>
      </c>
      <c r="F2277" s="1">
        <f t="shared" si="72"/>
        <v>560</v>
      </c>
      <c r="G2277" s="5">
        <f t="shared" si="71"/>
        <v>0.98035714285714282</v>
      </c>
    </row>
    <row r="2278" spans="1:7" ht="13">
      <c r="A2278" s="4" t="s">
        <v>119</v>
      </c>
      <c r="B2278" s="1">
        <v>5.6</v>
      </c>
      <c r="C2278" s="1">
        <v>482</v>
      </c>
      <c r="D2278" s="1" t="s">
        <v>43</v>
      </c>
      <c r="E2278" s="1" t="s">
        <v>62</v>
      </c>
      <c r="F2278" s="1">
        <f t="shared" si="72"/>
        <v>560</v>
      </c>
      <c r="G2278" s="5">
        <f t="shared" si="71"/>
        <v>0.86071428571428577</v>
      </c>
    </row>
    <row r="2279" spans="1:7" ht="13">
      <c r="A2279" s="4" t="s">
        <v>119</v>
      </c>
      <c r="B2279" s="1">
        <v>5.625</v>
      </c>
      <c r="C2279" s="1">
        <v>571</v>
      </c>
      <c r="D2279" s="1" t="s">
        <v>11</v>
      </c>
      <c r="E2279" s="1" t="s">
        <v>15</v>
      </c>
      <c r="F2279" s="1">
        <f t="shared" si="72"/>
        <v>562.5</v>
      </c>
      <c r="G2279" s="5">
        <f t="shared" si="71"/>
        <v>1.0151111111111111</v>
      </c>
    </row>
    <row r="2280" spans="1:7" ht="13">
      <c r="A2280" s="4" t="s">
        <v>119</v>
      </c>
      <c r="B2280" s="1">
        <v>9.57</v>
      </c>
      <c r="C2280" s="1">
        <v>815</v>
      </c>
      <c r="D2280" s="1" t="s">
        <v>35</v>
      </c>
      <c r="E2280" s="1" t="s">
        <v>18</v>
      </c>
      <c r="F2280" s="1">
        <f t="shared" si="72"/>
        <v>957</v>
      </c>
      <c r="G2280" s="5">
        <f t="shared" si="71"/>
        <v>0.85161964472309304</v>
      </c>
    </row>
    <row r="2281" spans="1:7" ht="13">
      <c r="A2281" s="4" t="s">
        <v>119</v>
      </c>
      <c r="B2281" s="1">
        <v>6.45</v>
      </c>
      <c r="C2281" s="1">
        <v>620</v>
      </c>
      <c r="D2281" s="1" t="s">
        <v>42</v>
      </c>
      <c r="E2281" s="1" t="s">
        <v>18</v>
      </c>
      <c r="F2281" s="1">
        <f t="shared" si="72"/>
        <v>645</v>
      </c>
      <c r="G2281" s="5">
        <f t="shared" si="71"/>
        <v>0.96124031007751942</v>
      </c>
    </row>
    <row r="2282" spans="1:7" ht="13">
      <c r="A2282" s="4" t="s">
        <v>119</v>
      </c>
      <c r="B2282" s="1">
        <v>6.96</v>
      </c>
      <c r="C2282" s="1">
        <v>729</v>
      </c>
      <c r="D2282" s="1" t="s">
        <v>33</v>
      </c>
      <c r="E2282" s="1" t="s">
        <v>8</v>
      </c>
      <c r="F2282" s="1">
        <f t="shared" si="72"/>
        <v>696</v>
      </c>
      <c r="G2282" s="5">
        <f t="shared" si="71"/>
        <v>1.0474137931034482</v>
      </c>
    </row>
    <row r="2283" spans="1:7" ht="13">
      <c r="A2283" s="4" t="s">
        <v>119</v>
      </c>
      <c r="B2283" s="1">
        <v>9.6</v>
      </c>
      <c r="C2283" s="1">
        <v>952</v>
      </c>
      <c r="D2283" s="1" t="s">
        <v>33</v>
      </c>
      <c r="E2283" s="1" t="s">
        <v>26</v>
      </c>
      <c r="F2283" s="1">
        <f t="shared" si="72"/>
        <v>960</v>
      </c>
      <c r="G2283" s="5">
        <f t="shared" si="71"/>
        <v>0.9916666666666667</v>
      </c>
    </row>
    <row r="2284" spans="1:7" ht="13">
      <c r="A2284" s="4" t="s">
        <v>119</v>
      </c>
      <c r="B2284" s="1">
        <v>7.83</v>
      </c>
      <c r="C2284" s="1">
        <v>804</v>
      </c>
      <c r="D2284" s="1" t="s">
        <v>38</v>
      </c>
      <c r="E2284" s="1" t="s">
        <v>8</v>
      </c>
      <c r="F2284" s="1">
        <f t="shared" si="72"/>
        <v>783</v>
      </c>
      <c r="G2284" s="5">
        <f t="shared" si="71"/>
        <v>1.0268199233716475</v>
      </c>
    </row>
    <row r="2285" spans="1:7" ht="13">
      <c r="A2285" s="4" t="s">
        <v>119</v>
      </c>
      <c r="B2285" s="1">
        <v>7.76</v>
      </c>
      <c r="C2285" s="1">
        <v>869</v>
      </c>
      <c r="D2285" s="1" t="s">
        <v>11</v>
      </c>
      <c r="E2285" s="1" t="s">
        <v>16</v>
      </c>
      <c r="F2285" s="1">
        <f t="shared" si="72"/>
        <v>776</v>
      </c>
      <c r="G2285" s="5">
        <f t="shared" si="71"/>
        <v>1.1198453608247423</v>
      </c>
    </row>
    <row r="2286" spans="1:7" ht="13">
      <c r="A2286" s="4" t="s">
        <v>119</v>
      </c>
      <c r="B2286" s="1">
        <v>5.81</v>
      </c>
      <c r="C2286" s="1">
        <v>625</v>
      </c>
      <c r="D2286" s="1" t="s">
        <v>38</v>
      </c>
      <c r="E2286" s="1" t="s">
        <v>8</v>
      </c>
      <c r="F2286" s="1">
        <f t="shared" si="72"/>
        <v>581</v>
      </c>
      <c r="G2286" s="5">
        <f t="shared" si="71"/>
        <v>1.0757314974182444</v>
      </c>
    </row>
    <row r="2287" spans="1:7" ht="13">
      <c r="A2287" s="4" t="s">
        <v>119</v>
      </c>
      <c r="B2287" s="1">
        <v>6</v>
      </c>
      <c r="C2287" s="1">
        <v>631</v>
      </c>
      <c r="D2287" s="1" t="s">
        <v>11</v>
      </c>
      <c r="E2287" s="1" t="s">
        <v>23</v>
      </c>
      <c r="F2287" s="1">
        <f t="shared" si="72"/>
        <v>600</v>
      </c>
      <c r="G2287" s="5">
        <f t="shared" si="71"/>
        <v>1.0516666666666667</v>
      </c>
    </row>
    <row r="2288" spans="1:7" ht="13">
      <c r="A2288" s="4" t="s">
        <v>119</v>
      </c>
      <c r="B2288" s="1">
        <v>6.8</v>
      </c>
      <c r="C2288" s="1">
        <v>828</v>
      </c>
      <c r="D2288" s="1" t="s">
        <v>11</v>
      </c>
      <c r="E2288" s="1" t="s">
        <v>10</v>
      </c>
      <c r="F2288" s="1">
        <f t="shared" si="72"/>
        <v>680</v>
      </c>
      <c r="G2288" s="5">
        <f t="shared" si="71"/>
        <v>1.2176470588235293</v>
      </c>
    </row>
    <row r="2289" spans="1:7" ht="13">
      <c r="A2289" s="4" t="s">
        <v>119</v>
      </c>
      <c r="B2289" s="1">
        <v>6.4</v>
      </c>
      <c r="C2289" s="1">
        <v>705</v>
      </c>
      <c r="D2289" s="1" t="s">
        <v>11</v>
      </c>
      <c r="E2289" s="1" t="s">
        <v>16</v>
      </c>
      <c r="F2289" s="1">
        <f t="shared" si="72"/>
        <v>640</v>
      </c>
      <c r="G2289" s="5">
        <f t="shared" si="71"/>
        <v>1.1015625</v>
      </c>
    </row>
    <row r="2290" spans="1:7" ht="13">
      <c r="A2290" s="4" t="s">
        <v>119</v>
      </c>
      <c r="B2290" s="1">
        <v>6.6</v>
      </c>
      <c r="C2290" s="1">
        <v>700</v>
      </c>
      <c r="D2290" s="1" t="s">
        <v>35</v>
      </c>
      <c r="E2290" s="1" t="s">
        <v>22</v>
      </c>
      <c r="F2290" s="1">
        <f t="shared" si="72"/>
        <v>660</v>
      </c>
      <c r="G2290" s="5">
        <f t="shared" si="71"/>
        <v>1.0606060606060606</v>
      </c>
    </row>
    <row r="2291" spans="1:7" ht="13">
      <c r="A2291" s="4" t="s">
        <v>119</v>
      </c>
      <c r="B2291" s="1">
        <v>8.1</v>
      </c>
      <c r="C2291" s="1">
        <v>444</v>
      </c>
      <c r="D2291" s="1" t="s">
        <v>33</v>
      </c>
      <c r="E2291" s="1" t="s">
        <v>68</v>
      </c>
      <c r="F2291" s="1">
        <f t="shared" si="72"/>
        <v>810</v>
      </c>
      <c r="G2291" s="5">
        <f t="shared" si="71"/>
        <v>0.54814814814814816</v>
      </c>
    </row>
    <row r="2292" spans="1:7" ht="13">
      <c r="A2292" s="4" t="s">
        <v>119</v>
      </c>
      <c r="B2292" s="1">
        <v>6.9</v>
      </c>
      <c r="C2292" s="1">
        <v>683</v>
      </c>
      <c r="D2292" s="1" t="s">
        <v>33</v>
      </c>
      <c r="E2292" s="1" t="s">
        <v>16</v>
      </c>
      <c r="F2292" s="1">
        <f t="shared" si="72"/>
        <v>690</v>
      </c>
      <c r="G2292" s="5">
        <f t="shared" si="71"/>
        <v>0.98985507246376814</v>
      </c>
    </row>
    <row r="2293" spans="1:7" ht="13">
      <c r="A2293" s="4" t="s">
        <v>119</v>
      </c>
      <c r="B2293" s="1">
        <v>6.1</v>
      </c>
      <c r="C2293" s="1">
        <v>620</v>
      </c>
      <c r="D2293" s="1" t="s">
        <v>53</v>
      </c>
      <c r="E2293" s="1" t="s">
        <v>8</v>
      </c>
      <c r="F2293" s="1">
        <f t="shared" si="72"/>
        <v>610</v>
      </c>
      <c r="G2293" s="5">
        <f t="shared" si="71"/>
        <v>1.0163934426229508</v>
      </c>
    </row>
    <row r="2294" spans="1:7" ht="13">
      <c r="A2294" s="4" t="s">
        <v>119</v>
      </c>
      <c r="B2294" s="1">
        <v>7.74</v>
      </c>
      <c r="C2294" s="1">
        <v>843.71</v>
      </c>
      <c r="D2294" s="1" t="s">
        <v>11</v>
      </c>
      <c r="E2294" s="1" t="s">
        <v>17</v>
      </c>
      <c r="F2294" s="1">
        <f t="shared" si="72"/>
        <v>774</v>
      </c>
      <c r="G2294" s="5">
        <f t="shared" si="71"/>
        <v>1.0900645994832041</v>
      </c>
    </row>
    <row r="2295" spans="1:7" ht="13">
      <c r="A2295" s="4" t="s">
        <v>119</v>
      </c>
      <c r="B2295" s="1">
        <v>4.8</v>
      </c>
      <c r="C2295" s="1">
        <v>469</v>
      </c>
      <c r="D2295" s="1" t="s">
        <v>11</v>
      </c>
      <c r="E2295" s="1" t="s">
        <v>24</v>
      </c>
      <c r="F2295" s="1">
        <f t="shared" si="72"/>
        <v>480</v>
      </c>
      <c r="G2295" s="5">
        <f t="shared" si="71"/>
        <v>0.9770833333333333</v>
      </c>
    </row>
    <row r="2296" spans="1:7" ht="13">
      <c r="A2296" s="4" t="s">
        <v>119</v>
      </c>
      <c r="B2296" s="1">
        <v>6.09</v>
      </c>
      <c r="C2296" s="1">
        <v>567.95000000000005</v>
      </c>
      <c r="D2296" s="1" t="s">
        <v>42</v>
      </c>
      <c r="E2296" s="1" t="s">
        <v>15</v>
      </c>
      <c r="F2296" s="1">
        <f t="shared" si="72"/>
        <v>609</v>
      </c>
      <c r="G2296" s="5">
        <f t="shared" si="71"/>
        <v>0.93259441707717572</v>
      </c>
    </row>
    <row r="2297" spans="1:7" ht="13">
      <c r="A2297" s="4" t="s">
        <v>119</v>
      </c>
      <c r="B2297" s="1">
        <v>5.16</v>
      </c>
      <c r="C2297" s="1">
        <v>508</v>
      </c>
      <c r="D2297" s="1" t="s">
        <v>106</v>
      </c>
      <c r="E2297" s="1" t="s">
        <v>16</v>
      </c>
      <c r="F2297" s="1">
        <f t="shared" si="72"/>
        <v>516</v>
      </c>
      <c r="G2297" s="5">
        <f t="shared" si="71"/>
        <v>0.98449612403100772</v>
      </c>
    </row>
    <row r="2298" spans="1:7" ht="13">
      <c r="A2298" s="4" t="s">
        <v>119</v>
      </c>
      <c r="B2298" s="1">
        <v>7.56</v>
      </c>
      <c r="C2298" s="1">
        <v>763</v>
      </c>
      <c r="D2298" s="1" t="s">
        <v>11</v>
      </c>
      <c r="E2298" s="1" t="s">
        <v>27</v>
      </c>
      <c r="F2298" s="1">
        <f t="shared" si="72"/>
        <v>756</v>
      </c>
      <c r="G2298" s="5">
        <f t="shared" si="71"/>
        <v>1.0092592592592593</v>
      </c>
    </row>
    <row r="2299" spans="1:7" ht="13">
      <c r="A2299" s="4" t="s">
        <v>119</v>
      </c>
      <c r="B2299" s="1">
        <v>5.5</v>
      </c>
      <c r="C2299" s="1">
        <v>717</v>
      </c>
      <c r="D2299" s="1" t="s">
        <v>11</v>
      </c>
      <c r="E2299" s="1" t="s">
        <v>8</v>
      </c>
      <c r="F2299" s="1">
        <f t="shared" si="72"/>
        <v>550</v>
      </c>
      <c r="G2299" s="5">
        <f t="shared" si="71"/>
        <v>1.3036363636363637</v>
      </c>
    </row>
    <row r="2300" spans="1:7" ht="13">
      <c r="A2300" s="4" t="s">
        <v>119</v>
      </c>
      <c r="B2300" s="1">
        <v>5.2</v>
      </c>
      <c r="C2300" s="1">
        <v>646</v>
      </c>
      <c r="D2300" s="1" t="s">
        <v>11</v>
      </c>
      <c r="E2300" s="1" t="s">
        <v>26</v>
      </c>
      <c r="F2300" s="1">
        <f t="shared" si="72"/>
        <v>520</v>
      </c>
      <c r="G2300" s="5">
        <f t="shared" si="71"/>
        <v>1.2423076923076923</v>
      </c>
    </row>
    <row r="2301" spans="1:7" ht="13">
      <c r="A2301" s="4" t="s">
        <v>119</v>
      </c>
      <c r="B2301" s="1">
        <v>3</v>
      </c>
      <c r="C2301" s="1">
        <v>415</v>
      </c>
      <c r="D2301" s="1" t="s">
        <v>43</v>
      </c>
      <c r="E2301" s="1" t="s">
        <v>18</v>
      </c>
      <c r="F2301" s="1">
        <f t="shared" si="72"/>
        <v>300</v>
      </c>
      <c r="G2301" s="5">
        <f t="shared" si="71"/>
        <v>1.3833333333333333</v>
      </c>
    </row>
    <row r="2302" spans="1:7" ht="13">
      <c r="A2302" s="4" t="s">
        <v>119</v>
      </c>
      <c r="B2302" s="1">
        <v>6.8849999999999998</v>
      </c>
      <c r="C2302" s="1">
        <v>680</v>
      </c>
      <c r="D2302" s="1" t="s">
        <v>44</v>
      </c>
      <c r="E2302" s="1" t="s">
        <v>22</v>
      </c>
      <c r="F2302" s="1">
        <f t="shared" si="72"/>
        <v>688.5</v>
      </c>
      <c r="G2302" s="5">
        <f t="shared" si="71"/>
        <v>0.98765432098765427</v>
      </c>
    </row>
    <row r="2303" spans="1:7" ht="13">
      <c r="A2303" s="4" t="s">
        <v>119</v>
      </c>
      <c r="B2303" s="1">
        <v>7.48</v>
      </c>
      <c r="C2303" s="1">
        <v>798</v>
      </c>
      <c r="D2303" s="1" t="s">
        <v>11</v>
      </c>
      <c r="E2303" s="1" t="s">
        <v>21</v>
      </c>
      <c r="F2303" s="1">
        <f t="shared" si="72"/>
        <v>748</v>
      </c>
      <c r="G2303" s="5">
        <f t="shared" si="71"/>
        <v>1.0668449197860963</v>
      </c>
    </row>
    <row r="2304" spans="1:7" ht="13">
      <c r="A2304" s="4" t="s">
        <v>119</v>
      </c>
      <c r="B2304" s="1">
        <v>8.5</v>
      </c>
      <c r="C2304" s="1">
        <v>861</v>
      </c>
      <c r="D2304" s="1" t="s">
        <v>39</v>
      </c>
      <c r="E2304" s="1" t="s">
        <v>20</v>
      </c>
      <c r="F2304" s="1">
        <f t="shared" si="72"/>
        <v>850</v>
      </c>
      <c r="G2304" s="5">
        <f t="shared" si="71"/>
        <v>1.0129411764705882</v>
      </c>
    </row>
    <row r="2305" spans="1:7" ht="13">
      <c r="A2305" s="4" t="s">
        <v>119</v>
      </c>
      <c r="B2305" s="1">
        <v>7.2</v>
      </c>
      <c r="C2305" s="1">
        <v>775</v>
      </c>
      <c r="D2305" s="1" t="s">
        <v>11</v>
      </c>
      <c r="E2305" s="1" t="s">
        <v>7</v>
      </c>
      <c r="F2305" s="1">
        <f t="shared" si="72"/>
        <v>720</v>
      </c>
      <c r="G2305" s="5">
        <f t="shared" si="71"/>
        <v>1.0763888888888888</v>
      </c>
    </row>
    <row r="2306" spans="1:7" ht="13">
      <c r="A2306" s="4" t="s">
        <v>119</v>
      </c>
      <c r="B2306" s="1">
        <v>6.88</v>
      </c>
      <c r="C2306" s="1">
        <v>673</v>
      </c>
      <c r="D2306" s="1" t="s">
        <v>38</v>
      </c>
      <c r="E2306" s="1" t="s">
        <v>7</v>
      </c>
      <c r="F2306" s="1">
        <f t="shared" si="72"/>
        <v>688</v>
      </c>
      <c r="G2306" s="5">
        <f t="shared" ref="G2306:G2369" si="73">C2306/F2306</f>
        <v>0.97819767441860461</v>
      </c>
    </row>
    <row r="2307" spans="1:7" ht="13">
      <c r="A2307" s="4" t="s">
        <v>119</v>
      </c>
      <c r="B2307" s="1">
        <v>7.8</v>
      </c>
      <c r="C2307" s="1">
        <v>910</v>
      </c>
      <c r="D2307" s="1" t="s">
        <v>11</v>
      </c>
      <c r="E2307" s="1" t="s">
        <v>9</v>
      </c>
      <c r="F2307" s="1">
        <f t="shared" si="72"/>
        <v>780</v>
      </c>
      <c r="G2307" s="5">
        <f t="shared" si="73"/>
        <v>1.1666666666666667</v>
      </c>
    </row>
    <row r="2308" spans="1:7" ht="13">
      <c r="A2308" s="4" t="s">
        <v>119</v>
      </c>
      <c r="B2308" s="1">
        <v>5</v>
      </c>
      <c r="C2308" s="1">
        <v>452</v>
      </c>
      <c r="D2308" s="1" t="s">
        <v>43</v>
      </c>
      <c r="E2308" s="1" t="s">
        <v>22</v>
      </c>
      <c r="F2308" s="1">
        <f t="shared" si="72"/>
        <v>500</v>
      </c>
      <c r="G2308" s="5">
        <f t="shared" si="73"/>
        <v>0.90400000000000003</v>
      </c>
    </row>
    <row r="2309" spans="1:7" ht="13">
      <c r="A2309" s="4" t="s">
        <v>119</v>
      </c>
      <c r="B2309" s="1">
        <v>7.7</v>
      </c>
      <c r="C2309" s="1">
        <v>788</v>
      </c>
      <c r="D2309" s="1" t="s">
        <v>11</v>
      </c>
      <c r="E2309" s="1" t="s">
        <v>49</v>
      </c>
      <c r="F2309" s="1">
        <f t="shared" si="72"/>
        <v>770</v>
      </c>
      <c r="G2309" s="5">
        <f t="shared" si="73"/>
        <v>1.0233766233766233</v>
      </c>
    </row>
    <row r="2310" spans="1:7" ht="13">
      <c r="A2310" s="4" t="s">
        <v>119</v>
      </c>
      <c r="B2310" s="1">
        <v>4.9000000000000004</v>
      </c>
      <c r="C2310" s="1">
        <v>433</v>
      </c>
      <c r="D2310" s="1" t="s">
        <v>35</v>
      </c>
      <c r="E2310" s="1" t="s">
        <v>25</v>
      </c>
      <c r="F2310" s="1">
        <f t="shared" si="72"/>
        <v>490.00000000000006</v>
      </c>
      <c r="G2310" s="5">
        <f t="shared" si="73"/>
        <v>0.88367346938775504</v>
      </c>
    </row>
    <row r="2311" spans="1:7" ht="13">
      <c r="A2311" s="4" t="s">
        <v>119</v>
      </c>
      <c r="B2311" s="1">
        <v>9.1</v>
      </c>
      <c r="C2311" s="1">
        <v>824</v>
      </c>
      <c r="D2311" s="1" t="s">
        <v>37</v>
      </c>
      <c r="E2311" s="1" t="s">
        <v>22</v>
      </c>
      <c r="F2311" s="1">
        <f t="shared" si="72"/>
        <v>910</v>
      </c>
      <c r="G2311" s="5">
        <f t="shared" si="73"/>
        <v>0.9054945054945055</v>
      </c>
    </row>
    <row r="2312" spans="1:7" ht="13">
      <c r="A2312" s="4" t="s">
        <v>119</v>
      </c>
      <c r="B2312" s="1">
        <v>5.2</v>
      </c>
      <c r="C2312" s="1">
        <v>535</v>
      </c>
      <c r="D2312" s="1" t="s">
        <v>39</v>
      </c>
      <c r="E2312" s="1" t="s">
        <v>10</v>
      </c>
      <c r="F2312" s="1">
        <f t="shared" si="72"/>
        <v>520</v>
      </c>
      <c r="G2312" s="5">
        <f t="shared" si="73"/>
        <v>1.0288461538461537</v>
      </c>
    </row>
    <row r="2313" spans="1:7" ht="13">
      <c r="A2313" s="4" t="s">
        <v>119</v>
      </c>
      <c r="B2313" s="1">
        <v>7.92</v>
      </c>
      <c r="C2313" s="1">
        <v>714</v>
      </c>
      <c r="D2313" s="1" t="s">
        <v>33</v>
      </c>
      <c r="E2313" s="1" t="s">
        <v>8</v>
      </c>
      <c r="F2313" s="1">
        <f t="shared" si="72"/>
        <v>792</v>
      </c>
      <c r="G2313" s="5">
        <f t="shared" si="73"/>
        <v>0.90151515151515149</v>
      </c>
    </row>
    <row r="2314" spans="1:7" ht="13">
      <c r="A2314" s="4" t="s">
        <v>119</v>
      </c>
      <c r="B2314" s="1">
        <v>9.3000000000000007</v>
      </c>
      <c r="C2314" s="1">
        <v>965</v>
      </c>
      <c r="D2314" s="1" t="s">
        <v>45</v>
      </c>
      <c r="E2314" s="1" t="s">
        <v>10</v>
      </c>
      <c r="F2314" s="1">
        <f t="shared" si="72"/>
        <v>930.00000000000011</v>
      </c>
      <c r="G2314" s="5">
        <f t="shared" si="73"/>
        <v>1.0376344086021505</v>
      </c>
    </row>
    <row r="2315" spans="1:7" ht="13">
      <c r="A2315" s="4" t="s">
        <v>119</v>
      </c>
      <c r="B2315" s="1">
        <v>6.88</v>
      </c>
      <c r="C2315" s="1">
        <v>731</v>
      </c>
      <c r="D2315" s="1" t="s">
        <v>33</v>
      </c>
      <c r="E2315" s="1" t="s">
        <v>10</v>
      </c>
      <c r="F2315" s="1">
        <f t="shared" si="72"/>
        <v>688</v>
      </c>
      <c r="G2315" s="5">
        <f t="shared" si="73"/>
        <v>1.0625</v>
      </c>
    </row>
    <row r="2316" spans="1:7" ht="13">
      <c r="A2316" s="4" t="s">
        <v>119</v>
      </c>
      <c r="B2316" s="1">
        <v>5.2</v>
      </c>
      <c r="C2316" s="1">
        <v>555</v>
      </c>
      <c r="D2316" s="1" t="s">
        <v>44</v>
      </c>
      <c r="E2316" s="1" t="s">
        <v>15</v>
      </c>
      <c r="F2316" s="1">
        <f t="shared" si="72"/>
        <v>520</v>
      </c>
      <c r="G2316" s="5">
        <f t="shared" si="73"/>
        <v>1.0673076923076923</v>
      </c>
    </row>
    <row r="2317" spans="1:7" ht="13">
      <c r="A2317" s="4" t="s">
        <v>119</v>
      </c>
      <c r="B2317" s="1">
        <v>3.4</v>
      </c>
      <c r="C2317" s="1">
        <v>360</v>
      </c>
      <c r="D2317" s="1" t="s">
        <v>11</v>
      </c>
      <c r="E2317" s="1" t="s">
        <v>19</v>
      </c>
      <c r="F2317" s="1">
        <f t="shared" si="72"/>
        <v>340</v>
      </c>
      <c r="G2317" s="5">
        <f t="shared" si="73"/>
        <v>1.0588235294117647</v>
      </c>
    </row>
    <row r="2318" spans="1:7" ht="13">
      <c r="A2318" s="4" t="s">
        <v>119</v>
      </c>
      <c r="B2318" s="1">
        <v>4.4000000000000004</v>
      </c>
      <c r="C2318" s="1">
        <v>515</v>
      </c>
      <c r="D2318" s="1" t="s">
        <v>11</v>
      </c>
      <c r="E2318" s="1" t="s">
        <v>15</v>
      </c>
      <c r="F2318" s="1">
        <f t="shared" si="72"/>
        <v>440.00000000000006</v>
      </c>
      <c r="G2318" s="5">
        <f t="shared" si="73"/>
        <v>1.1704545454545454</v>
      </c>
    </row>
    <row r="2319" spans="1:7" ht="13">
      <c r="A2319" s="4" t="s">
        <v>119</v>
      </c>
      <c r="B2319" s="1">
        <v>9.3000000000000007</v>
      </c>
      <c r="C2319" s="1">
        <v>893</v>
      </c>
      <c r="D2319" s="1" t="s">
        <v>11</v>
      </c>
      <c r="E2319" s="1" t="s">
        <v>20</v>
      </c>
      <c r="F2319" s="1">
        <f t="shared" si="72"/>
        <v>930.00000000000011</v>
      </c>
      <c r="G2319" s="5">
        <f t="shared" si="73"/>
        <v>0.96021505376344074</v>
      </c>
    </row>
    <row r="2320" spans="1:7" ht="13">
      <c r="A2320" s="4" t="s">
        <v>119</v>
      </c>
      <c r="B2320" s="1">
        <v>5.74</v>
      </c>
      <c r="C2320" s="1">
        <v>551</v>
      </c>
      <c r="D2320" s="1" t="s">
        <v>42</v>
      </c>
      <c r="E2320" s="1" t="s">
        <v>32</v>
      </c>
      <c r="F2320" s="1">
        <f t="shared" si="72"/>
        <v>574</v>
      </c>
      <c r="G2320" s="5">
        <f t="shared" si="73"/>
        <v>0.95993031358885017</v>
      </c>
    </row>
    <row r="2321" spans="1:7" ht="13">
      <c r="A2321" s="4" t="s">
        <v>119</v>
      </c>
      <c r="B2321" s="1">
        <v>843</v>
      </c>
      <c r="C2321" s="1">
        <v>811</v>
      </c>
      <c r="D2321" s="1" t="s">
        <v>33</v>
      </c>
      <c r="E2321" s="1" t="s">
        <v>26</v>
      </c>
      <c r="F2321" s="1">
        <f t="shared" si="72"/>
        <v>84300</v>
      </c>
      <c r="G2321" s="5">
        <f t="shared" si="73"/>
        <v>9.6204033214709363E-3</v>
      </c>
    </row>
    <row r="2322" spans="1:7" ht="13">
      <c r="A2322" s="4" t="s">
        <v>119</v>
      </c>
      <c r="B2322" s="1">
        <v>6</v>
      </c>
      <c r="C2322" s="1">
        <v>566</v>
      </c>
      <c r="D2322" s="1" t="s">
        <v>60</v>
      </c>
      <c r="E2322" s="1" t="s">
        <v>17</v>
      </c>
      <c r="F2322" s="1">
        <f t="shared" si="72"/>
        <v>600</v>
      </c>
      <c r="G2322" s="5">
        <f t="shared" si="73"/>
        <v>0.94333333333333336</v>
      </c>
    </row>
    <row r="2323" spans="1:7" ht="13">
      <c r="A2323" s="4" t="s">
        <v>119</v>
      </c>
      <c r="B2323" s="1">
        <v>5.22</v>
      </c>
      <c r="C2323" s="1">
        <v>444</v>
      </c>
      <c r="D2323" s="1" t="s">
        <v>70</v>
      </c>
      <c r="E2323" s="1" t="s">
        <v>22</v>
      </c>
      <c r="F2323" s="1">
        <f t="shared" si="72"/>
        <v>522</v>
      </c>
      <c r="G2323" s="5">
        <f t="shared" si="73"/>
        <v>0.85057471264367812</v>
      </c>
    </row>
    <row r="2324" spans="1:7" ht="13">
      <c r="A2324" s="4" t="s">
        <v>119</v>
      </c>
      <c r="B2324" s="1">
        <v>9</v>
      </c>
      <c r="C2324" s="1">
        <v>883</v>
      </c>
      <c r="D2324" s="1" t="s">
        <v>11</v>
      </c>
      <c r="E2324" s="1" t="s">
        <v>28</v>
      </c>
      <c r="F2324" s="1">
        <f t="shared" si="72"/>
        <v>900</v>
      </c>
      <c r="G2324" s="5">
        <f t="shared" si="73"/>
        <v>0.98111111111111116</v>
      </c>
    </row>
    <row r="2325" spans="1:7" ht="13">
      <c r="A2325" s="4" t="s">
        <v>119</v>
      </c>
      <c r="B2325" s="1">
        <v>7.2</v>
      </c>
      <c r="C2325" s="1">
        <v>679</v>
      </c>
      <c r="D2325" s="1" t="s">
        <v>47</v>
      </c>
      <c r="E2325" s="1" t="s">
        <v>17</v>
      </c>
      <c r="F2325" s="1">
        <f t="shared" si="72"/>
        <v>720</v>
      </c>
      <c r="G2325" s="5">
        <f t="shared" si="73"/>
        <v>0.94305555555555554</v>
      </c>
    </row>
    <row r="2326" spans="1:7" ht="13">
      <c r="A2326" s="4" t="s">
        <v>119</v>
      </c>
      <c r="B2326" s="1">
        <v>6.7</v>
      </c>
      <c r="C2326" s="1">
        <v>596</v>
      </c>
      <c r="D2326" s="1" t="s">
        <v>33</v>
      </c>
      <c r="E2326" s="1" t="s">
        <v>21</v>
      </c>
      <c r="F2326" s="1">
        <f t="shared" si="72"/>
        <v>670</v>
      </c>
      <c r="G2326" s="5">
        <f t="shared" si="73"/>
        <v>0.88955223880597012</v>
      </c>
    </row>
    <row r="2327" spans="1:7" ht="13">
      <c r="A2327" s="4" t="s">
        <v>119</v>
      </c>
      <c r="B2327" s="1">
        <v>6.8</v>
      </c>
      <c r="C2327" s="1">
        <v>724</v>
      </c>
      <c r="D2327" s="1" t="s">
        <v>43</v>
      </c>
      <c r="E2327" s="1" t="s">
        <v>22</v>
      </c>
      <c r="F2327" s="1">
        <f t="shared" si="72"/>
        <v>680</v>
      </c>
      <c r="G2327" s="5">
        <f t="shared" si="73"/>
        <v>1.0647058823529412</v>
      </c>
    </row>
    <row r="2328" spans="1:7" ht="13">
      <c r="A2328" s="4" t="s">
        <v>119</v>
      </c>
      <c r="B2328" s="1">
        <v>4.8</v>
      </c>
      <c r="C2328" s="1">
        <v>508.8</v>
      </c>
      <c r="D2328" s="1" t="s">
        <v>33</v>
      </c>
      <c r="E2328" s="1" t="s">
        <v>26</v>
      </c>
      <c r="F2328" s="1">
        <f t="shared" si="72"/>
        <v>480</v>
      </c>
      <c r="G2328" s="5">
        <f t="shared" si="73"/>
        <v>1.06</v>
      </c>
    </row>
    <row r="2329" spans="1:7" ht="13">
      <c r="A2329" s="4" t="s">
        <v>119</v>
      </c>
      <c r="B2329" s="1">
        <v>6.09</v>
      </c>
      <c r="C2329" s="1">
        <v>654</v>
      </c>
      <c r="D2329" s="1" t="s">
        <v>11</v>
      </c>
      <c r="E2329" s="1" t="s">
        <v>26</v>
      </c>
      <c r="F2329" s="1">
        <f t="shared" si="72"/>
        <v>609</v>
      </c>
      <c r="G2329" s="5">
        <f t="shared" si="73"/>
        <v>1.0738916256157636</v>
      </c>
    </row>
    <row r="2330" spans="1:7" ht="13">
      <c r="A2330" s="4" t="s">
        <v>119</v>
      </c>
      <c r="B2330" s="1">
        <v>6.4</v>
      </c>
      <c r="C2330" s="1">
        <v>625.6</v>
      </c>
      <c r="D2330" s="1" t="s">
        <v>33</v>
      </c>
      <c r="E2330" s="1" t="s">
        <v>15</v>
      </c>
      <c r="F2330" s="1">
        <f t="shared" si="72"/>
        <v>640</v>
      </c>
      <c r="G2330" s="5">
        <f t="shared" si="73"/>
        <v>0.97750000000000004</v>
      </c>
    </row>
    <row r="2331" spans="1:7" ht="13">
      <c r="A2331" s="4" t="s">
        <v>119</v>
      </c>
      <c r="B2331" s="1">
        <v>5.4</v>
      </c>
      <c r="C2331" s="1">
        <v>600</v>
      </c>
      <c r="D2331" s="1" t="s">
        <v>11</v>
      </c>
      <c r="E2331" s="1" t="s">
        <v>8</v>
      </c>
      <c r="F2331" s="1">
        <f t="shared" si="72"/>
        <v>540</v>
      </c>
      <c r="G2331" s="5">
        <f t="shared" si="73"/>
        <v>1.1111111111111112</v>
      </c>
    </row>
    <row r="2332" spans="1:7" ht="13">
      <c r="A2332" s="4" t="s">
        <v>119</v>
      </c>
      <c r="B2332" s="1">
        <v>3.8</v>
      </c>
      <c r="C2332" s="1">
        <v>304</v>
      </c>
      <c r="D2332" s="1" t="s">
        <v>42</v>
      </c>
      <c r="E2332" s="1" t="s">
        <v>10</v>
      </c>
      <c r="F2332" s="1">
        <f t="shared" si="72"/>
        <v>380</v>
      </c>
      <c r="G2332" s="5">
        <f t="shared" si="73"/>
        <v>0.8</v>
      </c>
    </row>
    <row r="2333" spans="1:7" ht="13">
      <c r="A2333" s="4" t="s">
        <v>119</v>
      </c>
      <c r="B2333" s="1">
        <v>6.4</v>
      </c>
      <c r="C2333" s="1">
        <v>760</v>
      </c>
      <c r="D2333" s="1" t="s">
        <v>11</v>
      </c>
      <c r="E2333" s="1" t="s">
        <v>26</v>
      </c>
      <c r="F2333" s="1">
        <f t="shared" si="72"/>
        <v>640</v>
      </c>
      <c r="G2333" s="5">
        <f t="shared" si="73"/>
        <v>1.1875</v>
      </c>
    </row>
    <row r="2334" spans="1:7" ht="13">
      <c r="A2334" s="4" t="s">
        <v>119</v>
      </c>
      <c r="B2334" s="1">
        <v>4</v>
      </c>
      <c r="C2334" s="1">
        <v>409</v>
      </c>
      <c r="D2334" s="1" t="s">
        <v>43</v>
      </c>
      <c r="E2334" s="1" t="s">
        <v>68</v>
      </c>
      <c r="F2334" s="1">
        <f t="shared" si="72"/>
        <v>400</v>
      </c>
      <c r="G2334" s="5">
        <f t="shared" si="73"/>
        <v>1.0225</v>
      </c>
    </row>
    <row r="2335" spans="1:7" ht="13">
      <c r="A2335" s="4" t="s">
        <v>119</v>
      </c>
      <c r="B2335" s="1">
        <v>4</v>
      </c>
      <c r="C2335" s="1">
        <v>392</v>
      </c>
      <c r="D2335" s="1" t="s">
        <v>11</v>
      </c>
      <c r="E2335" s="1" t="s">
        <v>28</v>
      </c>
      <c r="F2335" s="1">
        <f t="shared" si="72"/>
        <v>400</v>
      </c>
      <c r="G2335" s="5">
        <f t="shared" si="73"/>
        <v>0.98</v>
      </c>
    </row>
    <row r="2336" spans="1:7" ht="13">
      <c r="A2336" s="4" t="s">
        <v>119</v>
      </c>
      <c r="B2336" s="1">
        <v>3.85</v>
      </c>
      <c r="C2336" s="1">
        <v>464</v>
      </c>
      <c r="D2336" s="1" t="s">
        <v>55</v>
      </c>
      <c r="E2336" s="1" t="s">
        <v>15</v>
      </c>
      <c r="F2336" s="1">
        <f t="shared" ref="F2336:F2399" si="74">B2336*100</f>
        <v>385</v>
      </c>
      <c r="G2336" s="5">
        <f t="shared" si="73"/>
        <v>1.2051948051948052</v>
      </c>
    </row>
    <row r="2337" spans="1:7" ht="13">
      <c r="A2337" s="4" t="s">
        <v>119</v>
      </c>
      <c r="B2337" s="1">
        <v>7.3</v>
      </c>
      <c r="C2337" s="1">
        <v>748</v>
      </c>
      <c r="D2337" s="1" t="s">
        <v>47</v>
      </c>
      <c r="E2337" s="1" t="s">
        <v>28</v>
      </c>
      <c r="F2337" s="1">
        <f t="shared" si="74"/>
        <v>730</v>
      </c>
      <c r="G2337" s="5">
        <f t="shared" si="73"/>
        <v>1.0246575342465754</v>
      </c>
    </row>
    <row r="2338" spans="1:7" ht="13">
      <c r="A2338" s="4" t="s">
        <v>119</v>
      </c>
      <c r="B2338" s="1">
        <v>6.02</v>
      </c>
      <c r="C2338" s="1">
        <v>605</v>
      </c>
      <c r="D2338" s="1" t="s">
        <v>58</v>
      </c>
      <c r="E2338" s="1" t="s">
        <v>9</v>
      </c>
      <c r="F2338" s="1">
        <f t="shared" si="74"/>
        <v>602</v>
      </c>
      <c r="G2338" s="5">
        <f t="shared" si="73"/>
        <v>1.0049833887043189</v>
      </c>
    </row>
    <row r="2339" spans="1:7" ht="13">
      <c r="A2339" s="4" t="s">
        <v>119</v>
      </c>
      <c r="B2339" s="1">
        <v>6.88</v>
      </c>
      <c r="C2339" s="1">
        <v>580</v>
      </c>
      <c r="D2339" s="1" t="s">
        <v>64</v>
      </c>
      <c r="E2339" s="1" t="s">
        <v>32</v>
      </c>
      <c r="F2339" s="1">
        <f t="shared" si="74"/>
        <v>688</v>
      </c>
      <c r="G2339" s="5">
        <f t="shared" si="73"/>
        <v>0.84302325581395354</v>
      </c>
    </row>
    <row r="2340" spans="1:7" ht="13">
      <c r="A2340" s="4" t="s">
        <v>119</v>
      </c>
      <c r="B2340" s="1">
        <v>2.87</v>
      </c>
      <c r="C2340" s="1">
        <v>349</v>
      </c>
      <c r="D2340" s="1" t="s">
        <v>11</v>
      </c>
      <c r="E2340" s="1" t="s">
        <v>8</v>
      </c>
      <c r="F2340" s="1">
        <f t="shared" si="74"/>
        <v>287</v>
      </c>
      <c r="G2340" s="5">
        <f t="shared" si="73"/>
        <v>1.2160278745644599</v>
      </c>
    </row>
    <row r="2341" spans="1:7" ht="13">
      <c r="A2341" s="4" t="s">
        <v>119</v>
      </c>
      <c r="B2341" s="1">
        <v>7.7</v>
      </c>
      <c r="C2341" s="1">
        <v>769</v>
      </c>
      <c r="D2341" s="1" t="s">
        <v>88</v>
      </c>
      <c r="E2341" s="1" t="s">
        <v>9</v>
      </c>
      <c r="F2341" s="1">
        <f t="shared" si="74"/>
        <v>770</v>
      </c>
      <c r="G2341" s="5">
        <f t="shared" si="73"/>
        <v>0.99870129870129876</v>
      </c>
    </row>
    <row r="2342" spans="1:7" ht="13">
      <c r="A2342" s="4" t="s">
        <v>119</v>
      </c>
      <c r="B2342" s="1">
        <v>5.52</v>
      </c>
      <c r="C2342" s="1">
        <v>602</v>
      </c>
      <c r="D2342" s="1" t="s">
        <v>11</v>
      </c>
      <c r="E2342" s="1" t="s">
        <v>26</v>
      </c>
      <c r="F2342" s="1">
        <f t="shared" si="74"/>
        <v>552</v>
      </c>
      <c r="G2342" s="5">
        <f t="shared" si="73"/>
        <v>1.0905797101449275</v>
      </c>
    </row>
    <row r="2343" spans="1:7" ht="13">
      <c r="A2343" s="4" t="s">
        <v>119</v>
      </c>
      <c r="B2343" s="1">
        <v>6</v>
      </c>
      <c r="C2343" s="1">
        <v>554</v>
      </c>
      <c r="D2343" s="1" t="s">
        <v>11</v>
      </c>
      <c r="E2343" s="1" t="s">
        <v>14</v>
      </c>
      <c r="F2343" s="1">
        <f t="shared" si="74"/>
        <v>600</v>
      </c>
      <c r="G2343" s="5">
        <f t="shared" si="73"/>
        <v>0.92333333333333334</v>
      </c>
    </row>
    <row r="2344" spans="1:7" ht="13">
      <c r="A2344" s="4" t="s">
        <v>119</v>
      </c>
      <c r="B2344" s="1">
        <v>5.88</v>
      </c>
      <c r="C2344" s="1">
        <v>596</v>
      </c>
      <c r="D2344" s="1" t="s">
        <v>38</v>
      </c>
      <c r="E2344" s="1" t="s">
        <v>22</v>
      </c>
      <c r="F2344" s="1">
        <f t="shared" si="74"/>
        <v>588</v>
      </c>
      <c r="G2344" s="5">
        <f t="shared" si="73"/>
        <v>1.0136054421768708</v>
      </c>
    </row>
    <row r="2345" spans="1:7" ht="13">
      <c r="A2345" s="4" t="s">
        <v>119</v>
      </c>
      <c r="B2345" s="1">
        <v>7.29</v>
      </c>
      <c r="C2345" s="1">
        <v>709</v>
      </c>
      <c r="D2345" s="1" t="s">
        <v>11</v>
      </c>
      <c r="E2345" s="1" t="s">
        <v>27</v>
      </c>
      <c r="F2345" s="1">
        <f t="shared" si="74"/>
        <v>729</v>
      </c>
      <c r="G2345" s="5">
        <f t="shared" si="73"/>
        <v>0.97256515775034291</v>
      </c>
    </row>
    <row r="2346" spans="1:7" ht="13">
      <c r="A2346" s="4" t="s">
        <v>119</v>
      </c>
      <c r="B2346" s="1">
        <v>7.29</v>
      </c>
      <c r="C2346" s="1">
        <v>801</v>
      </c>
      <c r="D2346" s="1" t="s">
        <v>11</v>
      </c>
      <c r="E2346" s="1" t="s">
        <v>7</v>
      </c>
      <c r="F2346" s="1">
        <f t="shared" si="74"/>
        <v>729</v>
      </c>
      <c r="G2346" s="5">
        <f t="shared" si="73"/>
        <v>1.0987654320987654</v>
      </c>
    </row>
    <row r="2347" spans="1:7" ht="13">
      <c r="A2347" s="4" t="s">
        <v>119</v>
      </c>
      <c r="B2347" s="1">
        <v>6.8</v>
      </c>
      <c r="C2347" s="1">
        <v>640</v>
      </c>
      <c r="D2347" s="1" t="s">
        <v>11</v>
      </c>
      <c r="E2347" s="1" t="s">
        <v>8</v>
      </c>
      <c r="F2347" s="1">
        <f t="shared" si="74"/>
        <v>680</v>
      </c>
      <c r="G2347" s="5">
        <f t="shared" si="73"/>
        <v>0.94117647058823528</v>
      </c>
    </row>
    <row r="2348" spans="1:7" ht="13">
      <c r="A2348" s="4" t="s">
        <v>119</v>
      </c>
      <c r="B2348" s="1">
        <v>6</v>
      </c>
      <c r="C2348" s="1">
        <v>582</v>
      </c>
      <c r="D2348" s="1" t="s">
        <v>33</v>
      </c>
      <c r="E2348" s="1" t="s">
        <v>15</v>
      </c>
      <c r="F2348" s="1">
        <f t="shared" si="74"/>
        <v>600</v>
      </c>
      <c r="G2348" s="5">
        <f t="shared" si="73"/>
        <v>0.97</v>
      </c>
    </row>
    <row r="2349" spans="1:7" ht="13">
      <c r="A2349" s="4" t="s">
        <v>119</v>
      </c>
      <c r="B2349" s="1">
        <v>7.5</v>
      </c>
      <c r="C2349" s="1">
        <v>717</v>
      </c>
      <c r="D2349" s="1" t="s">
        <v>35</v>
      </c>
      <c r="E2349" s="1" t="s">
        <v>8</v>
      </c>
      <c r="F2349" s="1">
        <f t="shared" si="74"/>
        <v>750</v>
      </c>
      <c r="G2349" s="5">
        <f t="shared" si="73"/>
        <v>0.95599999999999996</v>
      </c>
    </row>
    <row r="2350" spans="1:7" ht="13">
      <c r="A2350" s="4" t="s">
        <v>119</v>
      </c>
      <c r="B2350" s="1">
        <v>6.88</v>
      </c>
      <c r="C2350" s="1">
        <v>662</v>
      </c>
      <c r="D2350" s="1" t="s">
        <v>53</v>
      </c>
      <c r="E2350" s="1" t="s">
        <v>16</v>
      </c>
      <c r="F2350" s="1">
        <f t="shared" si="74"/>
        <v>688</v>
      </c>
      <c r="G2350" s="5">
        <f t="shared" si="73"/>
        <v>0.96220930232558144</v>
      </c>
    </row>
    <row r="2351" spans="1:7" ht="13">
      <c r="A2351" s="4" t="s">
        <v>119</v>
      </c>
      <c r="B2351" s="1">
        <v>6.2</v>
      </c>
      <c r="C2351" s="1">
        <v>704</v>
      </c>
      <c r="D2351" s="1" t="s">
        <v>39</v>
      </c>
      <c r="E2351" s="1" t="s">
        <v>26</v>
      </c>
      <c r="F2351" s="1">
        <f t="shared" si="74"/>
        <v>620</v>
      </c>
      <c r="G2351" s="5">
        <f t="shared" si="73"/>
        <v>1.1354838709677419</v>
      </c>
    </row>
    <row r="2352" spans="1:7" ht="13">
      <c r="A2352" s="4" t="s">
        <v>119</v>
      </c>
      <c r="B2352" s="1">
        <v>5.16</v>
      </c>
      <c r="C2352" s="1">
        <v>514</v>
      </c>
      <c r="D2352" s="1" t="s">
        <v>42</v>
      </c>
      <c r="E2352" s="1" t="s">
        <v>22</v>
      </c>
      <c r="F2352" s="1">
        <f t="shared" si="74"/>
        <v>516</v>
      </c>
      <c r="G2352" s="5">
        <f t="shared" si="73"/>
        <v>0.99612403100775193</v>
      </c>
    </row>
    <row r="2353" spans="1:7" ht="13">
      <c r="A2353" s="4" t="s">
        <v>119</v>
      </c>
      <c r="B2353" s="1">
        <v>7.83</v>
      </c>
      <c r="C2353" s="1">
        <v>749</v>
      </c>
      <c r="D2353" s="1" t="s">
        <v>11</v>
      </c>
      <c r="E2353" s="1" t="s">
        <v>32</v>
      </c>
      <c r="F2353" s="1">
        <f t="shared" si="74"/>
        <v>783</v>
      </c>
      <c r="G2353" s="5">
        <f t="shared" si="73"/>
        <v>0.95657726692209455</v>
      </c>
    </row>
    <row r="2354" spans="1:7" ht="13">
      <c r="A2354" s="4" t="s">
        <v>119</v>
      </c>
      <c r="B2354" s="1">
        <v>7</v>
      </c>
      <c r="C2354" s="1">
        <v>765</v>
      </c>
      <c r="D2354" s="1" t="s">
        <v>36</v>
      </c>
      <c r="E2354" s="1" t="s">
        <v>15</v>
      </c>
      <c r="F2354" s="1">
        <f t="shared" si="74"/>
        <v>700</v>
      </c>
      <c r="G2354" s="5">
        <f t="shared" si="73"/>
        <v>1.0928571428571427</v>
      </c>
    </row>
    <row r="2355" spans="1:7" ht="13">
      <c r="A2355" s="4" t="s">
        <v>119</v>
      </c>
      <c r="B2355" s="1">
        <v>4</v>
      </c>
      <c r="C2355" s="1">
        <v>431</v>
      </c>
      <c r="D2355" s="1" t="s">
        <v>35</v>
      </c>
      <c r="E2355" s="1" t="s">
        <v>21</v>
      </c>
      <c r="F2355" s="1">
        <f t="shared" si="74"/>
        <v>400</v>
      </c>
      <c r="G2355" s="5">
        <f t="shared" si="73"/>
        <v>1.0774999999999999</v>
      </c>
    </row>
    <row r="2356" spans="1:7" ht="13">
      <c r="A2356" s="4" t="s">
        <v>119</v>
      </c>
      <c r="B2356" s="1">
        <v>7.3949999999999996</v>
      </c>
      <c r="C2356" s="1">
        <v>716</v>
      </c>
      <c r="D2356" s="1" t="s">
        <v>42</v>
      </c>
      <c r="E2356" s="1" t="s">
        <v>25</v>
      </c>
      <c r="F2356" s="1">
        <f t="shared" si="74"/>
        <v>739.5</v>
      </c>
      <c r="G2356" s="5">
        <f t="shared" si="73"/>
        <v>0.96822177146720756</v>
      </c>
    </row>
    <row r="2357" spans="1:7" ht="13">
      <c r="A2357" s="4" t="s">
        <v>119</v>
      </c>
      <c r="B2357" s="1">
        <v>7.7</v>
      </c>
      <c r="C2357" s="1">
        <v>768</v>
      </c>
      <c r="D2357" s="1" t="s">
        <v>33</v>
      </c>
      <c r="E2357" s="1" t="s">
        <v>16</v>
      </c>
      <c r="F2357" s="1">
        <f t="shared" si="74"/>
        <v>770</v>
      </c>
      <c r="G2357" s="5">
        <f t="shared" si="73"/>
        <v>0.9974025974025974</v>
      </c>
    </row>
    <row r="2358" spans="1:7" ht="13">
      <c r="A2358" s="4" t="s">
        <v>119</v>
      </c>
      <c r="B2358" s="1">
        <v>6</v>
      </c>
      <c r="C2358" s="1">
        <v>660</v>
      </c>
      <c r="D2358" s="1" t="s">
        <v>44</v>
      </c>
      <c r="E2358" s="1" t="s">
        <v>8</v>
      </c>
      <c r="F2358" s="1">
        <f t="shared" si="74"/>
        <v>600</v>
      </c>
      <c r="G2358" s="5">
        <f t="shared" si="73"/>
        <v>1.1000000000000001</v>
      </c>
    </row>
    <row r="2359" spans="1:7" ht="13">
      <c r="A2359" s="4" t="s">
        <v>119</v>
      </c>
      <c r="B2359" s="1">
        <v>3.44</v>
      </c>
      <c r="C2359" s="1">
        <v>384</v>
      </c>
      <c r="D2359" s="1" t="s">
        <v>39</v>
      </c>
      <c r="E2359" s="1" t="s">
        <v>15</v>
      </c>
      <c r="F2359" s="1">
        <f t="shared" si="74"/>
        <v>344</v>
      </c>
      <c r="G2359" s="5">
        <f t="shared" si="73"/>
        <v>1.1162790697674418</v>
      </c>
    </row>
    <row r="2360" spans="1:7" ht="13">
      <c r="A2360" s="4" t="s">
        <v>119</v>
      </c>
      <c r="B2360" s="1">
        <v>5.39</v>
      </c>
      <c r="C2360" s="1">
        <v>659</v>
      </c>
      <c r="D2360" s="1" t="s">
        <v>11</v>
      </c>
      <c r="E2360" s="1" t="s">
        <v>26</v>
      </c>
      <c r="F2360" s="1">
        <f t="shared" si="74"/>
        <v>539</v>
      </c>
      <c r="G2360" s="5">
        <f t="shared" si="73"/>
        <v>1.2226345083487942</v>
      </c>
    </row>
    <row r="2361" spans="1:7" ht="13">
      <c r="A2361" s="4" t="s">
        <v>119</v>
      </c>
      <c r="B2361" s="1">
        <v>6.09</v>
      </c>
      <c r="C2361" s="1">
        <v>593</v>
      </c>
      <c r="D2361" s="1" t="s">
        <v>11</v>
      </c>
      <c r="E2361" s="1" t="s">
        <v>18</v>
      </c>
      <c r="F2361" s="1">
        <f t="shared" si="74"/>
        <v>609</v>
      </c>
      <c r="G2361" s="5">
        <f t="shared" si="73"/>
        <v>0.9737274220032841</v>
      </c>
    </row>
    <row r="2362" spans="1:7" ht="13">
      <c r="A2362" s="4" t="s">
        <v>119</v>
      </c>
      <c r="B2362" s="1">
        <v>6.3</v>
      </c>
      <c r="C2362" s="1">
        <v>574</v>
      </c>
      <c r="D2362" s="1" t="s">
        <v>43</v>
      </c>
      <c r="E2362" s="1" t="s">
        <v>29</v>
      </c>
      <c r="F2362" s="1">
        <f t="shared" si="74"/>
        <v>630</v>
      </c>
      <c r="G2362" s="5">
        <f t="shared" si="73"/>
        <v>0.91111111111111109</v>
      </c>
    </row>
    <row r="2363" spans="1:7" ht="13">
      <c r="A2363" s="4" t="s">
        <v>119</v>
      </c>
      <c r="B2363" s="1">
        <v>7.4</v>
      </c>
      <c r="C2363" s="1">
        <v>643</v>
      </c>
      <c r="D2363" s="1" t="s">
        <v>11</v>
      </c>
      <c r="E2363" s="1" t="s">
        <v>17</v>
      </c>
      <c r="F2363" s="1">
        <f t="shared" si="74"/>
        <v>740</v>
      </c>
      <c r="G2363" s="5">
        <f t="shared" si="73"/>
        <v>0.86891891891891893</v>
      </c>
    </row>
    <row r="2364" spans="1:7" ht="13">
      <c r="A2364" s="4" t="s">
        <v>119</v>
      </c>
      <c r="B2364" s="1">
        <v>5.0999999999999996</v>
      </c>
      <c r="C2364" s="1">
        <v>492</v>
      </c>
      <c r="D2364" s="1" t="s">
        <v>33</v>
      </c>
      <c r="E2364" s="1" t="s">
        <v>15</v>
      </c>
      <c r="F2364" s="1">
        <f t="shared" si="74"/>
        <v>509.99999999999994</v>
      </c>
      <c r="G2364" s="5">
        <f t="shared" si="73"/>
        <v>0.9647058823529413</v>
      </c>
    </row>
    <row r="2365" spans="1:7" ht="13">
      <c r="A2365" s="4" t="s">
        <v>119</v>
      </c>
      <c r="B2365" s="1">
        <v>6.96</v>
      </c>
      <c r="C2365" s="1">
        <v>690</v>
      </c>
      <c r="D2365" s="1" t="s">
        <v>45</v>
      </c>
      <c r="E2365" s="1" t="s">
        <v>24</v>
      </c>
      <c r="F2365" s="1">
        <f t="shared" si="74"/>
        <v>696</v>
      </c>
      <c r="G2365" s="5">
        <f t="shared" si="73"/>
        <v>0.99137931034482762</v>
      </c>
    </row>
    <row r="2366" spans="1:7" ht="13">
      <c r="A2366" s="4" t="s">
        <v>119</v>
      </c>
      <c r="B2366" s="1">
        <v>8.6</v>
      </c>
      <c r="C2366" s="1">
        <v>835</v>
      </c>
      <c r="D2366" s="1" t="s">
        <v>33</v>
      </c>
      <c r="E2366" s="1" t="s">
        <v>8</v>
      </c>
      <c r="F2366" s="1">
        <f t="shared" si="74"/>
        <v>860</v>
      </c>
      <c r="G2366" s="5">
        <f t="shared" si="73"/>
        <v>0.97093023255813948</v>
      </c>
    </row>
    <row r="2367" spans="1:7" ht="13">
      <c r="A2367" s="4" t="s">
        <v>119</v>
      </c>
      <c r="B2367" s="1">
        <v>6.8</v>
      </c>
      <c r="C2367" s="1">
        <v>705</v>
      </c>
      <c r="D2367" s="1" t="s">
        <v>38</v>
      </c>
      <c r="E2367" s="1" t="s">
        <v>41</v>
      </c>
      <c r="F2367" s="1">
        <f t="shared" si="74"/>
        <v>680</v>
      </c>
      <c r="G2367" s="5">
        <f t="shared" si="73"/>
        <v>1.036764705882353</v>
      </c>
    </row>
    <row r="2368" spans="1:7" ht="13">
      <c r="A2368" s="4" t="s">
        <v>119</v>
      </c>
      <c r="B2368" s="1">
        <v>6.88</v>
      </c>
      <c r="C2368" s="1">
        <v>713</v>
      </c>
      <c r="D2368" s="1" t="s">
        <v>11</v>
      </c>
      <c r="E2368" s="1" t="s">
        <v>8</v>
      </c>
      <c r="F2368" s="1">
        <f t="shared" si="74"/>
        <v>688</v>
      </c>
      <c r="G2368" s="5">
        <f t="shared" si="73"/>
        <v>1.0363372093023255</v>
      </c>
    </row>
    <row r="2369" spans="1:7" ht="13">
      <c r="A2369" s="4" t="s">
        <v>119</v>
      </c>
      <c r="B2369" s="1">
        <v>6</v>
      </c>
      <c r="C2369" s="1">
        <v>587</v>
      </c>
      <c r="D2369" s="1" t="s">
        <v>55</v>
      </c>
      <c r="E2369" s="1" t="s">
        <v>15</v>
      </c>
      <c r="F2369" s="1">
        <f t="shared" si="74"/>
        <v>600</v>
      </c>
      <c r="G2369" s="5">
        <f t="shared" si="73"/>
        <v>0.97833333333333339</v>
      </c>
    </row>
    <row r="2370" spans="1:7" ht="13">
      <c r="A2370" s="4" t="s">
        <v>119</v>
      </c>
      <c r="B2370" s="1">
        <v>8.6</v>
      </c>
      <c r="C2370" s="1">
        <v>911</v>
      </c>
      <c r="D2370" s="1" t="s">
        <v>11</v>
      </c>
      <c r="E2370" s="1" t="s">
        <v>9</v>
      </c>
      <c r="F2370" s="1">
        <f t="shared" si="74"/>
        <v>860</v>
      </c>
      <c r="G2370" s="5">
        <f t="shared" ref="G2370:G2433" si="75">C2370/F2370</f>
        <v>1.0593023255813954</v>
      </c>
    </row>
    <row r="2371" spans="1:7" ht="13">
      <c r="A2371" s="4" t="s">
        <v>119</v>
      </c>
      <c r="B2371" s="1">
        <v>7.65</v>
      </c>
      <c r="C2371" s="1">
        <v>570</v>
      </c>
      <c r="D2371" s="1" t="s">
        <v>33</v>
      </c>
      <c r="E2371" s="1" t="s">
        <v>19</v>
      </c>
      <c r="F2371" s="1">
        <f t="shared" si="74"/>
        <v>765</v>
      </c>
      <c r="G2371" s="5">
        <f t="shared" si="75"/>
        <v>0.74509803921568629</v>
      </c>
    </row>
    <row r="2372" spans="1:7" ht="13">
      <c r="A2372" s="4" t="s">
        <v>119</v>
      </c>
      <c r="B2372" s="1">
        <v>6.8</v>
      </c>
      <c r="C2372" s="1">
        <v>712</v>
      </c>
      <c r="D2372" s="1" t="s">
        <v>44</v>
      </c>
      <c r="E2372" s="1" t="s">
        <v>26</v>
      </c>
      <c r="F2372" s="1">
        <f t="shared" si="74"/>
        <v>680</v>
      </c>
      <c r="G2372" s="5">
        <f t="shared" si="75"/>
        <v>1.0470588235294118</v>
      </c>
    </row>
    <row r="2373" spans="1:7" ht="13">
      <c r="A2373" s="4" t="s">
        <v>119</v>
      </c>
      <c r="B2373" s="1">
        <v>7.56</v>
      </c>
      <c r="C2373" s="1">
        <v>737</v>
      </c>
      <c r="D2373" s="1" t="s">
        <v>11</v>
      </c>
      <c r="E2373" s="1" t="s">
        <v>25</v>
      </c>
      <c r="F2373" s="1">
        <f t="shared" si="74"/>
        <v>756</v>
      </c>
      <c r="G2373" s="5">
        <f t="shared" si="75"/>
        <v>0.97486772486772488</v>
      </c>
    </row>
    <row r="2374" spans="1:7" ht="13">
      <c r="A2374" s="4" t="s">
        <v>119</v>
      </c>
      <c r="B2374" s="1">
        <v>5.6</v>
      </c>
      <c r="C2374" s="1">
        <v>617</v>
      </c>
      <c r="D2374" s="1" t="s">
        <v>54</v>
      </c>
      <c r="E2374" s="1" t="s">
        <v>22</v>
      </c>
      <c r="F2374" s="1">
        <f t="shared" si="74"/>
        <v>560</v>
      </c>
      <c r="G2374" s="5">
        <f t="shared" si="75"/>
        <v>1.1017857142857144</v>
      </c>
    </row>
    <row r="2375" spans="1:7" ht="13">
      <c r="A2375" s="4" t="s">
        <v>119</v>
      </c>
      <c r="B2375" s="1">
        <v>6.4</v>
      </c>
      <c r="C2375" s="1">
        <v>775.31</v>
      </c>
      <c r="D2375" s="1" t="s">
        <v>11</v>
      </c>
      <c r="E2375" s="1" t="s">
        <v>16</v>
      </c>
      <c r="F2375" s="1">
        <f t="shared" si="74"/>
        <v>640</v>
      </c>
      <c r="G2375" s="5">
        <f t="shared" si="75"/>
        <v>1.2114218749999999</v>
      </c>
    </row>
    <row r="2376" spans="1:7" ht="13">
      <c r="A2376" s="4" t="s">
        <v>119</v>
      </c>
      <c r="B2376" s="1">
        <v>5.81</v>
      </c>
      <c r="C2376" s="1">
        <v>638</v>
      </c>
      <c r="D2376" s="1" t="s">
        <v>38</v>
      </c>
      <c r="E2376" s="1" t="s">
        <v>8</v>
      </c>
      <c r="F2376" s="1">
        <f t="shared" si="74"/>
        <v>581</v>
      </c>
      <c r="G2376" s="5">
        <f t="shared" si="75"/>
        <v>1.0981067125645438</v>
      </c>
    </row>
    <row r="2377" spans="1:7" ht="13">
      <c r="A2377" s="4" t="s">
        <v>119</v>
      </c>
      <c r="B2377" s="1">
        <v>4.3</v>
      </c>
      <c r="C2377" s="1">
        <v>355</v>
      </c>
      <c r="D2377" s="1" t="s">
        <v>33</v>
      </c>
      <c r="E2377" s="1" t="s">
        <v>19</v>
      </c>
      <c r="F2377" s="1">
        <f t="shared" si="74"/>
        <v>430</v>
      </c>
      <c r="G2377" s="5">
        <f t="shared" si="75"/>
        <v>0.82558139534883723</v>
      </c>
    </row>
    <row r="2378" spans="1:7" ht="13">
      <c r="A2378" s="4" t="s">
        <v>119</v>
      </c>
      <c r="B2378" s="1">
        <v>7.83</v>
      </c>
      <c r="C2378" s="1">
        <v>700</v>
      </c>
      <c r="D2378" s="1" t="s">
        <v>33</v>
      </c>
      <c r="E2378" s="1" t="s">
        <v>21</v>
      </c>
      <c r="F2378" s="1">
        <f t="shared" si="74"/>
        <v>783</v>
      </c>
      <c r="G2378" s="5">
        <f t="shared" si="75"/>
        <v>0.89399744572158368</v>
      </c>
    </row>
    <row r="2379" spans="1:7" ht="13">
      <c r="A2379" s="4" t="s">
        <v>119</v>
      </c>
      <c r="B2379" s="1">
        <v>7.9</v>
      </c>
      <c r="C2379" s="1">
        <v>784</v>
      </c>
      <c r="D2379" s="1" t="s">
        <v>33</v>
      </c>
      <c r="E2379" s="1" t="s">
        <v>16</v>
      </c>
      <c r="F2379" s="1">
        <f t="shared" si="74"/>
        <v>790</v>
      </c>
      <c r="G2379" s="5">
        <f t="shared" si="75"/>
        <v>0.9924050632911392</v>
      </c>
    </row>
    <row r="2380" spans="1:7" ht="13">
      <c r="A2380" s="4" t="s">
        <v>119</v>
      </c>
      <c r="B2380" s="1">
        <v>7.83</v>
      </c>
      <c r="C2380" s="1">
        <v>830</v>
      </c>
      <c r="D2380" s="1" t="s">
        <v>11</v>
      </c>
      <c r="E2380" s="1" t="s">
        <v>21</v>
      </c>
      <c r="F2380" s="1">
        <f t="shared" si="74"/>
        <v>783</v>
      </c>
      <c r="G2380" s="5">
        <f t="shared" si="75"/>
        <v>1.0600255427841634</v>
      </c>
    </row>
    <row r="2381" spans="1:7" ht="13">
      <c r="A2381" s="4" t="s">
        <v>119</v>
      </c>
      <c r="B2381" s="1">
        <v>5.46</v>
      </c>
      <c r="C2381" s="1">
        <v>618</v>
      </c>
      <c r="D2381" s="1" t="s">
        <v>43</v>
      </c>
      <c r="E2381" s="1" t="s">
        <v>15</v>
      </c>
      <c r="F2381" s="1">
        <f t="shared" si="74"/>
        <v>546</v>
      </c>
      <c r="G2381" s="5">
        <f t="shared" si="75"/>
        <v>1.1318681318681318</v>
      </c>
    </row>
    <row r="2382" spans="1:7" ht="13">
      <c r="A2382" s="4" t="s">
        <v>119</v>
      </c>
      <c r="B2382" s="1">
        <v>4.8</v>
      </c>
      <c r="C2382" s="1">
        <v>440</v>
      </c>
      <c r="D2382" s="1" t="s">
        <v>11</v>
      </c>
      <c r="E2382" s="1" t="s">
        <v>10</v>
      </c>
      <c r="F2382" s="1">
        <f t="shared" si="74"/>
        <v>480</v>
      </c>
      <c r="G2382" s="5">
        <f t="shared" si="75"/>
        <v>0.91666666666666663</v>
      </c>
    </row>
    <row r="2383" spans="1:7" ht="13">
      <c r="A2383" s="4" t="s">
        <v>119</v>
      </c>
      <c r="B2383" s="1">
        <v>6.09</v>
      </c>
      <c r="C2383" s="1">
        <v>631</v>
      </c>
      <c r="D2383" s="1" t="s">
        <v>38</v>
      </c>
      <c r="E2383" s="1" t="s">
        <v>8</v>
      </c>
      <c r="F2383" s="1">
        <f t="shared" si="74"/>
        <v>609</v>
      </c>
      <c r="G2383" s="5">
        <f t="shared" si="75"/>
        <v>1.0361247947454844</v>
      </c>
    </row>
    <row r="2384" spans="1:7" ht="13">
      <c r="A2384" s="4" t="s">
        <v>119</v>
      </c>
      <c r="B2384" s="1">
        <v>6.9</v>
      </c>
      <c r="C2384" s="1">
        <v>741</v>
      </c>
      <c r="D2384" s="1" t="s">
        <v>11</v>
      </c>
      <c r="E2384" s="1" t="s">
        <v>28</v>
      </c>
      <c r="F2384" s="1">
        <f t="shared" si="74"/>
        <v>690</v>
      </c>
      <c r="G2384" s="5">
        <f t="shared" si="75"/>
        <v>1.0739130434782609</v>
      </c>
    </row>
    <row r="2385" spans="1:7" ht="13">
      <c r="A2385" s="4" t="s">
        <v>119</v>
      </c>
      <c r="B2385" s="1">
        <v>8.1999999999999993</v>
      </c>
      <c r="C2385" s="1">
        <v>755</v>
      </c>
      <c r="D2385" s="1" t="s">
        <v>11</v>
      </c>
      <c r="E2385" s="1" t="s">
        <v>12</v>
      </c>
      <c r="F2385" s="1">
        <f t="shared" si="74"/>
        <v>819.99999999999989</v>
      </c>
      <c r="G2385" s="5">
        <f t="shared" si="75"/>
        <v>0.92073170731707332</v>
      </c>
    </row>
    <row r="2386" spans="1:7" ht="13">
      <c r="A2386" s="4" t="s">
        <v>119</v>
      </c>
      <c r="B2386" s="1">
        <v>8.6999999999999993</v>
      </c>
      <c r="C2386" s="1">
        <v>873</v>
      </c>
      <c r="D2386" s="1" t="s">
        <v>11</v>
      </c>
      <c r="E2386" s="1" t="s">
        <v>27</v>
      </c>
      <c r="F2386" s="1">
        <f t="shared" si="74"/>
        <v>869.99999999999989</v>
      </c>
      <c r="G2386" s="5">
        <f t="shared" si="75"/>
        <v>1.0034482758620691</v>
      </c>
    </row>
    <row r="2387" spans="1:7" ht="13">
      <c r="A2387" s="4" t="s">
        <v>119</v>
      </c>
      <c r="B2387" s="1">
        <v>8.6</v>
      </c>
      <c r="C2387" s="1">
        <v>1000</v>
      </c>
      <c r="D2387" s="1" t="s">
        <v>11</v>
      </c>
      <c r="E2387" s="1" t="s">
        <v>20</v>
      </c>
      <c r="F2387" s="1">
        <f t="shared" si="74"/>
        <v>860</v>
      </c>
      <c r="G2387" s="5">
        <f t="shared" si="75"/>
        <v>1.1627906976744187</v>
      </c>
    </row>
    <row r="2388" spans="1:7" ht="13">
      <c r="A2388" s="4" t="s">
        <v>119</v>
      </c>
      <c r="B2388" s="1">
        <v>8.8000000000000007</v>
      </c>
      <c r="C2388" s="1">
        <v>831</v>
      </c>
      <c r="D2388" s="1" t="s">
        <v>11</v>
      </c>
      <c r="E2388" s="1" t="s">
        <v>7</v>
      </c>
      <c r="F2388" s="1">
        <f t="shared" si="74"/>
        <v>880.00000000000011</v>
      </c>
      <c r="G2388" s="5">
        <f t="shared" si="75"/>
        <v>0.94431818181818172</v>
      </c>
    </row>
    <row r="2389" spans="1:7" ht="13">
      <c r="A2389" s="4" t="s">
        <v>119</v>
      </c>
      <c r="B2389" s="1">
        <v>6.2</v>
      </c>
      <c r="C2389" s="1">
        <v>837</v>
      </c>
      <c r="D2389" s="1" t="s">
        <v>11</v>
      </c>
      <c r="E2389" s="1" t="s">
        <v>16</v>
      </c>
      <c r="F2389" s="1">
        <f t="shared" si="74"/>
        <v>620</v>
      </c>
      <c r="G2389" s="5">
        <f t="shared" si="75"/>
        <v>1.35</v>
      </c>
    </row>
    <row r="2390" spans="1:7" ht="13">
      <c r="A2390" s="4" t="s">
        <v>119</v>
      </c>
      <c r="B2390" s="1">
        <v>7.4</v>
      </c>
      <c r="C2390" s="1">
        <v>805</v>
      </c>
      <c r="D2390" s="1" t="s">
        <v>11</v>
      </c>
      <c r="E2390" s="1" t="s">
        <v>22</v>
      </c>
      <c r="F2390" s="1">
        <f t="shared" si="74"/>
        <v>740</v>
      </c>
      <c r="G2390" s="5">
        <f t="shared" si="75"/>
        <v>1.0878378378378379</v>
      </c>
    </row>
    <row r="2391" spans="1:7" ht="13">
      <c r="A2391" s="4" t="s">
        <v>119</v>
      </c>
      <c r="B2391" s="1">
        <v>3.5</v>
      </c>
      <c r="C2391" s="1">
        <v>363</v>
      </c>
      <c r="D2391" s="1" t="s">
        <v>55</v>
      </c>
      <c r="E2391" s="1" t="s">
        <v>15</v>
      </c>
      <c r="F2391" s="1">
        <f t="shared" si="74"/>
        <v>350</v>
      </c>
      <c r="G2391" s="5">
        <f t="shared" si="75"/>
        <v>1.0371428571428571</v>
      </c>
    </row>
    <row r="2392" spans="1:7" ht="13">
      <c r="A2392" s="4" t="s">
        <v>119</v>
      </c>
      <c r="B2392" s="1">
        <v>6.8</v>
      </c>
      <c r="C2392" s="1">
        <v>585</v>
      </c>
      <c r="D2392" s="1" t="s">
        <v>33</v>
      </c>
      <c r="E2392" s="1" t="s">
        <v>20</v>
      </c>
      <c r="F2392" s="1">
        <f t="shared" si="74"/>
        <v>680</v>
      </c>
      <c r="G2392" s="5">
        <f t="shared" si="75"/>
        <v>0.86029411764705888</v>
      </c>
    </row>
    <row r="2393" spans="1:7" ht="13">
      <c r="A2393" s="4" t="s">
        <v>119</v>
      </c>
      <c r="B2393" s="1">
        <v>8.6999999999999993</v>
      </c>
      <c r="C2393" s="1">
        <v>858</v>
      </c>
      <c r="D2393" s="1" t="s">
        <v>11</v>
      </c>
      <c r="E2393" s="1" t="s">
        <v>27</v>
      </c>
      <c r="F2393" s="1">
        <f t="shared" si="74"/>
        <v>869.99999999999989</v>
      </c>
      <c r="G2393" s="5">
        <f t="shared" si="75"/>
        <v>0.98620689655172422</v>
      </c>
    </row>
    <row r="2394" spans="1:7" ht="13">
      <c r="A2394" s="4" t="s">
        <v>119</v>
      </c>
      <c r="B2394" s="1">
        <v>7.74</v>
      </c>
      <c r="C2394" s="1">
        <v>756</v>
      </c>
      <c r="D2394" s="1" t="s">
        <v>53</v>
      </c>
      <c r="E2394" s="1" t="s">
        <v>15</v>
      </c>
      <c r="F2394" s="1">
        <f t="shared" si="74"/>
        <v>774</v>
      </c>
      <c r="G2394" s="5">
        <f t="shared" si="75"/>
        <v>0.97674418604651159</v>
      </c>
    </row>
    <row r="2395" spans="1:7" ht="13">
      <c r="A2395" s="4" t="s">
        <v>119</v>
      </c>
      <c r="B2395" s="1">
        <v>8</v>
      </c>
      <c r="C2395" s="1">
        <v>895</v>
      </c>
      <c r="D2395" s="1" t="s">
        <v>55</v>
      </c>
      <c r="E2395" s="1" t="s">
        <v>18</v>
      </c>
      <c r="F2395" s="1">
        <f t="shared" si="74"/>
        <v>800</v>
      </c>
      <c r="G2395" s="5">
        <f t="shared" si="75"/>
        <v>1.1187499999999999</v>
      </c>
    </row>
    <row r="2396" spans="1:7" ht="13">
      <c r="A2396" s="4" t="s">
        <v>119</v>
      </c>
      <c r="B2396" s="1">
        <v>7.2</v>
      </c>
      <c r="C2396" s="1">
        <v>635</v>
      </c>
      <c r="D2396" s="1" t="s">
        <v>11</v>
      </c>
      <c r="E2396" s="1" t="s">
        <v>13</v>
      </c>
      <c r="F2396" s="1">
        <f t="shared" si="74"/>
        <v>720</v>
      </c>
      <c r="G2396" s="5">
        <f t="shared" si="75"/>
        <v>0.88194444444444442</v>
      </c>
    </row>
    <row r="2397" spans="1:7" ht="13">
      <c r="A2397" s="4" t="s">
        <v>119</v>
      </c>
      <c r="B2397" s="1">
        <v>7.2</v>
      </c>
      <c r="C2397" s="1">
        <v>635</v>
      </c>
      <c r="D2397" s="1" t="s">
        <v>11</v>
      </c>
      <c r="E2397" s="1" t="s">
        <v>13</v>
      </c>
      <c r="F2397" s="1">
        <f t="shared" si="74"/>
        <v>720</v>
      </c>
      <c r="G2397" s="5">
        <f t="shared" si="75"/>
        <v>0.88194444444444442</v>
      </c>
    </row>
    <row r="2398" spans="1:7" ht="13">
      <c r="A2398" s="4" t="s">
        <v>119</v>
      </c>
      <c r="B2398" s="1">
        <v>6.96</v>
      </c>
      <c r="C2398" s="1">
        <v>679</v>
      </c>
      <c r="D2398" s="1" t="s">
        <v>11</v>
      </c>
      <c r="E2398" s="1" t="s">
        <v>18</v>
      </c>
      <c r="F2398" s="1">
        <f t="shared" si="74"/>
        <v>696</v>
      </c>
      <c r="G2398" s="5">
        <f t="shared" si="75"/>
        <v>0.97557471264367812</v>
      </c>
    </row>
    <row r="2399" spans="1:7" ht="13">
      <c r="A2399" s="4" t="s">
        <v>119</v>
      </c>
      <c r="B2399" s="1">
        <v>5</v>
      </c>
      <c r="C2399" s="1">
        <v>485</v>
      </c>
      <c r="D2399" s="1" t="s">
        <v>11</v>
      </c>
      <c r="E2399" s="1" t="s">
        <v>14</v>
      </c>
      <c r="F2399" s="1">
        <f t="shared" si="74"/>
        <v>500</v>
      </c>
      <c r="G2399" s="5">
        <f t="shared" si="75"/>
        <v>0.97</v>
      </c>
    </row>
    <row r="2400" spans="1:7" ht="13">
      <c r="A2400" s="4" t="s">
        <v>119</v>
      </c>
      <c r="B2400" s="1">
        <v>7.83</v>
      </c>
      <c r="C2400" s="1">
        <v>692</v>
      </c>
      <c r="D2400" s="1" t="s">
        <v>11</v>
      </c>
      <c r="E2400" s="1" t="s">
        <v>12</v>
      </c>
      <c r="F2400" s="1">
        <f t="shared" ref="F2400:F2463" si="76">B2400*100</f>
        <v>783</v>
      </c>
      <c r="G2400" s="5">
        <f t="shared" si="75"/>
        <v>0.88378033205619411</v>
      </c>
    </row>
    <row r="2401" spans="1:7" ht="13">
      <c r="A2401" s="4" t="s">
        <v>119</v>
      </c>
      <c r="B2401" s="1">
        <v>6.25</v>
      </c>
      <c r="C2401" s="1">
        <v>681</v>
      </c>
      <c r="D2401" s="1" t="s">
        <v>11</v>
      </c>
      <c r="E2401" s="1" t="s">
        <v>7</v>
      </c>
      <c r="F2401" s="1">
        <f t="shared" si="76"/>
        <v>625</v>
      </c>
      <c r="G2401" s="5">
        <f t="shared" si="75"/>
        <v>1.0895999999999999</v>
      </c>
    </row>
    <row r="2402" spans="1:7" ht="13">
      <c r="A2402" s="4" t="s">
        <v>119</v>
      </c>
      <c r="B2402" s="1">
        <v>5</v>
      </c>
      <c r="C2402" s="1">
        <v>593</v>
      </c>
      <c r="D2402" s="1" t="s">
        <v>11</v>
      </c>
      <c r="E2402" s="1" t="s">
        <v>8</v>
      </c>
      <c r="F2402" s="1">
        <f t="shared" si="76"/>
        <v>500</v>
      </c>
      <c r="G2402" s="5">
        <f t="shared" si="75"/>
        <v>1.1859999999999999</v>
      </c>
    </row>
    <row r="2403" spans="1:7" ht="13">
      <c r="A2403" s="4" t="s">
        <v>119</v>
      </c>
      <c r="B2403" s="1">
        <v>8.35</v>
      </c>
      <c r="C2403" s="1">
        <v>780</v>
      </c>
      <c r="D2403" s="1" t="s">
        <v>11</v>
      </c>
      <c r="E2403" s="1" t="s">
        <v>15</v>
      </c>
      <c r="F2403" s="1">
        <f t="shared" si="76"/>
        <v>835</v>
      </c>
      <c r="G2403" s="5">
        <f t="shared" si="75"/>
        <v>0.93413173652694614</v>
      </c>
    </row>
    <row r="2404" spans="1:7" ht="13">
      <c r="A2404" s="4" t="s">
        <v>119</v>
      </c>
      <c r="B2404" s="1">
        <v>5.2</v>
      </c>
      <c r="C2404" s="1">
        <v>506</v>
      </c>
      <c r="D2404" s="1" t="s">
        <v>45</v>
      </c>
      <c r="E2404" s="1" t="s">
        <v>15</v>
      </c>
      <c r="F2404" s="1">
        <f t="shared" si="76"/>
        <v>520</v>
      </c>
      <c r="G2404" s="5">
        <f t="shared" si="75"/>
        <v>0.97307692307692306</v>
      </c>
    </row>
    <row r="2405" spans="1:7" ht="13">
      <c r="A2405" s="4" t="s">
        <v>119</v>
      </c>
      <c r="B2405" s="1">
        <v>7.6</v>
      </c>
      <c r="C2405" s="1">
        <v>629</v>
      </c>
      <c r="D2405" s="1" t="s">
        <v>33</v>
      </c>
      <c r="E2405" s="1" t="s">
        <v>17</v>
      </c>
      <c r="F2405" s="1">
        <f t="shared" si="76"/>
        <v>760</v>
      </c>
      <c r="G2405" s="5">
        <f t="shared" si="75"/>
        <v>0.82763157894736838</v>
      </c>
    </row>
    <row r="2406" spans="1:7" ht="13">
      <c r="A2406" s="4" t="s">
        <v>119</v>
      </c>
      <c r="B2406" s="1">
        <v>7.29</v>
      </c>
      <c r="C2406" s="1">
        <v>714</v>
      </c>
      <c r="D2406" s="1" t="s">
        <v>11</v>
      </c>
      <c r="E2406" s="1" t="s">
        <v>18</v>
      </c>
      <c r="F2406" s="1">
        <f t="shared" si="76"/>
        <v>729</v>
      </c>
      <c r="G2406" s="5">
        <f t="shared" si="75"/>
        <v>0.97942386831275718</v>
      </c>
    </row>
    <row r="2407" spans="1:7" ht="13">
      <c r="A2407" s="4" t="s">
        <v>119</v>
      </c>
      <c r="B2407" s="1">
        <v>9.1</v>
      </c>
      <c r="C2407" s="1">
        <v>766</v>
      </c>
      <c r="D2407" s="1" t="s">
        <v>38</v>
      </c>
      <c r="E2407" s="1" t="s">
        <v>14</v>
      </c>
      <c r="F2407" s="1">
        <f t="shared" si="76"/>
        <v>910</v>
      </c>
      <c r="G2407" s="5">
        <f t="shared" si="75"/>
        <v>0.84175824175824177</v>
      </c>
    </row>
    <row r="2408" spans="1:7" ht="13">
      <c r="A2408" s="4" t="s">
        <v>119</v>
      </c>
      <c r="B2408" s="1">
        <v>7.3</v>
      </c>
      <c r="C2408" s="1">
        <v>37.630000000000003</v>
      </c>
      <c r="D2408" s="1" t="s">
        <v>38</v>
      </c>
      <c r="E2408" s="1" t="s">
        <v>22</v>
      </c>
      <c r="F2408" s="1">
        <f t="shared" si="76"/>
        <v>730</v>
      </c>
      <c r="G2408" s="5">
        <f t="shared" si="75"/>
        <v>5.1547945205479458E-2</v>
      </c>
    </row>
    <row r="2409" spans="1:7" ht="13">
      <c r="A2409" s="4" t="s">
        <v>119</v>
      </c>
      <c r="B2409" s="1">
        <v>3.6</v>
      </c>
      <c r="C2409" s="1">
        <v>395</v>
      </c>
      <c r="D2409" s="1" t="s">
        <v>47</v>
      </c>
      <c r="E2409" s="1" t="s">
        <v>28</v>
      </c>
      <c r="F2409" s="1">
        <f t="shared" si="76"/>
        <v>360</v>
      </c>
      <c r="G2409" s="5">
        <f t="shared" si="75"/>
        <v>1.0972222222222223</v>
      </c>
    </row>
    <row r="2410" spans="1:7" ht="13">
      <c r="A2410" s="4" t="s">
        <v>119</v>
      </c>
      <c r="B2410" s="1">
        <v>6</v>
      </c>
      <c r="C2410" s="1">
        <v>482</v>
      </c>
      <c r="D2410" s="1" t="s">
        <v>11</v>
      </c>
      <c r="E2410" s="1" t="s">
        <v>12</v>
      </c>
      <c r="F2410" s="1">
        <f t="shared" si="76"/>
        <v>600</v>
      </c>
      <c r="G2410" s="5">
        <f t="shared" si="75"/>
        <v>0.80333333333333334</v>
      </c>
    </row>
    <row r="2411" spans="1:7" ht="13">
      <c r="A2411" s="4" t="s">
        <v>119</v>
      </c>
      <c r="B2411" s="1">
        <v>7.92</v>
      </c>
      <c r="C2411" s="1">
        <v>756</v>
      </c>
      <c r="D2411" s="1" t="s">
        <v>44</v>
      </c>
      <c r="E2411" s="1" t="s">
        <v>15</v>
      </c>
      <c r="F2411" s="1">
        <f t="shared" si="76"/>
        <v>792</v>
      </c>
      <c r="G2411" s="5">
        <f t="shared" si="75"/>
        <v>0.95454545454545459</v>
      </c>
    </row>
    <row r="2412" spans="1:7" ht="13">
      <c r="A2412" s="4" t="s">
        <v>119</v>
      </c>
      <c r="B2412" s="1">
        <v>10.199999999999999</v>
      </c>
      <c r="C2412" s="1">
        <v>820</v>
      </c>
      <c r="D2412" s="1" t="s">
        <v>38</v>
      </c>
      <c r="E2412" s="1" t="s">
        <v>7</v>
      </c>
      <c r="F2412" s="1">
        <f t="shared" si="76"/>
        <v>1019.9999999999999</v>
      </c>
      <c r="G2412" s="5">
        <f t="shared" si="75"/>
        <v>0.80392156862745112</v>
      </c>
    </row>
    <row r="2413" spans="1:7" ht="13">
      <c r="A2413" s="4" t="s">
        <v>119</v>
      </c>
      <c r="B2413" s="1">
        <v>7.3</v>
      </c>
      <c r="C2413" s="1">
        <v>747</v>
      </c>
      <c r="D2413" s="1" t="s">
        <v>38</v>
      </c>
      <c r="E2413" s="1" t="s">
        <v>22</v>
      </c>
      <c r="F2413" s="1">
        <f t="shared" si="76"/>
        <v>730</v>
      </c>
      <c r="G2413" s="5">
        <f t="shared" si="75"/>
        <v>1.0232876712328767</v>
      </c>
    </row>
    <row r="2414" spans="1:7" ht="13">
      <c r="A2414" s="4" t="s">
        <v>119</v>
      </c>
      <c r="B2414" s="1">
        <v>5.2</v>
      </c>
      <c r="C2414" s="1">
        <v>403</v>
      </c>
      <c r="D2414" s="1" t="s">
        <v>33</v>
      </c>
      <c r="E2414" s="1" t="s">
        <v>7</v>
      </c>
      <c r="F2414" s="1">
        <f t="shared" si="76"/>
        <v>520</v>
      </c>
      <c r="G2414" s="5">
        <f t="shared" si="75"/>
        <v>0.77500000000000002</v>
      </c>
    </row>
    <row r="2415" spans="1:7" ht="13">
      <c r="A2415" s="4" t="s">
        <v>119</v>
      </c>
      <c r="B2415" s="1">
        <v>5.3949999999999996</v>
      </c>
      <c r="C2415" s="1">
        <v>580</v>
      </c>
      <c r="D2415" s="1" t="s">
        <v>45</v>
      </c>
      <c r="E2415" s="1" t="s">
        <v>15</v>
      </c>
      <c r="F2415" s="1">
        <f t="shared" si="76"/>
        <v>539.5</v>
      </c>
      <c r="G2415" s="5">
        <f t="shared" si="75"/>
        <v>1.0750695088044486</v>
      </c>
    </row>
    <row r="2416" spans="1:7" ht="13">
      <c r="A2416" s="4" t="s">
        <v>119</v>
      </c>
      <c r="B2416" s="1">
        <v>7.4</v>
      </c>
      <c r="C2416" s="1">
        <v>834</v>
      </c>
      <c r="D2416" s="1" t="s">
        <v>11</v>
      </c>
      <c r="E2416" s="1" t="s">
        <v>10</v>
      </c>
      <c r="F2416" s="1">
        <f t="shared" si="76"/>
        <v>740</v>
      </c>
      <c r="G2416" s="5">
        <f t="shared" si="75"/>
        <v>1.1270270270270271</v>
      </c>
    </row>
    <row r="2417" spans="1:7" ht="13">
      <c r="A2417" s="4" t="s">
        <v>119</v>
      </c>
      <c r="B2417" s="1">
        <v>7.46</v>
      </c>
      <c r="C2417" s="1">
        <v>746</v>
      </c>
      <c r="D2417" s="1" t="s">
        <v>79</v>
      </c>
      <c r="E2417" s="1" t="s">
        <v>25</v>
      </c>
      <c r="F2417" s="1">
        <f t="shared" si="76"/>
        <v>746</v>
      </c>
      <c r="G2417" s="5">
        <f t="shared" si="75"/>
        <v>1</v>
      </c>
    </row>
    <row r="2418" spans="1:7" ht="13">
      <c r="A2418" s="4" t="s">
        <v>119</v>
      </c>
      <c r="B2418" s="1">
        <v>7</v>
      </c>
      <c r="C2418" s="1">
        <v>632</v>
      </c>
      <c r="D2418" s="1" t="s">
        <v>33</v>
      </c>
      <c r="E2418" s="1" t="s">
        <v>20</v>
      </c>
      <c r="F2418" s="1">
        <f t="shared" si="76"/>
        <v>700</v>
      </c>
      <c r="G2418" s="5">
        <f t="shared" si="75"/>
        <v>0.9028571428571428</v>
      </c>
    </row>
    <row r="2419" spans="1:7" ht="13">
      <c r="A2419" s="4" t="s">
        <v>119</v>
      </c>
      <c r="B2419" s="1">
        <v>9.24</v>
      </c>
      <c r="C2419" s="1">
        <v>777</v>
      </c>
      <c r="D2419" s="1" t="s">
        <v>42</v>
      </c>
      <c r="E2419" s="1" t="s">
        <v>12</v>
      </c>
      <c r="F2419" s="1">
        <f t="shared" si="76"/>
        <v>924</v>
      </c>
      <c r="G2419" s="5">
        <f t="shared" si="75"/>
        <v>0.84090909090909094</v>
      </c>
    </row>
    <row r="2420" spans="1:7" ht="13">
      <c r="A2420" s="4" t="s">
        <v>119</v>
      </c>
      <c r="B2420" s="1">
        <v>6.02</v>
      </c>
      <c r="C2420" s="1">
        <v>606.36</v>
      </c>
      <c r="D2420" s="1" t="s">
        <v>11</v>
      </c>
      <c r="E2420" s="1" t="s">
        <v>22</v>
      </c>
      <c r="F2420" s="1">
        <f t="shared" si="76"/>
        <v>602</v>
      </c>
      <c r="G2420" s="5">
        <f t="shared" si="75"/>
        <v>1.0072425249169434</v>
      </c>
    </row>
    <row r="2421" spans="1:7" ht="13">
      <c r="A2421" s="4" t="s">
        <v>119</v>
      </c>
      <c r="B2421" s="1">
        <v>8.4600000000000009</v>
      </c>
      <c r="C2421" s="1">
        <v>747</v>
      </c>
      <c r="D2421" s="1" t="s">
        <v>79</v>
      </c>
      <c r="E2421" s="1" t="s">
        <v>25</v>
      </c>
      <c r="F2421" s="1">
        <f t="shared" si="76"/>
        <v>846.00000000000011</v>
      </c>
      <c r="G2421" s="5">
        <f t="shared" si="75"/>
        <v>0.88297872340425521</v>
      </c>
    </row>
    <row r="2422" spans="1:7" ht="13">
      <c r="A2422" s="4" t="s">
        <v>119</v>
      </c>
      <c r="B2422" s="1">
        <v>6.2</v>
      </c>
      <c r="C2422" s="1">
        <v>469.22</v>
      </c>
      <c r="D2422" s="1" t="s">
        <v>45</v>
      </c>
      <c r="E2422" s="1" t="s">
        <v>27</v>
      </c>
      <c r="F2422" s="1">
        <f t="shared" si="76"/>
        <v>620</v>
      </c>
      <c r="G2422" s="5">
        <f t="shared" si="75"/>
        <v>0.75680645161290327</v>
      </c>
    </row>
    <row r="2423" spans="1:7" ht="13">
      <c r="A2423" s="4" t="s">
        <v>119</v>
      </c>
      <c r="B2423" s="1">
        <v>4.9000000000000004</v>
      </c>
      <c r="C2423" s="1">
        <v>567</v>
      </c>
      <c r="D2423" s="1" t="s">
        <v>38</v>
      </c>
      <c r="E2423" s="1" t="s">
        <v>15</v>
      </c>
      <c r="F2423" s="1">
        <f t="shared" si="76"/>
        <v>490.00000000000006</v>
      </c>
      <c r="G2423" s="5">
        <f t="shared" si="75"/>
        <v>1.157142857142857</v>
      </c>
    </row>
    <row r="2424" spans="1:7" ht="13">
      <c r="A2424" s="4" t="s">
        <v>119</v>
      </c>
      <c r="B2424" s="1">
        <v>4.1500000000000004</v>
      </c>
      <c r="C2424" s="1">
        <v>485</v>
      </c>
      <c r="D2424" s="1" t="s">
        <v>38</v>
      </c>
      <c r="E2424" s="1" t="s">
        <v>8</v>
      </c>
      <c r="F2424" s="1">
        <f t="shared" si="76"/>
        <v>415.00000000000006</v>
      </c>
      <c r="G2424" s="5">
        <f t="shared" si="75"/>
        <v>1.1686746987951806</v>
      </c>
    </row>
    <row r="2425" spans="1:7" ht="13">
      <c r="A2425" s="4" t="s">
        <v>119</v>
      </c>
      <c r="B2425" s="1">
        <v>6.88</v>
      </c>
      <c r="C2425" s="1">
        <v>720</v>
      </c>
      <c r="D2425" s="1" t="s">
        <v>58</v>
      </c>
      <c r="E2425" s="1" t="s">
        <v>22</v>
      </c>
      <c r="F2425" s="1">
        <f t="shared" si="76"/>
        <v>688</v>
      </c>
      <c r="G2425" s="5">
        <f t="shared" si="75"/>
        <v>1.0465116279069768</v>
      </c>
    </row>
    <row r="2426" spans="1:7" ht="13">
      <c r="A2426" s="4" t="s">
        <v>119</v>
      </c>
      <c r="B2426" s="1">
        <v>9.6</v>
      </c>
      <c r="C2426" s="1">
        <v>870</v>
      </c>
      <c r="D2426" s="1" t="s">
        <v>80</v>
      </c>
      <c r="E2426" s="1" t="s">
        <v>7</v>
      </c>
      <c r="F2426" s="1">
        <f t="shared" si="76"/>
        <v>960</v>
      </c>
      <c r="G2426" s="5">
        <f t="shared" si="75"/>
        <v>0.90625</v>
      </c>
    </row>
    <row r="2427" spans="1:7" ht="13">
      <c r="A2427" s="4" t="s">
        <v>119</v>
      </c>
      <c r="B2427" s="1">
        <v>4.7300000000000004</v>
      </c>
      <c r="C2427" s="1">
        <v>491</v>
      </c>
      <c r="D2427" s="1" t="s">
        <v>33</v>
      </c>
      <c r="E2427" s="1" t="s">
        <v>8</v>
      </c>
      <c r="F2427" s="1">
        <f t="shared" si="76"/>
        <v>473.00000000000006</v>
      </c>
      <c r="G2427" s="5">
        <f t="shared" si="75"/>
        <v>1.0380549682875262</v>
      </c>
    </row>
    <row r="2428" spans="1:7" ht="13">
      <c r="A2428" s="4" t="s">
        <v>119</v>
      </c>
      <c r="B2428" s="1">
        <v>5.88</v>
      </c>
      <c r="C2428" s="1">
        <v>635</v>
      </c>
      <c r="D2428" s="1" t="s">
        <v>11</v>
      </c>
      <c r="E2428" s="1" t="s">
        <v>15</v>
      </c>
      <c r="F2428" s="1">
        <f t="shared" si="76"/>
        <v>588</v>
      </c>
      <c r="G2428" s="5">
        <f t="shared" si="75"/>
        <v>1.0799319727891157</v>
      </c>
    </row>
    <row r="2429" spans="1:7" ht="13">
      <c r="A2429" s="4" t="s">
        <v>119</v>
      </c>
      <c r="B2429" s="1">
        <v>6</v>
      </c>
      <c r="C2429" s="1">
        <v>543</v>
      </c>
      <c r="D2429" s="1" t="s">
        <v>38</v>
      </c>
      <c r="E2429" s="1" t="s">
        <v>8</v>
      </c>
      <c r="F2429" s="1">
        <f t="shared" si="76"/>
        <v>600</v>
      </c>
      <c r="G2429" s="5">
        <f t="shared" si="75"/>
        <v>0.90500000000000003</v>
      </c>
    </row>
    <row r="2430" spans="1:7" ht="13">
      <c r="A2430" s="4" t="s">
        <v>119</v>
      </c>
      <c r="B2430" s="1">
        <v>7.4</v>
      </c>
      <c r="C2430" s="1">
        <v>714</v>
      </c>
      <c r="D2430" s="1" t="s">
        <v>105</v>
      </c>
      <c r="E2430" s="1" t="s">
        <v>49</v>
      </c>
      <c r="F2430" s="1">
        <f t="shared" si="76"/>
        <v>740</v>
      </c>
      <c r="G2430" s="5">
        <f t="shared" si="75"/>
        <v>0.96486486486486489</v>
      </c>
    </row>
    <row r="2431" spans="1:7" ht="13">
      <c r="A2431" s="4" t="s">
        <v>119</v>
      </c>
      <c r="B2431" s="1">
        <v>6</v>
      </c>
      <c r="C2431" s="1">
        <v>745</v>
      </c>
      <c r="D2431" s="1" t="s">
        <v>11</v>
      </c>
      <c r="E2431" s="1" t="s">
        <v>22</v>
      </c>
      <c r="F2431" s="1">
        <f t="shared" si="76"/>
        <v>600</v>
      </c>
      <c r="G2431" s="5">
        <f t="shared" si="75"/>
        <v>1.2416666666666667</v>
      </c>
    </row>
    <row r="2432" spans="1:7" ht="13">
      <c r="A2432" s="4" t="s">
        <v>119</v>
      </c>
      <c r="B2432" s="1">
        <v>4.38</v>
      </c>
      <c r="C2432" s="1">
        <v>461</v>
      </c>
      <c r="D2432" s="1" t="s">
        <v>43</v>
      </c>
      <c r="E2432" s="1" t="s">
        <v>24</v>
      </c>
      <c r="F2432" s="1">
        <f t="shared" si="76"/>
        <v>438</v>
      </c>
      <c r="G2432" s="5">
        <f t="shared" si="75"/>
        <v>1.0525114155251141</v>
      </c>
    </row>
    <row r="2433" spans="1:7" ht="13">
      <c r="A2433" s="4" t="s">
        <v>119</v>
      </c>
      <c r="B2433" s="1">
        <v>6.4</v>
      </c>
      <c r="C2433" s="1">
        <v>711</v>
      </c>
      <c r="D2433" s="1" t="s">
        <v>11</v>
      </c>
      <c r="E2433" s="1" t="s">
        <v>8</v>
      </c>
      <c r="F2433" s="1">
        <f t="shared" si="76"/>
        <v>640</v>
      </c>
      <c r="G2433" s="5">
        <f t="shared" si="75"/>
        <v>1.1109374999999999</v>
      </c>
    </row>
    <row r="2434" spans="1:7" ht="13">
      <c r="A2434" s="4" t="s">
        <v>119</v>
      </c>
      <c r="B2434" s="1">
        <v>6.5</v>
      </c>
      <c r="C2434" s="1">
        <v>694</v>
      </c>
      <c r="D2434" s="1" t="s">
        <v>39</v>
      </c>
      <c r="E2434" s="1" t="s">
        <v>16</v>
      </c>
      <c r="F2434" s="1">
        <f t="shared" si="76"/>
        <v>650</v>
      </c>
      <c r="G2434" s="5">
        <f t="shared" ref="G2434:G2497" si="77">C2434/F2434</f>
        <v>1.0676923076923077</v>
      </c>
    </row>
    <row r="2435" spans="1:7" ht="13">
      <c r="A2435" s="4" t="s">
        <v>119</v>
      </c>
      <c r="B2435" s="1">
        <v>4.2</v>
      </c>
      <c r="C2435" s="1">
        <v>513</v>
      </c>
      <c r="D2435" s="1" t="s">
        <v>11</v>
      </c>
      <c r="E2435" s="1" t="s">
        <v>15</v>
      </c>
      <c r="F2435" s="1">
        <f t="shared" si="76"/>
        <v>420</v>
      </c>
      <c r="G2435" s="5">
        <f t="shared" si="77"/>
        <v>1.2214285714285715</v>
      </c>
    </row>
    <row r="2436" spans="1:7" ht="13">
      <c r="A2436" s="4" t="s">
        <v>119</v>
      </c>
      <c r="B2436" s="1">
        <v>6.5</v>
      </c>
      <c r="C2436" s="1">
        <v>558.67999999999995</v>
      </c>
      <c r="D2436" s="1" t="s">
        <v>35</v>
      </c>
      <c r="E2436" s="1" t="s">
        <v>8</v>
      </c>
      <c r="F2436" s="1">
        <f t="shared" si="76"/>
        <v>650</v>
      </c>
      <c r="G2436" s="5">
        <f t="shared" si="77"/>
        <v>0.85950769230769219</v>
      </c>
    </row>
    <row r="2437" spans="1:7" ht="13">
      <c r="A2437" s="4" t="s">
        <v>119</v>
      </c>
      <c r="B2437" s="1">
        <v>6.72</v>
      </c>
      <c r="C2437" s="1">
        <v>710</v>
      </c>
      <c r="D2437" s="1" t="s">
        <v>33</v>
      </c>
      <c r="E2437" s="1" t="s">
        <v>8</v>
      </c>
      <c r="F2437" s="1">
        <f t="shared" si="76"/>
        <v>672</v>
      </c>
      <c r="G2437" s="5">
        <f t="shared" si="77"/>
        <v>1.0565476190476191</v>
      </c>
    </row>
    <row r="2438" spans="1:7" ht="13">
      <c r="A2438" s="4" t="s">
        <v>119</v>
      </c>
      <c r="B2438" s="1">
        <v>5.2</v>
      </c>
      <c r="C2438" s="1">
        <v>592</v>
      </c>
      <c r="D2438" s="1" t="s">
        <v>11</v>
      </c>
      <c r="E2438" s="1" t="s">
        <v>19</v>
      </c>
      <c r="F2438" s="1">
        <f t="shared" si="76"/>
        <v>520</v>
      </c>
      <c r="G2438" s="5">
        <f t="shared" si="77"/>
        <v>1.1384615384615384</v>
      </c>
    </row>
    <row r="2439" spans="1:7" ht="13">
      <c r="A2439" s="4" t="s">
        <v>119</v>
      </c>
      <c r="B2439" s="1">
        <v>3.48</v>
      </c>
      <c r="C2439" s="1">
        <v>345</v>
      </c>
      <c r="D2439" s="1" t="s">
        <v>11</v>
      </c>
      <c r="E2439" s="1" t="s">
        <v>7</v>
      </c>
      <c r="F2439" s="1">
        <f t="shared" si="76"/>
        <v>348</v>
      </c>
      <c r="G2439" s="5">
        <f t="shared" si="77"/>
        <v>0.99137931034482762</v>
      </c>
    </row>
    <row r="2440" spans="1:7" ht="13">
      <c r="A2440" s="4" t="s">
        <v>119</v>
      </c>
      <c r="B2440" s="1">
        <v>7.74</v>
      </c>
      <c r="C2440" s="1">
        <v>771</v>
      </c>
      <c r="D2440" s="1" t="s">
        <v>33</v>
      </c>
      <c r="E2440" s="1" t="s">
        <v>16</v>
      </c>
      <c r="F2440" s="1">
        <f t="shared" si="76"/>
        <v>774</v>
      </c>
      <c r="G2440" s="5">
        <f t="shared" si="77"/>
        <v>0.99612403100775193</v>
      </c>
    </row>
    <row r="2441" spans="1:7" ht="13">
      <c r="A2441" s="4" t="s">
        <v>119</v>
      </c>
      <c r="B2441" s="1">
        <v>7.6</v>
      </c>
      <c r="C2441" s="1">
        <v>750</v>
      </c>
      <c r="D2441" s="1" t="s">
        <v>44</v>
      </c>
      <c r="E2441" s="1" t="s">
        <v>17</v>
      </c>
      <c r="F2441" s="1">
        <f t="shared" si="76"/>
        <v>760</v>
      </c>
      <c r="G2441" s="5">
        <f t="shared" si="77"/>
        <v>0.98684210526315785</v>
      </c>
    </row>
    <row r="2442" spans="1:7" ht="13">
      <c r="A2442" s="4" t="s">
        <v>119</v>
      </c>
      <c r="B2442" s="1">
        <v>5.88</v>
      </c>
      <c r="C2442" s="1">
        <v>485</v>
      </c>
      <c r="D2442" s="1" t="s">
        <v>39</v>
      </c>
      <c r="E2442" s="1" t="s">
        <v>19</v>
      </c>
      <c r="F2442" s="1">
        <f t="shared" si="76"/>
        <v>588</v>
      </c>
      <c r="G2442" s="5">
        <f t="shared" si="77"/>
        <v>0.82482993197278909</v>
      </c>
    </row>
    <row r="2443" spans="1:7" ht="13">
      <c r="A2443" s="4" t="s">
        <v>119</v>
      </c>
      <c r="B2443" s="1">
        <v>4.03</v>
      </c>
      <c r="C2443" s="1">
        <v>462</v>
      </c>
      <c r="D2443" s="1" t="s">
        <v>11</v>
      </c>
      <c r="E2443" s="1" t="s">
        <v>9</v>
      </c>
      <c r="F2443" s="1">
        <f t="shared" si="76"/>
        <v>403</v>
      </c>
      <c r="G2443" s="5">
        <f t="shared" si="77"/>
        <v>1.1464019851116625</v>
      </c>
    </row>
    <row r="2444" spans="1:7" ht="13">
      <c r="A2444" s="4" t="s">
        <v>119</v>
      </c>
      <c r="B2444" s="1">
        <v>8.33</v>
      </c>
      <c r="C2444" s="1">
        <v>764</v>
      </c>
      <c r="D2444" s="1" t="s">
        <v>47</v>
      </c>
      <c r="E2444" s="1" t="s">
        <v>7</v>
      </c>
      <c r="F2444" s="1">
        <f t="shared" si="76"/>
        <v>833</v>
      </c>
      <c r="G2444" s="5">
        <f t="shared" si="77"/>
        <v>0.91716686674669867</v>
      </c>
    </row>
    <row r="2445" spans="1:7" ht="13">
      <c r="A2445" s="4" t="s">
        <v>119</v>
      </c>
      <c r="B2445" s="1">
        <v>9.1999999999999993</v>
      </c>
      <c r="C2445" s="1">
        <v>817.84</v>
      </c>
      <c r="D2445" s="1" t="s">
        <v>33</v>
      </c>
      <c r="E2445" s="1" t="s">
        <v>20</v>
      </c>
      <c r="F2445" s="1">
        <f t="shared" si="76"/>
        <v>919.99999999999989</v>
      </c>
      <c r="G2445" s="5">
        <f t="shared" si="77"/>
        <v>0.88895652173913053</v>
      </c>
    </row>
    <row r="2446" spans="1:7" ht="13">
      <c r="A2446" s="4" t="s">
        <v>119</v>
      </c>
      <c r="B2446" s="1">
        <v>6.25</v>
      </c>
      <c r="C2446" s="1">
        <v>659</v>
      </c>
      <c r="D2446" s="1" t="s">
        <v>11</v>
      </c>
      <c r="E2446" s="1" t="s">
        <v>32</v>
      </c>
      <c r="F2446" s="1">
        <f t="shared" si="76"/>
        <v>625</v>
      </c>
      <c r="G2446" s="5">
        <f t="shared" si="77"/>
        <v>1.0544</v>
      </c>
    </row>
    <row r="2447" spans="1:7" ht="13">
      <c r="A2447" s="4" t="s">
        <v>119</v>
      </c>
      <c r="B2447" s="1">
        <v>5.92</v>
      </c>
      <c r="C2447" s="1">
        <v>615</v>
      </c>
      <c r="D2447" s="1" t="s">
        <v>11</v>
      </c>
      <c r="E2447" s="1" t="s">
        <v>17</v>
      </c>
      <c r="F2447" s="1">
        <f t="shared" si="76"/>
        <v>592</v>
      </c>
      <c r="G2447" s="5">
        <f t="shared" si="77"/>
        <v>1.0388513513513513</v>
      </c>
    </row>
    <row r="2448" spans="1:7" ht="13">
      <c r="A2448" s="4" t="s">
        <v>119</v>
      </c>
      <c r="B2448" s="1">
        <v>4.2</v>
      </c>
      <c r="C2448" s="1">
        <v>522.4</v>
      </c>
      <c r="D2448" s="1" t="s">
        <v>11</v>
      </c>
      <c r="E2448" s="1" t="s">
        <v>21</v>
      </c>
      <c r="F2448" s="1">
        <f t="shared" si="76"/>
        <v>420</v>
      </c>
      <c r="G2448" s="5">
        <f t="shared" si="77"/>
        <v>1.2438095238095237</v>
      </c>
    </row>
    <row r="2449" spans="1:7" ht="13">
      <c r="A2449" s="4" t="s">
        <v>119</v>
      </c>
      <c r="B2449" s="1">
        <v>8.6999999999999993</v>
      </c>
      <c r="C2449" s="1">
        <v>982</v>
      </c>
      <c r="D2449" s="1" t="s">
        <v>11</v>
      </c>
      <c r="E2449" s="1" t="s">
        <v>10</v>
      </c>
      <c r="F2449" s="1">
        <f t="shared" si="76"/>
        <v>869.99999999999989</v>
      </c>
      <c r="G2449" s="5">
        <f t="shared" si="77"/>
        <v>1.1287356321839082</v>
      </c>
    </row>
    <row r="2450" spans="1:7" ht="13">
      <c r="A2450" s="4" t="s">
        <v>119</v>
      </c>
      <c r="B2450" s="1">
        <v>9.89</v>
      </c>
      <c r="C2450" s="1">
        <v>947</v>
      </c>
      <c r="D2450" s="1" t="s">
        <v>33</v>
      </c>
      <c r="E2450" s="1" t="s">
        <v>21</v>
      </c>
      <c r="F2450" s="1">
        <f t="shared" si="76"/>
        <v>989</v>
      </c>
      <c r="G2450" s="5">
        <f t="shared" si="77"/>
        <v>0.95753286147623862</v>
      </c>
    </row>
    <row r="2451" spans="1:7" ht="13">
      <c r="A2451" s="4" t="s">
        <v>119</v>
      </c>
      <c r="B2451" s="1">
        <v>6.75</v>
      </c>
      <c r="C2451" s="1">
        <v>698</v>
      </c>
      <c r="D2451" s="1" t="s">
        <v>40</v>
      </c>
      <c r="E2451" s="1" t="s">
        <v>15</v>
      </c>
      <c r="F2451" s="1">
        <f t="shared" si="76"/>
        <v>675</v>
      </c>
      <c r="G2451" s="5">
        <f t="shared" si="77"/>
        <v>1.0340740740740741</v>
      </c>
    </row>
    <row r="2452" spans="1:7" ht="13">
      <c r="A2452" s="4" t="s">
        <v>119</v>
      </c>
      <c r="B2452" s="1">
        <v>5.0999999999999996</v>
      </c>
      <c r="C2452" s="1">
        <v>558</v>
      </c>
      <c r="D2452" s="1" t="s">
        <v>42</v>
      </c>
      <c r="E2452" s="1" t="s">
        <v>30</v>
      </c>
      <c r="F2452" s="1">
        <f t="shared" si="76"/>
        <v>509.99999999999994</v>
      </c>
      <c r="G2452" s="5">
        <f t="shared" si="77"/>
        <v>1.0941176470588236</v>
      </c>
    </row>
    <row r="2453" spans="1:7" ht="13">
      <c r="A2453" s="4" t="s">
        <v>119</v>
      </c>
      <c r="B2453" s="1">
        <v>5</v>
      </c>
      <c r="C2453" s="1">
        <v>660</v>
      </c>
      <c r="D2453" s="1" t="s">
        <v>33</v>
      </c>
      <c r="E2453" s="1" t="s">
        <v>32</v>
      </c>
      <c r="F2453" s="1">
        <f t="shared" si="76"/>
        <v>500</v>
      </c>
      <c r="G2453" s="5">
        <f t="shared" si="77"/>
        <v>1.32</v>
      </c>
    </row>
    <row r="2454" spans="1:7" ht="13">
      <c r="A2454" s="4" t="s">
        <v>119</v>
      </c>
      <c r="B2454" s="1">
        <v>7.4</v>
      </c>
      <c r="C2454" s="1">
        <v>667</v>
      </c>
      <c r="D2454" s="1" t="s">
        <v>55</v>
      </c>
      <c r="E2454" s="1" t="s">
        <v>17</v>
      </c>
      <c r="F2454" s="1">
        <f t="shared" si="76"/>
        <v>740</v>
      </c>
      <c r="G2454" s="5">
        <f t="shared" si="77"/>
        <v>0.90135135135135136</v>
      </c>
    </row>
    <row r="2455" spans="1:7" ht="13">
      <c r="A2455" s="4" t="s">
        <v>119</v>
      </c>
      <c r="B2455" s="1">
        <v>9</v>
      </c>
      <c r="C2455" s="1">
        <v>1016</v>
      </c>
      <c r="D2455" s="1" t="s">
        <v>11</v>
      </c>
      <c r="E2455" s="1" t="s">
        <v>16</v>
      </c>
      <c r="F2455" s="1">
        <f t="shared" si="76"/>
        <v>900</v>
      </c>
      <c r="G2455" s="5">
        <f t="shared" si="77"/>
        <v>1.1288888888888888</v>
      </c>
    </row>
    <row r="2456" spans="1:7" ht="13">
      <c r="A2456" s="4" t="s">
        <v>119</v>
      </c>
      <c r="B2456" s="1">
        <v>8</v>
      </c>
      <c r="C2456" s="1">
        <v>1000</v>
      </c>
      <c r="D2456" s="1" t="s">
        <v>11</v>
      </c>
      <c r="E2456" s="1" t="s">
        <v>20</v>
      </c>
      <c r="F2456" s="1">
        <f t="shared" si="76"/>
        <v>800</v>
      </c>
      <c r="G2456" s="5">
        <f t="shared" si="77"/>
        <v>1.25</v>
      </c>
    </row>
    <row r="2457" spans="1:7" ht="13">
      <c r="A2457" s="4" t="s">
        <v>119</v>
      </c>
      <c r="B2457" s="1">
        <v>5</v>
      </c>
      <c r="C2457" s="1">
        <v>543</v>
      </c>
      <c r="D2457" s="1" t="s">
        <v>67</v>
      </c>
      <c r="E2457" s="1" t="s">
        <v>8</v>
      </c>
      <c r="F2457" s="1">
        <f t="shared" si="76"/>
        <v>500</v>
      </c>
      <c r="G2457" s="5">
        <f t="shared" si="77"/>
        <v>1.0860000000000001</v>
      </c>
    </row>
    <row r="2458" spans="1:7" ht="13">
      <c r="A2458" s="4" t="s">
        <v>119</v>
      </c>
      <c r="B2458" s="1">
        <v>6</v>
      </c>
      <c r="C2458" s="1">
        <v>770</v>
      </c>
      <c r="D2458" s="1" t="s">
        <v>11</v>
      </c>
      <c r="E2458" s="1" t="s">
        <v>23</v>
      </c>
      <c r="F2458" s="1">
        <f t="shared" si="76"/>
        <v>600</v>
      </c>
      <c r="G2458" s="5">
        <f t="shared" si="77"/>
        <v>1.2833333333333334</v>
      </c>
    </row>
    <row r="2459" spans="1:7" ht="13">
      <c r="A2459" s="4" t="s">
        <v>119</v>
      </c>
      <c r="B2459" s="1">
        <v>6.3</v>
      </c>
      <c r="C2459" s="1">
        <v>694</v>
      </c>
      <c r="D2459" s="1" t="s">
        <v>11</v>
      </c>
      <c r="E2459" s="1" t="s">
        <v>12</v>
      </c>
      <c r="F2459" s="1">
        <f t="shared" si="76"/>
        <v>630</v>
      </c>
      <c r="G2459" s="5">
        <f t="shared" si="77"/>
        <v>1.1015873015873017</v>
      </c>
    </row>
    <row r="2460" spans="1:7" ht="13">
      <c r="A2460" s="4" t="s">
        <v>119</v>
      </c>
      <c r="B2460" s="1">
        <v>7.3</v>
      </c>
      <c r="C2460" s="1">
        <v>736</v>
      </c>
      <c r="D2460" s="1" t="s">
        <v>11</v>
      </c>
      <c r="E2460" s="1" t="s">
        <v>17</v>
      </c>
      <c r="F2460" s="1">
        <f t="shared" si="76"/>
        <v>730</v>
      </c>
      <c r="G2460" s="5">
        <f t="shared" si="77"/>
        <v>1.0082191780821919</v>
      </c>
    </row>
    <row r="2461" spans="1:7" ht="13">
      <c r="A2461" s="4" t="s">
        <v>119</v>
      </c>
      <c r="B2461" s="1">
        <v>12.04</v>
      </c>
      <c r="C2461" s="1">
        <v>1150</v>
      </c>
      <c r="D2461" s="1" t="s">
        <v>11</v>
      </c>
      <c r="E2461" s="1" t="s">
        <v>8</v>
      </c>
      <c r="F2461" s="1">
        <f t="shared" si="76"/>
        <v>1204</v>
      </c>
      <c r="G2461" s="5">
        <f t="shared" si="77"/>
        <v>0.95514950166112955</v>
      </c>
    </row>
    <row r="2462" spans="1:7" ht="13">
      <c r="A2462" s="4" t="s">
        <v>119</v>
      </c>
      <c r="B2462" s="1">
        <v>6.5250000000000004</v>
      </c>
      <c r="C2462" s="1">
        <v>653</v>
      </c>
      <c r="D2462" s="1" t="s">
        <v>43</v>
      </c>
      <c r="E2462" s="1" t="s">
        <v>22</v>
      </c>
      <c r="F2462" s="1">
        <f t="shared" si="76"/>
        <v>652.5</v>
      </c>
      <c r="G2462" s="5">
        <f t="shared" si="77"/>
        <v>1.0007662835249043</v>
      </c>
    </row>
    <row r="2463" spans="1:7" ht="13">
      <c r="A2463" s="4" t="s">
        <v>119</v>
      </c>
      <c r="B2463" s="1">
        <v>7.39</v>
      </c>
      <c r="C2463" s="1">
        <v>672</v>
      </c>
      <c r="D2463" s="1" t="s">
        <v>52</v>
      </c>
      <c r="E2463" s="1" t="s">
        <v>25</v>
      </c>
      <c r="F2463" s="1">
        <f t="shared" si="76"/>
        <v>739</v>
      </c>
      <c r="G2463" s="5">
        <f t="shared" si="77"/>
        <v>0.90933694181326119</v>
      </c>
    </row>
    <row r="2464" spans="1:7" ht="13">
      <c r="A2464" s="4" t="s">
        <v>119</v>
      </c>
      <c r="B2464" s="1">
        <v>56.4</v>
      </c>
      <c r="C2464" s="1">
        <v>545.70000000000005</v>
      </c>
      <c r="D2464" s="1" t="s">
        <v>35</v>
      </c>
      <c r="E2464" s="1" t="s">
        <v>18</v>
      </c>
      <c r="F2464" s="1">
        <f t="shared" ref="F2464:F2527" si="78">B2464*100</f>
        <v>5640</v>
      </c>
      <c r="G2464" s="5">
        <f t="shared" si="77"/>
        <v>9.6755319148936175E-2</v>
      </c>
    </row>
    <row r="2465" spans="1:7" ht="13">
      <c r="A2465" s="4" t="s">
        <v>119</v>
      </c>
      <c r="B2465" s="1">
        <v>8.5500000000000007</v>
      </c>
      <c r="C2465" s="1">
        <v>8128</v>
      </c>
      <c r="D2465" s="1" t="s">
        <v>11</v>
      </c>
      <c r="E2465" s="1" t="s">
        <v>8</v>
      </c>
      <c r="F2465" s="1">
        <f t="shared" si="78"/>
        <v>855.00000000000011</v>
      </c>
      <c r="G2465" s="5">
        <f t="shared" si="77"/>
        <v>9.5064327485380105</v>
      </c>
    </row>
    <row r="2466" spans="1:7" ht="13">
      <c r="A2466" s="4" t="s">
        <v>119</v>
      </c>
      <c r="B2466" s="1">
        <v>8.4</v>
      </c>
      <c r="C2466" s="1">
        <v>796</v>
      </c>
      <c r="D2466" s="1" t="s">
        <v>33</v>
      </c>
      <c r="E2466" s="1" t="s">
        <v>25</v>
      </c>
      <c r="F2466" s="1">
        <f t="shared" si="78"/>
        <v>840</v>
      </c>
      <c r="G2466" s="5">
        <f t="shared" si="77"/>
        <v>0.94761904761904758</v>
      </c>
    </row>
    <row r="2467" spans="1:7" ht="13">
      <c r="A2467" s="4" t="s">
        <v>119</v>
      </c>
      <c r="B2467" s="1">
        <v>4.3499999999999996</v>
      </c>
      <c r="C2467" s="1">
        <v>580</v>
      </c>
      <c r="D2467" s="1" t="s">
        <v>38</v>
      </c>
      <c r="E2467" s="1" t="s">
        <v>9</v>
      </c>
      <c r="F2467" s="1">
        <f t="shared" si="78"/>
        <v>434.99999999999994</v>
      </c>
      <c r="G2467" s="5">
        <f t="shared" si="77"/>
        <v>1.3333333333333335</v>
      </c>
    </row>
    <row r="2468" spans="1:7" ht="13">
      <c r="A2468" s="4" t="s">
        <v>119</v>
      </c>
      <c r="B2468" s="1">
        <v>9.4600000000000009</v>
      </c>
      <c r="C2468" s="1">
        <v>738</v>
      </c>
      <c r="D2468" s="1" t="s">
        <v>52</v>
      </c>
      <c r="E2468" s="1" t="s">
        <v>18</v>
      </c>
      <c r="F2468" s="1">
        <f t="shared" si="78"/>
        <v>946.00000000000011</v>
      </c>
      <c r="G2468" s="5">
        <f t="shared" si="77"/>
        <v>0.78012684989429171</v>
      </c>
    </row>
    <row r="2469" spans="1:7" ht="13">
      <c r="A2469" s="4" t="s">
        <v>119</v>
      </c>
      <c r="B2469" s="1">
        <v>7.74</v>
      </c>
      <c r="C2469" s="1">
        <v>721</v>
      </c>
      <c r="D2469" s="1" t="s">
        <v>42</v>
      </c>
      <c r="E2469" s="1" t="s">
        <v>49</v>
      </c>
      <c r="F2469" s="1">
        <f t="shared" si="78"/>
        <v>774</v>
      </c>
      <c r="G2469" s="5">
        <f t="shared" si="77"/>
        <v>0.9315245478036176</v>
      </c>
    </row>
    <row r="2470" spans="1:7" ht="13">
      <c r="A2470" s="4" t="s">
        <v>119</v>
      </c>
      <c r="B2470" s="1">
        <v>4.5999999999999996</v>
      </c>
      <c r="C2470" s="1">
        <v>503</v>
      </c>
      <c r="D2470" s="1" t="s">
        <v>11</v>
      </c>
      <c r="E2470" s="1" t="s">
        <v>9</v>
      </c>
      <c r="F2470" s="1">
        <f t="shared" si="78"/>
        <v>459.99999999999994</v>
      </c>
      <c r="G2470" s="5">
        <f t="shared" si="77"/>
        <v>1.0934782608695655</v>
      </c>
    </row>
    <row r="2471" spans="1:7" ht="13">
      <c r="A2471" s="4" t="s">
        <v>119</v>
      </c>
      <c r="B2471" s="1">
        <v>9</v>
      </c>
      <c r="C2471" s="1">
        <v>840</v>
      </c>
      <c r="D2471" s="1" t="s">
        <v>33</v>
      </c>
      <c r="E2471" s="1" t="s">
        <v>30</v>
      </c>
      <c r="F2471" s="1">
        <f t="shared" si="78"/>
        <v>900</v>
      </c>
      <c r="G2471" s="5">
        <f t="shared" si="77"/>
        <v>0.93333333333333335</v>
      </c>
    </row>
    <row r="2472" spans="1:7" ht="13">
      <c r="A2472" s="4" t="s">
        <v>119</v>
      </c>
      <c r="B2472" s="1">
        <v>8.75</v>
      </c>
      <c r="C2472" s="1">
        <v>884</v>
      </c>
      <c r="D2472" s="1" t="s">
        <v>47</v>
      </c>
      <c r="E2472" s="1" t="s">
        <v>31</v>
      </c>
      <c r="F2472" s="1">
        <f t="shared" si="78"/>
        <v>875</v>
      </c>
      <c r="G2472" s="5">
        <f t="shared" si="77"/>
        <v>1.0102857142857142</v>
      </c>
    </row>
    <row r="2473" spans="1:7" ht="13">
      <c r="A2473" s="4" t="s">
        <v>119</v>
      </c>
      <c r="B2473" s="1">
        <v>6.88</v>
      </c>
      <c r="C2473" s="1">
        <v>625</v>
      </c>
      <c r="D2473" s="1" t="s">
        <v>45</v>
      </c>
      <c r="E2473" s="1" t="s">
        <v>10</v>
      </c>
      <c r="F2473" s="1">
        <f t="shared" si="78"/>
        <v>688</v>
      </c>
      <c r="G2473" s="5">
        <f t="shared" si="77"/>
        <v>0.90843023255813948</v>
      </c>
    </row>
    <row r="2474" spans="1:7" ht="13">
      <c r="A2474" s="4" t="s">
        <v>119</v>
      </c>
      <c r="B2474" s="1">
        <v>5.4</v>
      </c>
      <c r="C2474" s="1">
        <v>500</v>
      </c>
      <c r="D2474" s="1" t="s">
        <v>33</v>
      </c>
      <c r="E2474" s="1" t="s">
        <v>22</v>
      </c>
      <c r="F2474" s="1">
        <f t="shared" si="78"/>
        <v>540</v>
      </c>
      <c r="G2474" s="5">
        <f t="shared" si="77"/>
        <v>0.92592592592592593</v>
      </c>
    </row>
    <row r="2475" spans="1:7" ht="13">
      <c r="A2475" s="4" t="s">
        <v>119</v>
      </c>
      <c r="B2475" s="1">
        <v>5.22</v>
      </c>
      <c r="C2475" s="1">
        <v>450</v>
      </c>
      <c r="D2475" s="1" t="s">
        <v>80</v>
      </c>
      <c r="E2475" s="1" t="s">
        <v>8</v>
      </c>
      <c r="F2475" s="1">
        <f t="shared" si="78"/>
        <v>522</v>
      </c>
      <c r="G2475" s="5">
        <f t="shared" si="77"/>
        <v>0.86206896551724133</v>
      </c>
    </row>
    <row r="2476" spans="1:7" ht="13">
      <c r="A2476" s="4" t="s">
        <v>119</v>
      </c>
      <c r="B2476" s="1">
        <v>5.4</v>
      </c>
      <c r="C2476" s="1">
        <v>544</v>
      </c>
      <c r="D2476" s="1" t="s">
        <v>35</v>
      </c>
      <c r="E2476" s="1" t="s">
        <v>8</v>
      </c>
      <c r="F2476" s="1">
        <f t="shared" si="78"/>
        <v>540</v>
      </c>
      <c r="G2476" s="5">
        <f t="shared" si="77"/>
        <v>1.0074074074074073</v>
      </c>
    </row>
    <row r="2477" spans="1:7" ht="13">
      <c r="A2477" s="4" t="s">
        <v>119</v>
      </c>
      <c r="B2477" s="1">
        <v>4.7300000000000004</v>
      </c>
      <c r="C2477" s="1">
        <v>440</v>
      </c>
      <c r="D2477" s="1" t="s">
        <v>11</v>
      </c>
      <c r="E2477" s="1" t="s">
        <v>22</v>
      </c>
      <c r="F2477" s="1">
        <f t="shared" si="78"/>
        <v>473.00000000000006</v>
      </c>
      <c r="G2477" s="5">
        <f t="shared" si="77"/>
        <v>0.93023255813953476</v>
      </c>
    </row>
    <row r="2478" spans="1:7" ht="13">
      <c r="A2478" s="4" t="s">
        <v>119</v>
      </c>
      <c r="B2478" s="1">
        <v>5</v>
      </c>
      <c r="C2478" s="1">
        <v>624</v>
      </c>
      <c r="D2478" s="1" t="s">
        <v>11</v>
      </c>
      <c r="E2478" s="1" t="s">
        <v>15</v>
      </c>
      <c r="F2478" s="1">
        <f t="shared" si="78"/>
        <v>500</v>
      </c>
      <c r="G2478" s="5">
        <f t="shared" si="77"/>
        <v>1.248</v>
      </c>
    </row>
    <row r="2479" spans="1:7" ht="13">
      <c r="A2479" s="4" t="s">
        <v>119</v>
      </c>
      <c r="B2479" s="1">
        <v>4.5</v>
      </c>
      <c r="C2479" s="1">
        <v>417</v>
      </c>
      <c r="D2479" s="1" t="s">
        <v>11</v>
      </c>
      <c r="E2479" s="1" t="s">
        <v>16</v>
      </c>
      <c r="F2479" s="1">
        <f t="shared" si="78"/>
        <v>450</v>
      </c>
      <c r="G2479" s="5">
        <f t="shared" si="77"/>
        <v>0.92666666666666664</v>
      </c>
    </row>
    <row r="2480" spans="1:7" ht="13">
      <c r="A2480" s="4" t="s">
        <v>119</v>
      </c>
      <c r="B2480" s="1">
        <v>3.4</v>
      </c>
      <c r="C2480" s="1">
        <v>401.5</v>
      </c>
      <c r="D2480" s="1" t="s">
        <v>43</v>
      </c>
      <c r="E2480" s="1" t="s">
        <v>22</v>
      </c>
      <c r="F2480" s="1">
        <f t="shared" si="78"/>
        <v>340</v>
      </c>
      <c r="G2480" s="5">
        <f t="shared" si="77"/>
        <v>1.1808823529411765</v>
      </c>
    </row>
    <row r="2481" spans="1:9" ht="13">
      <c r="A2481" s="4" t="s">
        <v>119</v>
      </c>
      <c r="B2481" s="1">
        <v>4.0999999999999996</v>
      </c>
      <c r="C2481" s="1">
        <v>483</v>
      </c>
      <c r="D2481" s="1" t="s">
        <v>38</v>
      </c>
      <c r="E2481" s="1" t="s">
        <v>16</v>
      </c>
      <c r="F2481" s="1">
        <f t="shared" si="78"/>
        <v>409.99999999999994</v>
      </c>
      <c r="G2481" s="5">
        <f t="shared" si="77"/>
        <v>1.178048780487805</v>
      </c>
    </row>
    <row r="2482" spans="1:9" ht="13">
      <c r="A2482" s="4" t="s">
        <v>119</v>
      </c>
      <c r="B2482" s="1">
        <v>3.68</v>
      </c>
      <c r="C2482" s="1">
        <v>480</v>
      </c>
      <c r="D2482" s="1" t="s">
        <v>11</v>
      </c>
      <c r="E2482" s="1" t="s">
        <v>26</v>
      </c>
      <c r="F2482" s="1">
        <f t="shared" si="78"/>
        <v>368</v>
      </c>
      <c r="G2482" s="5">
        <f t="shared" si="77"/>
        <v>1.3043478260869565</v>
      </c>
    </row>
    <row r="2483" spans="1:9" ht="13">
      <c r="A2483" s="4" t="s">
        <v>119</v>
      </c>
      <c r="B2483" s="1">
        <v>7.92</v>
      </c>
      <c r="C2483" s="1">
        <v>774</v>
      </c>
      <c r="D2483" s="1" t="s">
        <v>53</v>
      </c>
      <c r="E2483" s="1" t="s">
        <v>16</v>
      </c>
      <c r="F2483" s="1">
        <f t="shared" si="78"/>
        <v>792</v>
      </c>
      <c r="G2483" s="5">
        <f t="shared" si="77"/>
        <v>0.97727272727272729</v>
      </c>
    </row>
    <row r="2484" spans="1:9" ht="13">
      <c r="A2484" s="4" t="s">
        <v>119</v>
      </c>
      <c r="B2484" s="1">
        <v>7.9</v>
      </c>
      <c r="C2484" s="1">
        <v>790</v>
      </c>
      <c r="D2484" s="1" t="s">
        <v>11</v>
      </c>
      <c r="E2484" s="1" t="s">
        <v>27</v>
      </c>
      <c r="F2484" s="1">
        <f t="shared" si="78"/>
        <v>790</v>
      </c>
      <c r="G2484" s="5">
        <f t="shared" si="77"/>
        <v>1</v>
      </c>
    </row>
    <row r="2485" spans="1:9" ht="13">
      <c r="A2485" s="4" t="s">
        <v>119</v>
      </c>
      <c r="B2485" s="1">
        <v>5.16</v>
      </c>
      <c r="C2485" s="1">
        <v>553</v>
      </c>
      <c r="D2485" s="1" t="s">
        <v>48</v>
      </c>
      <c r="E2485" s="1" t="s">
        <v>30</v>
      </c>
      <c r="F2485" s="1">
        <f t="shared" si="78"/>
        <v>516</v>
      </c>
      <c r="G2485" s="5">
        <f t="shared" si="77"/>
        <v>1.0717054263565891</v>
      </c>
    </row>
    <row r="2486" spans="1:9" ht="13">
      <c r="A2486" s="4" t="s">
        <v>119</v>
      </c>
      <c r="B2486" s="1">
        <v>4.9000000000000004</v>
      </c>
      <c r="C2486" s="1">
        <v>553</v>
      </c>
      <c r="D2486" s="1" t="s">
        <v>48</v>
      </c>
      <c r="E2486" s="1" t="s">
        <v>15</v>
      </c>
      <c r="F2486" s="1">
        <f t="shared" si="78"/>
        <v>490.00000000000006</v>
      </c>
      <c r="G2486" s="5">
        <f t="shared" si="77"/>
        <v>1.1285714285714283</v>
      </c>
    </row>
    <row r="2487" spans="1:9" ht="13">
      <c r="A2487" s="4" t="s">
        <v>119</v>
      </c>
      <c r="B2487" s="1">
        <v>5.9</v>
      </c>
      <c r="C2487" s="1">
        <v>651</v>
      </c>
      <c r="D2487" s="1" t="s">
        <v>11</v>
      </c>
      <c r="E2487" s="1" t="s">
        <v>68</v>
      </c>
      <c r="F2487" s="1">
        <f t="shared" si="78"/>
        <v>590</v>
      </c>
      <c r="G2487" s="5">
        <f t="shared" si="77"/>
        <v>1.1033898305084746</v>
      </c>
    </row>
    <row r="2488" spans="1:9" ht="17">
      <c r="A2488" s="4" t="s">
        <v>119</v>
      </c>
      <c r="B2488" s="1">
        <v>4.62</v>
      </c>
      <c r="C2488" s="1">
        <v>495</v>
      </c>
      <c r="D2488" s="1" t="s">
        <v>11</v>
      </c>
      <c r="E2488" s="1" t="s">
        <v>15</v>
      </c>
      <c r="F2488" s="1">
        <f t="shared" si="78"/>
        <v>462</v>
      </c>
      <c r="G2488" s="5">
        <f t="shared" si="77"/>
        <v>1.0714285714285714</v>
      </c>
      <c r="I2488" s="6"/>
    </row>
    <row r="2489" spans="1:9" ht="13">
      <c r="A2489" s="4" t="s">
        <v>119</v>
      </c>
      <c r="B2489" s="1">
        <v>6.7</v>
      </c>
      <c r="C2489" s="1">
        <v>720</v>
      </c>
      <c r="D2489" s="1" t="s">
        <v>11</v>
      </c>
      <c r="E2489" s="1" t="s">
        <v>16</v>
      </c>
      <c r="F2489" s="1">
        <f t="shared" si="78"/>
        <v>670</v>
      </c>
      <c r="G2489" s="5">
        <f t="shared" si="77"/>
        <v>1.0746268656716418</v>
      </c>
    </row>
    <row r="2490" spans="1:9" ht="13">
      <c r="A2490" s="4" t="s">
        <v>119</v>
      </c>
      <c r="B2490" s="1">
        <v>7.39</v>
      </c>
      <c r="C2490" s="1">
        <v>717</v>
      </c>
      <c r="D2490" s="1" t="s">
        <v>39</v>
      </c>
      <c r="E2490" s="1" t="s">
        <v>21</v>
      </c>
      <c r="F2490" s="1">
        <f t="shared" si="78"/>
        <v>739</v>
      </c>
      <c r="G2490" s="5">
        <f t="shared" si="77"/>
        <v>0.97023004059539919</v>
      </c>
    </row>
    <row r="2491" spans="1:9" ht="13">
      <c r="A2491" s="4" t="s">
        <v>119</v>
      </c>
      <c r="B2491" s="1">
        <v>6.6</v>
      </c>
      <c r="C2491" s="1">
        <v>701</v>
      </c>
      <c r="D2491" s="1" t="s">
        <v>53</v>
      </c>
      <c r="E2491" s="1" t="s">
        <v>17</v>
      </c>
      <c r="F2491" s="1">
        <f t="shared" si="78"/>
        <v>660</v>
      </c>
      <c r="G2491" s="5">
        <f t="shared" si="77"/>
        <v>1.062121212121212</v>
      </c>
    </row>
    <row r="2492" spans="1:9" ht="13">
      <c r="A2492" s="4" t="s">
        <v>119</v>
      </c>
      <c r="B2492" s="1">
        <v>4.78</v>
      </c>
      <c r="C2492" s="1">
        <v>526</v>
      </c>
      <c r="D2492" s="1" t="s">
        <v>39</v>
      </c>
      <c r="E2492" s="1" t="s">
        <v>9</v>
      </c>
      <c r="F2492" s="1">
        <f t="shared" si="78"/>
        <v>478</v>
      </c>
      <c r="G2492" s="5">
        <f t="shared" si="77"/>
        <v>1.100418410041841</v>
      </c>
    </row>
    <row r="2493" spans="1:9" ht="13">
      <c r="A2493" s="4" t="s">
        <v>119</v>
      </c>
      <c r="B2493" s="1">
        <v>6.96</v>
      </c>
      <c r="C2493" s="1">
        <v>734</v>
      </c>
      <c r="D2493" s="1" t="s">
        <v>38</v>
      </c>
      <c r="E2493" s="1" t="s">
        <v>16</v>
      </c>
      <c r="F2493" s="1">
        <f t="shared" si="78"/>
        <v>696</v>
      </c>
      <c r="G2493" s="5">
        <f t="shared" si="77"/>
        <v>1.0545977011494252</v>
      </c>
    </row>
    <row r="2494" spans="1:9" ht="13">
      <c r="A2494" s="4" t="s">
        <v>119</v>
      </c>
      <c r="B2494" s="1">
        <v>5</v>
      </c>
      <c r="C2494" s="1">
        <v>652</v>
      </c>
      <c r="D2494" s="1" t="s">
        <v>43</v>
      </c>
      <c r="E2494" s="1" t="s">
        <v>15</v>
      </c>
      <c r="F2494" s="1">
        <f t="shared" si="78"/>
        <v>500</v>
      </c>
      <c r="G2494" s="5">
        <f t="shared" si="77"/>
        <v>1.304</v>
      </c>
    </row>
    <row r="2495" spans="1:9" ht="13">
      <c r="A2495" s="4" t="s">
        <v>119</v>
      </c>
      <c r="B2495" s="1">
        <v>5.25</v>
      </c>
      <c r="C2495" s="1">
        <v>595</v>
      </c>
      <c r="D2495" s="1" t="s">
        <v>11</v>
      </c>
      <c r="E2495" s="1" t="s">
        <v>16</v>
      </c>
      <c r="F2495" s="1">
        <f t="shared" si="78"/>
        <v>525</v>
      </c>
      <c r="G2495" s="5">
        <f t="shared" si="77"/>
        <v>1.1333333333333333</v>
      </c>
    </row>
    <row r="2496" spans="1:9" ht="13">
      <c r="A2496" s="4" t="s">
        <v>119</v>
      </c>
      <c r="B2496" s="1">
        <v>7.74</v>
      </c>
      <c r="C2496" s="1">
        <v>852</v>
      </c>
      <c r="D2496" s="1" t="s">
        <v>11</v>
      </c>
      <c r="E2496" s="1" t="s">
        <v>29</v>
      </c>
      <c r="F2496" s="1">
        <f t="shared" si="78"/>
        <v>774</v>
      </c>
      <c r="G2496" s="5">
        <f t="shared" si="77"/>
        <v>1.1007751937984496</v>
      </c>
    </row>
    <row r="2497" spans="1:7" ht="13">
      <c r="A2497" s="4" t="s">
        <v>119</v>
      </c>
      <c r="B2497" s="1">
        <v>7.3</v>
      </c>
      <c r="C2497" s="1">
        <v>628</v>
      </c>
      <c r="D2497" s="1" t="s">
        <v>55</v>
      </c>
      <c r="E2497" s="1" t="s">
        <v>31</v>
      </c>
      <c r="F2497" s="1">
        <f t="shared" si="78"/>
        <v>730</v>
      </c>
      <c r="G2497" s="5">
        <f t="shared" si="77"/>
        <v>0.86027397260273974</v>
      </c>
    </row>
    <row r="2498" spans="1:7" ht="13">
      <c r="A2498" s="4" t="s">
        <v>119</v>
      </c>
      <c r="B2498" s="1">
        <v>6.72</v>
      </c>
      <c r="C2498" s="1">
        <v>789</v>
      </c>
      <c r="D2498" s="1" t="s">
        <v>11</v>
      </c>
      <c r="E2498" s="1" t="s">
        <v>15</v>
      </c>
      <c r="F2498" s="1">
        <f t="shared" si="78"/>
        <v>672</v>
      </c>
      <c r="G2498" s="5">
        <f t="shared" ref="G2498:G2561" si="79">C2498/F2498</f>
        <v>1.1741071428571428</v>
      </c>
    </row>
    <row r="2499" spans="1:7" ht="13">
      <c r="A2499" s="4" t="s">
        <v>119</v>
      </c>
      <c r="B2499" s="1">
        <v>6.1</v>
      </c>
      <c r="C2499" s="1">
        <v>621</v>
      </c>
      <c r="D2499" s="1" t="s">
        <v>11</v>
      </c>
      <c r="E2499" s="1" t="s">
        <v>17</v>
      </c>
      <c r="F2499" s="1">
        <f t="shared" si="78"/>
        <v>610</v>
      </c>
      <c r="G2499" s="5">
        <f t="shared" si="79"/>
        <v>1.0180327868852459</v>
      </c>
    </row>
    <row r="2500" spans="1:7" ht="13">
      <c r="A2500" s="4" t="s">
        <v>119</v>
      </c>
      <c r="B2500" s="1">
        <v>4.5</v>
      </c>
      <c r="C2500" s="1">
        <v>431.5</v>
      </c>
      <c r="D2500" s="1" t="s">
        <v>33</v>
      </c>
      <c r="E2500" s="1" t="s">
        <v>17</v>
      </c>
      <c r="F2500" s="1">
        <f t="shared" si="78"/>
        <v>450</v>
      </c>
      <c r="G2500" s="5">
        <f t="shared" si="79"/>
        <v>0.9588888888888889</v>
      </c>
    </row>
    <row r="2501" spans="1:7" ht="13">
      <c r="A2501" s="4" t="s">
        <v>119</v>
      </c>
      <c r="B2501" s="1">
        <v>9.35</v>
      </c>
      <c r="C2501" s="1">
        <v>739</v>
      </c>
      <c r="D2501" s="1" t="s">
        <v>33</v>
      </c>
      <c r="E2501" s="1" t="s">
        <v>18</v>
      </c>
      <c r="F2501" s="1">
        <f t="shared" si="78"/>
        <v>935</v>
      </c>
      <c r="G2501" s="5">
        <f t="shared" si="79"/>
        <v>0.79037433155080217</v>
      </c>
    </row>
    <row r="2502" spans="1:7" ht="13">
      <c r="A2502" s="4" t="s">
        <v>119</v>
      </c>
      <c r="B2502" s="1">
        <v>7.56</v>
      </c>
      <c r="C2502" s="1">
        <v>843</v>
      </c>
      <c r="D2502" s="1" t="s">
        <v>11</v>
      </c>
      <c r="E2502" s="1" t="s">
        <v>7</v>
      </c>
      <c r="F2502" s="1">
        <f t="shared" si="78"/>
        <v>756</v>
      </c>
      <c r="G2502" s="5">
        <f t="shared" si="79"/>
        <v>1.1150793650793651</v>
      </c>
    </row>
    <row r="2503" spans="1:7" ht="13">
      <c r="A2503" s="4" t="s">
        <v>119</v>
      </c>
      <c r="B2503" s="1">
        <v>6.88</v>
      </c>
      <c r="C2503" s="1">
        <v>668.17</v>
      </c>
      <c r="D2503" s="1" t="s">
        <v>33</v>
      </c>
      <c r="E2503" s="1" t="s">
        <v>20</v>
      </c>
      <c r="F2503" s="1">
        <f t="shared" si="78"/>
        <v>688</v>
      </c>
      <c r="G2503" s="5">
        <f t="shared" si="79"/>
        <v>0.97117732558139525</v>
      </c>
    </row>
    <row r="2504" spans="1:7" ht="13">
      <c r="A2504" s="4" t="s">
        <v>119</v>
      </c>
      <c r="B2504" s="1">
        <v>9.6</v>
      </c>
      <c r="C2504" s="1">
        <v>905.29</v>
      </c>
      <c r="D2504" s="1" t="s">
        <v>11</v>
      </c>
      <c r="E2504" s="1" t="s">
        <v>21</v>
      </c>
      <c r="F2504" s="1">
        <f t="shared" si="78"/>
        <v>960</v>
      </c>
      <c r="G2504" s="5">
        <f t="shared" si="79"/>
        <v>0.94301041666666663</v>
      </c>
    </row>
    <row r="2505" spans="1:7" ht="13">
      <c r="A2505" s="4" t="s">
        <v>119</v>
      </c>
      <c r="B2505" s="1">
        <v>6.72</v>
      </c>
      <c r="C2505" s="1">
        <v>563</v>
      </c>
      <c r="D2505" s="1" t="s">
        <v>11</v>
      </c>
      <c r="E2505" s="1" t="s">
        <v>25</v>
      </c>
      <c r="F2505" s="1">
        <f t="shared" si="78"/>
        <v>672</v>
      </c>
      <c r="G2505" s="5">
        <f t="shared" si="79"/>
        <v>0.83779761904761907</v>
      </c>
    </row>
    <row r="2506" spans="1:7" ht="13">
      <c r="A2506" s="4" t="s">
        <v>119</v>
      </c>
      <c r="B2506" s="1">
        <v>3.44</v>
      </c>
      <c r="C2506" s="1">
        <v>378</v>
      </c>
      <c r="D2506" s="1" t="s">
        <v>11</v>
      </c>
      <c r="E2506" s="1" t="s">
        <v>9</v>
      </c>
      <c r="F2506" s="1">
        <f t="shared" si="78"/>
        <v>344</v>
      </c>
      <c r="G2506" s="5">
        <f t="shared" si="79"/>
        <v>1.0988372093023255</v>
      </c>
    </row>
    <row r="2507" spans="1:7" ht="13">
      <c r="A2507" s="4" t="s">
        <v>119</v>
      </c>
      <c r="B2507" s="1">
        <v>7.8</v>
      </c>
      <c r="C2507" s="1">
        <v>801</v>
      </c>
      <c r="D2507" s="1" t="s">
        <v>11</v>
      </c>
      <c r="E2507" s="1" t="s">
        <v>30</v>
      </c>
      <c r="F2507" s="1">
        <f t="shared" si="78"/>
        <v>780</v>
      </c>
      <c r="G2507" s="5">
        <f t="shared" si="79"/>
        <v>1.0269230769230768</v>
      </c>
    </row>
    <row r="2508" spans="1:7" ht="13">
      <c r="A2508" s="4" t="s">
        <v>119</v>
      </c>
      <c r="B2508" s="1">
        <v>6.8</v>
      </c>
      <c r="C2508" s="1">
        <v>799</v>
      </c>
      <c r="D2508" s="1" t="s">
        <v>11</v>
      </c>
      <c r="E2508" s="1" t="s">
        <v>23</v>
      </c>
      <c r="F2508" s="1">
        <f t="shared" si="78"/>
        <v>680</v>
      </c>
      <c r="G2508" s="5">
        <f t="shared" si="79"/>
        <v>1.175</v>
      </c>
    </row>
    <row r="2509" spans="1:7" ht="13">
      <c r="A2509" s="4" t="s">
        <v>119</v>
      </c>
      <c r="B2509" s="1">
        <v>5.12</v>
      </c>
      <c r="C2509" s="1">
        <v>546</v>
      </c>
      <c r="D2509" s="1" t="s">
        <v>11</v>
      </c>
      <c r="E2509" s="1" t="s">
        <v>16</v>
      </c>
      <c r="F2509" s="1">
        <f t="shared" si="78"/>
        <v>512</v>
      </c>
      <c r="G2509" s="5">
        <f t="shared" si="79"/>
        <v>1.06640625</v>
      </c>
    </row>
    <row r="2510" spans="1:7" ht="13">
      <c r="A2510" s="4" t="s">
        <v>119</v>
      </c>
      <c r="B2510" s="1">
        <v>7.74</v>
      </c>
      <c r="C2510" s="1">
        <v>768</v>
      </c>
      <c r="D2510" s="1" t="s">
        <v>33</v>
      </c>
      <c r="E2510" s="1" t="s">
        <v>16</v>
      </c>
      <c r="F2510" s="1">
        <f t="shared" si="78"/>
        <v>774</v>
      </c>
      <c r="G2510" s="5">
        <f t="shared" si="79"/>
        <v>0.99224806201550386</v>
      </c>
    </row>
    <row r="2511" spans="1:7" ht="13">
      <c r="A2511" s="4" t="s">
        <v>119</v>
      </c>
      <c r="B2511" s="1">
        <v>18.3</v>
      </c>
      <c r="C2511" s="1">
        <v>590</v>
      </c>
      <c r="D2511" s="1" t="s">
        <v>44</v>
      </c>
      <c r="E2511" s="1" t="s">
        <v>22</v>
      </c>
      <c r="F2511" s="1">
        <f t="shared" si="78"/>
        <v>1830</v>
      </c>
      <c r="G2511" s="5">
        <f t="shared" si="79"/>
        <v>0.32240437158469948</v>
      </c>
    </row>
    <row r="2512" spans="1:7" ht="13">
      <c r="A2512" s="4" t="s">
        <v>119</v>
      </c>
      <c r="B2512" s="1">
        <v>6</v>
      </c>
      <c r="C2512" s="1">
        <v>26</v>
      </c>
      <c r="D2512" s="1" t="s">
        <v>43</v>
      </c>
      <c r="E2512" s="1" t="s">
        <v>49</v>
      </c>
      <c r="F2512" s="1">
        <f t="shared" si="78"/>
        <v>600</v>
      </c>
      <c r="G2512" s="5">
        <f t="shared" si="79"/>
        <v>4.3333333333333335E-2</v>
      </c>
    </row>
    <row r="2513" spans="1:7" ht="13">
      <c r="A2513" s="4" t="s">
        <v>119</v>
      </c>
      <c r="B2513" s="1">
        <v>8.6999999999999993</v>
      </c>
      <c r="C2513" s="1">
        <v>874</v>
      </c>
      <c r="D2513" s="1" t="s">
        <v>45</v>
      </c>
      <c r="E2513" s="1" t="s">
        <v>20</v>
      </c>
      <c r="F2513" s="1">
        <f t="shared" si="78"/>
        <v>869.99999999999989</v>
      </c>
      <c r="G2513" s="5">
        <f t="shared" si="79"/>
        <v>1.0045977011494254</v>
      </c>
    </row>
    <row r="2514" spans="1:7" ht="13">
      <c r="A2514" s="4" t="s">
        <v>119</v>
      </c>
      <c r="B2514" s="1">
        <v>6.09</v>
      </c>
      <c r="C2514" s="1">
        <v>665</v>
      </c>
      <c r="D2514" s="1" t="s">
        <v>44</v>
      </c>
      <c r="E2514" s="1" t="s">
        <v>20</v>
      </c>
      <c r="F2514" s="1">
        <f t="shared" si="78"/>
        <v>609</v>
      </c>
      <c r="G2514" s="5">
        <f t="shared" si="79"/>
        <v>1.0919540229885059</v>
      </c>
    </row>
    <row r="2515" spans="1:7" ht="13">
      <c r="A2515" s="4" t="s">
        <v>119</v>
      </c>
      <c r="B2515" s="1">
        <v>6.5</v>
      </c>
      <c r="C2515" s="1">
        <v>623</v>
      </c>
      <c r="D2515" s="1" t="s">
        <v>45</v>
      </c>
      <c r="E2515" s="1" t="s">
        <v>20</v>
      </c>
      <c r="F2515" s="1">
        <f t="shared" si="78"/>
        <v>650</v>
      </c>
      <c r="G2515" s="5">
        <f t="shared" si="79"/>
        <v>0.95846153846153848</v>
      </c>
    </row>
    <row r="2516" spans="1:7" ht="13">
      <c r="A2516" s="4" t="s">
        <v>119</v>
      </c>
      <c r="B2516" s="1">
        <v>20</v>
      </c>
      <c r="C2516" s="1">
        <v>1690</v>
      </c>
      <c r="D2516" s="1" t="s">
        <v>33</v>
      </c>
      <c r="E2516" s="1" t="s">
        <v>20</v>
      </c>
      <c r="F2516" s="1">
        <f t="shared" si="78"/>
        <v>2000</v>
      </c>
      <c r="G2516" s="5">
        <f t="shared" si="79"/>
        <v>0.84499999999999997</v>
      </c>
    </row>
    <row r="2517" spans="1:7" ht="13">
      <c r="A2517" s="4" t="s">
        <v>119</v>
      </c>
      <c r="B2517" s="1">
        <v>3</v>
      </c>
      <c r="C2517" s="1">
        <v>328</v>
      </c>
      <c r="D2517" s="1" t="s">
        <v>11</v>
      </c>
      <c r="E2517" s="1" t="s">
        <v>15</v>
      </c>
      <c r="F2517" s="1">
        <f t="shared" si="78"/>
        <v>300</v>
      </c>
      <c r="G2517" s="5">
        <f t="shared" si="79"/>
        <v>1.0933333333333333</v>
      </c>
    </row>
    <row r="2518" spans="1:7" ht="13">
      <c r="A2518" s="4" t="s">
        <v>119</v>
      </c>
      <c r="B2518" s="1">
        <v>6.1</v>
      </c>
      <c r="C2518" s="1">
        <v>588</v>
      </c>
      <c r="D2518" s="1" t="s">
        <v>48</v>
      </c>
      <c r="E2518" s="1" t="s">
        <v>23</v>
      </c>
      <c r="F2518" s="1">
        <f t="shared" si="78"/>
        <v>610</v>
      </c>
      <c r="G2518" s="5">
        <f t="shared" si="79"/>
        <v>0.9639344262295082</v>
      </c>
    </row>
    <row r="2519" spans="1:7" ht="13">
      <c r="A2519" s="4" t="s">
        <v>119</v>
      </c>
      <c r="B2519" s="1">
        <v>6.8</v>
      </c>
      <c r="C2519" s="1">
        <v>776</v>
      </c>
      <c r="D2519" s="1" t="s">
        <v>44</v>
      </c>
      <c r="E2519" s="1" t="s">
        <v>26</v>
      </c>
      <c r="F2519" s="1">
        <f t="shared" si="78"/>
        <v>680</v>
      </c>
      <c r="G2519" s="5">
        <f t="shared" si="79"/>
        <v>1.1411764705882352</v>
      </c>
    </row>
    <row r="2520" spans="1:7" ht="13">
      <c r="A2520" s="4" t="s">
        <v>119</v>
      </c>
      <c r="B2520" s="1">
        <v>7.56</v>
      </c>
      <c r="C2520" s="1">
        <v>924</v>
      </c>
      <c r="D2520" s="1" t="s">
        <v>11</v>
      </c>
      <c r="E2520" s="1" t="s">
        <v>9</v>
      </c>
      <c r="F2520" s="1">
        <f t="shared" si="78"/>
        <v>756</v>
      </c>
      <c r="G2520" s="5">
        <f t="shared" si="79"/>
        <v>1.2222222222222223</v>
      </c>
    </row>
    <row r="2521" spans="1:7" ht="13">
      <c r="A2521" s="4" t="s">
        <v>119</v>
      </c>
      <c r="B2521" s="1">
        <v>6.88</v>
      </c>
      <c r="C2521" s="1">
        <v>722</v>
      </c>
      <c r="D2521" s="1" t="s">
        <v>11</v>
      </c>
      <c r="E2521" s="1" t="s">
        <v>25</v>
      </c>
      <c r="F2521" s="1">
        <f t="shared" si="78"/>
        <v>688</v>
      </c>
      <c r="G2521" s="5">
        <f t="shared" si="79"/>
        <v>1.0494186046511629</v>
      </c>
    </row>
    <row r="2522" spans="1:7" ht="13">
      <c r="A2522" s="4" t="s">
        <v>119</v>
      </c>
      <c r="B2522" s="1">
        <v>5.6</v>
      </c>
      <c r="C2522" s="1">
        <v>874</v>
      </c>
      <c r="D2522" s="1" t="s">
        <v>11</v>
      </c>
      <c r="E2522" s="1" t="s">
        <v>24</v>
      </c>
      <c r="F2522" s="1">
        <f t="shared" si="78"/>
        <v>560</v>
      </c>
      <c r="G2522" s="5">
        <f t="shared" si="79"/>
        <v>1.5607142857142857</v>
      </c>
    </row>
    <row r="2523" spans="1:7" ht="13">
      <c r="A2523" s="4" t="s">
        <v>119</v>
      </c>
      <c r="B2523" s="1">
        <v>6</v>
      </c>
      <c r="C2523" s="1">
        <v>640</v>
      </c>
      <c r="D2523" s="1" t="s">
        <v>55</v>
      </c>
      <c r="E2523" s="1" t="s">
        <v>15</v>
      </c>
      <c r="F2523" s="1">
        <f t="shared" si="78"/>
        <v>600</v>
      </c>
      <c r="G2523" s="5">
        <f t="shared" si="79"/>
        <v>1.0666666666666667</v>
      </c>
    </row>
    <row r="2524" spans="1:7" ht="13">
      <c r="A2524" s="4" t="s">
        <v>119</v>
      </c>
      <c r="B2524" s="1">
        <v>6.8</v>
      </c>
      <c r="C2524" s="1">
        <v>753</v>
      </c>
      <c r="D2524" s="1" t="s">
        <v>11</v>
      </c>
      <c r="E2524" s="1" t="s">
        <v>26</v>
      </c>
      <c r="F2524" s="1">
        <f t="shared" si="78"/>
        <v>680</v>
      </c>
      <c r="G2524" s="5">
        <f t="shared" si="79"/>
        <v>1.1073529411764707</v>
      </c>
    </row>
    <row r="2525" spans="1:7" ht="13">
      <c r="A2525" s="4" t="s">
        <v>119</v>
      </c>
      <c r="B2525" s="1">
        <v>4.3</v>
      </c>
      <c r="C2525" s="1">
        <v>450</v>
      </c>
      <c r="D2525" s="1" t="s">
        <v>11</v>
      </c>
      <c r="E2525" s="1" t="s">
        <v>15</v>
      </c>
      <c r="F2525" s="1">
        <f t="shared" si="78"/>
        <v>430</v>
      </c>
      <c r="G2525" s="5">
        <f t="shared" si="79"/>
        <v>1.0465116279069768</v>
      </c>
    </row>
    <row r="2526" spans="1:7" ht="13">
      <c r="A2526" s="4" t="s">
        <v>119</v>
      </c>
      <c r="B2526" s="1">
        <v>7.2</v>
      </c>
      <c r="C2526" s="1">
        <v>736</v>
      </c>
      <c r="D2526" s="1" t="s">
        <v>11</v>
      </c>
      <c r="E2526" s="1" t="s">
        <v>10</v>
      </c>
      <c r="F2526" s="1">
        <f t="shared" si="78"/>
        <v>720</v>
      </c>
      <c r="G2526" s="5">
        <f t="shared" si="79"/>
        <v>1.0222222222222221</v>
      </c>
    </row>
    <row r="2527" spans="1:7" ht="13">
      <c r="A2527" s="4" t="s">
        <v>119</v>
      </c>
      <c r="B2527" s="1">
        <v>5.59</v>
      </c>
      <c r="C2527" s="1">
        <v>558</v>
      </c>
      <c r="D2527" s="1" t="s">
        <v>36</v>
      </c>
      <c r="E2527" s="1" t="s">
        <v>9</v>
      </c>
      <c r="F2527" s="1">
        <f t="shared" si="78"/>
        <v>559</v>
      </c>
      <c r="G2527" s="5">
        <f t="shared" si="79"/>
        <v>0.99821109123434704</v>
      </c>
    </row>
    <row r="2528" spans="1:7" ht="13">
      <c r="A2528" s="4" t="s">
        <v>119</v>
      </c>
      <c r="B2528" s="1">
        <v>5.5</v>
      </c>
      <c r="C2528" s="1">
        <v>629</v>
      </c>
      <c r="D2528" s="1" t="s">
        <v>43</v>
      </c>
      <c r="E2528" s="1" t="s">
        <v>15</v>
      </c>
      <c r="F2528" s="1">
        <f t="shared" ref="F2528:F2591" si="80">B2528*100</f>
        <v>550</v>
      </c>
      <c r="G2528" s="5">
        <f t="shared" si="79"/>
        <v>1.1436363636363636</v>
      </c>
    </row>
    <row r="2529" spans="1:7" ht="13">
      <c r="A2529" s="4" t="s">
        <v>119</v>
      </c>
      <c r="B2529" s="1">
        <v>6.56</v>
      </c>
      <c r="C2529" s="1">
        <v>653</v>
      </c>
      <c r="D2529" s="1" t="s">
        <v>11</v>
      </c>
      <c r="E2529" s="1" t="s">
        <v>18</v>
      </c>
      <c r="F2529" s="1">
        <f t="shared" si="80"/>
        <v>656</v>
      </c>
      <c r="G2529" s="5">
        <f t="shared" si="79"/>
        <v>0.99542682926829273</v>
      </c>
    </row>
    <row r="2530" spans="1:7" ht="13">
      <c r="A2530" s="4" t="s">
        <v>119</v>
      </c>
      <c r="B2530" s="1">
        <v>3.48</v>
      </c>
      <c r="C2530" s="1">
        <v>340</v>
      </c>
      <c r="D2530" s="1" t="s">
        <v>38</v>
      </c>
      <c r="E2530" s="1" t="s">
        <v>7</v>
      </c>
      <c r="F2530" s="1">
        <f t="shared" si="80"/>
        <v>348</v>
      </c>
      <c r="G2530" s="5">
        <f t="shared" si="79"/>
        <v>0.97701149425287359</v>
      </c>
    </row>
    <row r="2531" spans="1:7" ht="13">
      <c r="A2531" s="4" t="s">
        <v>119</v>
      </c>
      <c r="B2531" s="1">
        <v>7.3</v>
      </c>
      <c r="C2531" s="1">
        <v>762</v>
      </c>
      <c r="D2531" s="1" t="s">
        <v>38</v>
      </c>
      <c r="E2531" s="1" t="s">
        <v>9</v>
      </c>
      <c r="F2531" s="1">
        <f t="shared" si="80"/>
        <v>730</v>
      </c>
      <c r="G2531" s="5">
        <f t="shared" si="79"/>
        <v>1.0438356164383562</v>
      </c>
    </row>
    <row r="2532" spans="1:7" ht="13">
      <c r="A2532" s="4" t="s">
        <v>120</v>
      </c>
      <c r="B2532" s="1">
        <v>4.5</v>
      </c>
      <c r="C2532" s="1">
        <v>314</v>
      </c>
      <c r="D2532" s="1" t="s">
        <v>11</v>
      </c>
      <c r="E2532" s="1" t="s">
        <v>16</v>
      </c>
      <c r="F2532" s="1">
        <f t="shared" si="80"/>
        <v>450</v>
      </c>
      <c r="G2532" s="5">
        <f t="shared" si="79"/>
        <v>0.69777777777777783</v>
      </c>
    </row>
    <row r="2533" spans="1:7" ht="13">
      <c r="A2533" s="4" t="s">
        <v>120</v>
      </c>
      <c r="B2533" s="1">
        <v>6</v>
      </c>
      <c r="C2533" s="1">
        <v>386</v>
      </c>
      <c r="D2533" s="1" t="s">
        <v>38</v>
      </c>
      <c r="E2533" s="1" t="s">
        <v>22</v>
      </c>
      <c r="F2533" s="1">
        <f t="shared" si="80"/>
        <v>600</v>
      </c>
      <c r="G2533" s="5">
        <f t="shared" si="79"/>
        <v>0.64333333333333331</v>
      </c>
    </row>
    <row r="2534" spans="1:7" ht="13">
      <c r="A2534" s="4" t="s">
        <v>120</v>
      </c>
      <c r="B2534" s="1">
        <v>5.3949999999999996</v>
      </c>
      <c r="C2534" s="1">
        <v>378</v>
      </c>
      <c r="D2534" s="1" t="s">
        <v>44</v>
      </c>
      <c r="E2534" s="1" t="s">
        <v>15</v>
      </c>
      <c r="F2534" s="1">
        <f t="shared" si="80"/>
        <v>539.5</v>
      </c>
      <c r="G2534" s="5">
        <f t="shared" si="79"/>
        <v>0.70064874884151995</v>
      </c>
    </row>
    <row r="2535" spans="1:7" ht="13">
      <c r="A2535" s="4" t="s">
        <v>120</v>
      </c>
      <c r="B2535" s="1">
        <v>5.0999999999999996</v>
      </c>
      <c r="C2535" s="1">
        <v>290</v>
      </c>
      <c r="D2535" s="1" t="s">
        <v>33</v>
      </c>
      <c r="E2535" s="1" t="s">
        <v>15</v>
      </c>
      <c r="F2535" s="1">
        <f t="shared" si="80"/>
        <v>509.99999999999994</v>
      </c>
      <c r="G2535" s="5">
        <f t="shared" si="79"/>
        <v>0.56862745098039225</v>
      </c>
    </row>
    <row r="2536" spans="1:7" ht="13">
      <c r="A2536" s="4" t="s">
        <v>120</v>
      </c>
      <c r="B2536" s="1">
        <v>652</v>
      </c>
      <c r="C2536" s="1">
        <v>638</v>
      </c>
      <c r="D2536" s="1" t="s">
        <v>11</v>
      </c>
      <c r="E2536" s="1" t="s">
        <v>8</v>
      </c>
      <c r="F2536" s="1">
        <f t="shared" si="80"/>
        <v>65200</v>
      </c>
      <c r="G2536" s="5">
        <f t="shared" si="79"/>
        <v>9.785276073619632E-3</v>
      </c>
    </row>
    <row r="2537" spans="1:7" ht="13">
      <c r="A2537" s="4" t="s">
        <v>120</v>
      </c>
      <c r="B2537" s="1">
        <v>6.09</v>
      </c>
      <c r="C2537" s="1">
        <v>403</v>
      </c>
      <c r="D2537" s="1" t="s">
        <v>36</v>
      </c>
      <c r="E2537" s="1" t="s">
        <v>15</v>
      </c>
      <c r="F2537" s="1">
        <f t="shared" si="80"/>
        <v>609</v>
      </c>
      <c r="G2537" s="5">
        <f t="shared" si="79"/>
        <v>0.6617405582922824</v>
      </c>
    </row>
    <row r="2538" spans="1:7" ht="13">
      <c r="A2538" s="4" t="s">
        <v>120</v>
      </c>
      <c r="B2538" s="1">
        <v>8.6</v>
      </c>
      <c r="C2538" s="1">
        <v>657</v>
      </c>
      <c r="D2538" s="1" t="s">
        <v>38</v>
      </c>
      <c r="E2538" s="1" t="s">
        <v>17</v>
      </c>
      <c r="F2538" s="1">
        <f t="shared" si="80"/>
        <v>860</v>
      </c>
      <c r="G2538" s="5">
        <f t="shared" si="79"/>
        <v>0.76395348837209298</v>
      </c>
    </row>
    <row r="2539" spans="1:7" ht="13">
      <c r="A2539" s="4" t="s">
        <v>120</v>
      </c>
      <c r="B2539" s="1">
        <v>5.88</v>
      </c>
      <c r="C2539" s="1">
        <v>430</v>
      </c>
      <c r="D2539" s="1" t="s">
        <v>39</v>
      </c>
      <c r="E2539" s="1" t="s">
        <v>19</v>
      </c>
      <c r="F2539" s="1">
        <f t="shared" si="80"/>
        <v>588</v>
      </c>
      <c r="G2539" s="5">
        <f t="shared" si="79"/>
        <v>0.73129251700680276</v>
      </c>
    </row>
    <row r="2540" spans="1:7" ht="13">
      <c r="A2540" s="4" t="s">
        <v>120</v>
      </c>
      <c r="B2540" s="1">
        <v>4</v>
      </c>
      <c r="C2540" s="1">
        <v>269</v>
      </c>
      <c r="D2540" s="1" t="s">
        <v>35</v>
      </c>
      <c r="E2540" s="1" t="s">
        <v>9</v>
      </c>
      <c r="F2540" s="1">
        <f t="shared" si="80"/>
        <v>400</v>
      </c>
      <c r="G2540" s="5">
        <f t="shared" si="79"/>
        <v>0.67249999999999999</v>
      </c>
    </row>
    <row r="2541" spans="1:7" ht="13">
      <c r="A2541" s="4" t="s">
        <v>120</v>
      </c>
      <c r="B2541" s="1">
        <v>3.65</v>
      </c>
      <c r="C2541" s="1">
        <v>214</v>
      </c>
      <c r="D2541" s="1" t="s">
        <v>55</v>
      </c>
      <c r="E2541" s="1" t="s">
        <v>24</v>
      </c>
      <c r="F2541" s="1">
        <f t="shared" si="80"/>
        <v>365</v>
      </c>
      <c r="G2541" s="5">
        <f t="shared" si="79"/>
        <v>0.58630136986301373</v>
      </c>
    </row>
    <row r="2542" spans="1:7" ht="13">
      <c r="A2542" s="4" t="s">
        <v>120</v>
      </c>
      <c r="B2542" s="1">
        <v>7.83</v>
      </c>
      <c r="C2542" s="1">
        <v>613</v>
      </c>
      <c r="D2542" s="1" t="s">
        <v>11</v>
      </c>
      <c r="E2542" s="1" t="s">
        <v>23</v>
      </c>
      <c r="F2542" s="1">
        <f t="shared" si="80"/>
        <v>783</v>
      </c>
      <c r="G2542" s="5">
        <f t="shared" si="79"/>
        <v>0.78288633461047252</v>
      </c>
    </row>
    <row r="2543" spans="1:7" ht="13">
      <c r="A2543" s="4" t="s">
        <v>120</v>
      </c>
      <c r="B2543" s="1">
        <v>7.74</v>
      </c>
      <c r="C2543" s="1">
        <v>493</v>
      </c>
      <c r="D2543" s="1" t="s">
        <v>33</v>
      </c>
      <c r="E2543" s="1" t="s">
        <v>16</v>
      </c>
      <c r="F2543" s="1">
        <f t="shared" si="80"/>
        <v>774</v>
      </c>
      <c r="G2543" s="5">
        <f t="shared" si="79"/>
        <v>0.63695090439276481</v>
      </c>
    </row>
    <row r="2544" spans="1:7" ht="13">
      <c r="A2544" s="4" t="s">
        <v>120</v>
      </c>
      <c r="B2544" s="1">
        <v>5.2</v>
      </c>
      <c r="C2544" s="1">
        <v>362</v>
      </c>
      <c r="D2544" s="1" t="s">
        <v>47</v>
      </c>
      <c r="E2544" s="1" t="s">
        <v>26</v>
      </c>
      <c r="F2544" s="1">
        <f t="shared" si="80"/>
        <v>520</v>
      </c>
      <c r="G2544" s="5">
        <f t="shared" si="79"/>
        <v>0.69615384615384612</v>
      </c>
    </row>
    <row r="2545" spans="1:7" ht="13">
      <c r="A2545" s="4" t="s">
        <v>120</v>
      </c>
      <c r="B2545" s="1">
        <v>6.7</v>
      </c>
      <c r="C2545" s="1">
        <v>370</v>
      </c>
      <c r="D2545" s="1" t="s">
        <v>11</v>
      </c>
      <c r="E2545" s="1" t="s">
        <v>7</v>
      </c>
      <c r="F2545" s="1">
        <f t="shared" si="80"/>
        <v>670</v>
      </c>
      <c r="G2545" s="5">
        <f t="shared" si="79"/>
        <v>0.55223880597014929</v>
      </c>
    </row>
    <row r="2546" spans="1:7" ht="13">
      <c r="A2546" s="4" t="s">
        <v>120</v>
      </c>
      <c r="B2546" s="1">
        <v>6</v>
      </c>
      <c r="C2546" s="1">
        <v>470</v>
      </c>
      <c r="D2546" s="1" t="s">
        <v>40</v>
      </c>
      <c r="E2546" s="1" t="s">
        <v>25</v>
      </c>
      <c r="F2546" s="1">
        <f t="shared" si="80"/>
        <v>600</v>
      </c>
      <c r="G2546" s="5">
        <f t="shared" si="79"/>
        <v>0.78333333333333333</v>
      </c>
    </row>
    <row r="2547" spans="1:7" ht="13">
      <c r="A2547" s="4" t="s">
        <v>120</v>
      </c>
      <c r="B2547" s="1">
        <v>4.8600000000000003</v>
      </c>
      <c r="C2547" s="1">
        <v>363</v>
      </c>
      <c r="D2547" s="1" t="s">
        <v>38</v>
      </c>
      <c r="E2547" s="1" t="s">
        <v>15</v>
      </c>
      <c r="F2547" s="1">
        <f t="shared" si="80"/>
        <v>486.00000000000006</v>
      </c>
      <c r="G2547" s="5">
        <f t="shared" si="79"/>
        <v>0.74691358024691346</v>
      </c>
    </row>
    <row r="2548" spans="1:7" ht="13">
      <c r="A2548" s="4" t="s">
        <v>120</v>
      </c>
      <c r="B2548" s="1">
        <v>9.5</v>
      </c>
      <c r="C2548" s="1">
        <v>846</v>
      </c>
      <c r="D2548" s="1" t="s">
        <v>11</v>
      </c>
      <c r="E2548" s="1" t="s">
        <v>27</v>
      </c>
      <c r="F2548" s="1">
        <f t="shared" si="80"/>
        <v>950</v>
      </c>
      <c r="G2548" s="5">
        <f t="shared" si="79"/>
        <v>0.89052631578947372</v>
      </c>
    </row>
    <row r="2549" spans="1:7" ht="13">
      <c r="A2549" s="4" t="s">
        <v>120</v>
      </c>
      <c r="B2549" s="1">
        <v>4.2</v>
      </c>
      <c r="C2549" s="1">
        <v>366.39</v>
      </c>
      <c r="D2549" s="1" t="s">
        <v>39</v>
      </c>
      <c r="E2549" s="1" t="s">
        <v>17</v>
      </c>
      <c r="F2549" s="1">
        <f t="shared" si="80"/>
        <v>420</v>
      </c>
      <c r="G2549" s="5">
        <f t="shared" si="79"/>
        <v>0.87235714285714283</v>
      </c>
    </row>
    <row r="2550" spans="1:7" ht="13">
      <c r="A2550" s="4" t="s">
        <v>120</v>
      </c>
      <c r="B2550" s="1">
        <v>5.2</v>
      </c>
      <c r="C2550" s="1">
        <v>353</v>
      </c>
      <c r="D2550" s="1" t="s">
        <v>39</v>
      </c>
      <c r="E2550" s="1" t="s">
        <v>15</v>
      </c>
      <c r="F2550" s="1">
        <f t="shared" si="80"/>
        <v>520</v>
      </c>
      <c r="G2550" s="5">
        <f t="shared" si="79"/>
        <v>0.67884615384615388</v>
      </c>
    </row>
    <row r="2551" spans="1:7" ht="13">
      <c r="A2551" s="4" t="s">
        <v>120</v>
      </c>
      <c r="B2551" s="1">
        <v>6.88</v>
      </c>
      <c r="C2551" s="1">
        <v>437</v>
      </c>
      <c r="D2551" s="1" t="s">
        <v>45</v>
      </c>
      <c r="E2551" s="1" t="s">
        <v>10</v>
      </c>
      <c r="F2551" s="1">
        <f t="shared" si="80"/>
        <v>688</v>
      </c>
      <c r="G2551" s="5">
        <f t="shared" si="79"/>
        <v>0.63517441860465118</v>
      </c>
    </row>
    <row r="2552" spans="1:7" ht="13">
      <c r="A2552" s="4" t="s">
        <v>120</v>
      </c>
      <c r="B2552" s="1">
        <v>5</v>
      </c>
      <c r="C2552" s="1">
        <v>426</v>
      </c>
      <c r="D2552" s="1" t="s">
        <v>42</v>
      </c>
      <c r="E2552" s="1" t="s">
        <v>30</v>
      </c>
      <c r="F2552" s="1">
        <f t="shared" si="80"/>
        <v>500</v>
      </c>
      <c r="G2552" s="5">
        <f t="shared" si="79"/>
        <v>0.85199999999999998</v>
      </c>
    </row>
    <row r="2553" spans="1:7" ht="13">
      <c r="A2553" s="4" t="s">
        <v>120</v>
      </c>
      <c r="B2553" s="1">
        <v>7.2</v>
      </c>
      <c r="C2553" s="1">
        <v>668</v>
      </c>
      <c r="D2553" s="1" t="s">
        <v>39</v>
      </c>
      <c r="E2553" s="1" t="s">
        <v>9</v>
      </c>
      <c r="F2553" s="1">
        <f t="shared" si="80"/>
        <v>720</v>
      </c>
      <c r="G2553" s="5">
        <f t="shared" si="79"/>
        <v>0.92777777777777781</v>
      </c>
    </row>
    <row r="2554" spans="1:7" ht="13">
      <c r="A2554" s="4" t="s">
        <v>120</v>
      </c>
      <c r="B2554" s="1">
        <v>6.32</v>
      </c>
      <c r="C2554" s="1">
        <v>526</v>
      </c>
      <c r="D2554" s="1" t="s">
        <v>67</v>
      </c>
      <c r="E2554" s="1" t="s">
        <v>62</v>
      </c>
      <c r="F2554" s="1">
        <f t="shared" si="80"/>
        <v>632</v>
      </c>
      <c r="G2554" s="5">
        <f t="shared" si="79"/>
        <v>0.83227848101265822</v>
      </c>
    </row>
    <row r="2555" spans="1:7" ht="13">
      <c r="A2555" s="4" t="s">
        <v>120</v>
      </c>
      <c r="B2555" s="1">
        <v>7.48</v>
      </c>
      <c r="C2555" s="1">
        <v>377</v>
      </c>
      <c r="D2555" s="1" t="s">
        <v>45</v>
      </c>
      <c r="E2555" s="1" t="s">
        <v>15</v>
      </c>
      <c r="F2555" s="1">
        <f t="shared" si="80"/>
        <v>748</v>
      </c>
      <c r="G2555" s="5">
        <f t="shared" si="79"/>
        <v>0.50401069518716579</v>
      </c>
    </row>
    <row r="2556" spans="1:7" ht="13">
      <c r="A2556" s="4" t="s">
        <v>120</v>
      </c>
      <c r="B2556" s="1">
        <v>4.1500000000000004</v>
      </c>
      <c r="C2556" s="1">
        <v>390</v>
      </c>
      <c r="D2556" s="1" t="s">
        <v>38</v>
      </c>
      <c r="E2556" s="1" t="s">
        <v>8</v>
      </c>
      <c r="F2556" s="1">
        <f t="shared" si="80"/>
        <v>415.00000000000006</v>
      </c>
      <c r="G2556" s="5">
        <f t="shared" si="79"/>
        <v>0.93975903614457823</v>
      </c>
    </row>
    <row r="2557" spans="1:7" ht="13">
      <c r="A2557" s="4" t="s">
        <v>120</v>
      </c>
      <c r="B2557" s="1">
        <v>5.2</v>
      </c>
      <c r="C2557" s="1">
        <v>303</v>
      </c>
      <c r="D2557" s="1" t="s">
        <v>50</v>
      </c>
      <c r="E2557" s="1" t="s">
        <v>15</v>
      </c>
      <c r="F2557" s="1">
        <f t="shared" si="80"/>
        <v>520</v>
      </c>
      <c r="G2557" s="5">
        <f t="shared" si="79"/>
        <v>0.58269230769230773</v>
      </c>
    </row>
    <row r="2558" spans="1:7" ht="13">
      <c r="A2558" s="4" t="s">
        <v>120</v>
      </c>
      <c r="B2558" s="1">
        <v>5.0999999999999996</v>
      </c>
      <c r="C2558" s="1">
        <v>433</v>
      </c>
      <c r="D2558" s="1" t="s">
        <v>59</v>
      </c>
      <c r="E2558" s="1" t="s">
        <v>18</v>
      </c>
      <c r="F2558" s="1">
        <f t="shared" si="80"/>
        <v>509.99999999999994</v>
      </c>
      <c r="G2558" s="5">
        <f t="shared" si="79"/>
        <v>0.84901960784313735</v>
      </c>
    </row>
    <row r="2559" spans="1:7" ht="13">
      <c r="A2559" s="4" t="s">
        <v>120</v>
      </c>
      <c r="B2559" s="1">
        <v>4.0999999999999996</v>
      </c>
      <c r="C2559" s="1">
        <v>331</v>
      </c>
      <c r="D2559" s="1" t="s">
        <v>38</v>
      </c>
      <c r="E2559" s="1" t="s">
        <v>16</v>
      </c>
      <c r="F2559" s="1">
        <f t="shared" si="80"/>
        <v>409.99999999999994</v>
      </c>
      <c r="G2559" s="5">
        <f t="shared" si="79"/>
        <v>0.80731707317073187</v>
      </c>
    </row>
    <row r="2560" spans="1:7" ht="13">
      <c r="A2560" s="4" t="s">
        <v>120</v>
      </c>
      <c r="B2560" s="1">
        <v>6.88</v>
      </c>
      <c r="C2560" s="1">
        <v>420</v>
      </c>
      <c r="D2560" s="1" t="s">
        <v>33</v>
      </c>
      <c r="E2560" s="1" t="s">
        <v>10</v>
      </c>
      <c r="F2560" s="1">
        <f t="shared" si="80"/>
        <v>688</v>
      </c>
      <c r="G2560" s="5">
        <f t="shared" si="79"/>
        <v>0.61046511627906974</v>
      </c>
    </row>
    <row r="2561" spans="1:7" ht="13">
      <c r="A2561" s="4" t="s">
        <v>120</v>
      </c>
      <c r="B2561" s="1">
        <v>5.6</v>
      </c>
      <c r="C2561" s="1">
        <v>492.61</v>
      </c>
      <c r="D2561" s="1" t="s">
        <v>11</v>
      </c>
      <c r="E2561" s="1" t="s">
        <v>8</v>
      </c>
      <c r="F2561" s="1">
        <f t="shared" si="80"/>
        <v>560</v>
      </c>
      <c r="G2561" s="5">
        <f t="shared" si="79"/>
        <v>0.87966071428571435</v>
      </c>
    </row>
    <row r="2562" spans="1:7" ht="13">
      <c r="A2562" s="4" t="s">
        <v>120</v>
      </c>
      <c r="B2562" s="1">
        <v>5.4</v>
      </c>
      <c r="C2562" s="1">
        <v>300</v>
      </c>
      <c r="D2562" s="1" t="s">
        <v>59</v>
      </c>
      <c r="E2562" s="1" t="s">
        <v>16</v>
      </c>
      <c r="F2562" s="1">
        <f t="shared" si="80"/>
        <v>540</v>
      </c>
      <c r="G2562" s="5">
        <f t="shared" ref="G2562:G2625" si="81">C2562/F2562</f>
        <v>0.55555555555555558</v>
      </c>
    </row>
    <row r="2563" spans="1:7" ht="13">
      <c r="A2563" s="4" t="s">
        <v>120</v>
      </c>
      <c r="B2563" s="1">
        <v>5.39</v>
      </c>
      <c r="C2563" s="1">
        <v>469</v>
      </c>
      <c r="D2563" s="1" t="s">
        <v>11</v>
      </c>
      <c r="E2563" s="1" t="s">
        <v>26</v>
      </c>
      <c r="F2563" s="1">
        <f t="shared" si="80"/>
        <v>539</v>
      </c>
      <c r="G2563" s="5">
        <f t="shared" si="81"/>
        <v>0.87012987012987009</v>
      </c>
    </row>
    <row r="2564" spans="1:7" ht="13">
      <c r="A2564" s="4" t="s">
        <v>120</v>
      </c>
      <c r="B2564" s="1">
        <v>7.74</v>
      </c>
      <c r="C2564" s="1">
        <v>580</v>
      </c>
      <c r="D2564" s="1" t="s">
        <v>35</v>
      </c>
      <c r="E2564" s="1" t="s">
        <v>8</v>
      </c>
      <c r="F2564" s="1">
        <f t="shared" si="80"/>
        <v>774</v>
      </c>
      <c r="G2564" s="5">
        <f t="shared" si="81"/>
        <v>0.74935400516795869</v>
      </c>
    </row>
    <row r="2565" spans="1:7" ht="13">
      <c r="A2565" s="4" t="s">
        <v>120</v>
      </c>
      <c r="B2565" s="1">
        <v>8.6</v>
      </c>
      <c r="C2565" s="1">
        <v>770</v>
      </c>
      <c r="D2565" s="1" t="s">
        <v>42</v>
      </c>
      <c r="E2565" s="1" t="s">
        <v>8</v>
      </c>
      <c r="F2565" s="1">
        <f t="shared" si="80"/>
        <v>860</v>
      </c>
      <c r="G2565" s="5">
        <f t="shared" si="81"/>
        <v>0.89534883720930236</v>
      </c>
    </row>
    <row r="2566" spans="1:7" ht="13">
      <c r="A2566" s="4" t="s">
        <v>120</v>
      </c>
      <c r="B2566" s="1">
        <v>4.3</v>
      </c>
      <c r="C2566" s="1">
        <v>297</v>
      </c>
      <c r="D2566" s="1" t="s">
        <v>33</v>
      </c>
      <c r="E2566" s="1" t="s">
        <v>19</v>
      </c>
      <c r="F2566" s="1">
        <f t="shared" si="80"/>
        <v>430</v>
      </c>
      <c r="G2566" s="5">
        <f t="shared" si="81"/>
        <v>0.69069767441860463</v>
      </c>
    </row>
    <row r="2567" spans="1:7" ht="13">
      <c r="A2567" s="4" t="s">
        <v>120</v>
      </c>
      <c r="B2567" s="1">
        <v>9.1999999999999993</v>
      </c>
      <c r="C2567" s="1">
        <v>673</v>
      </c>
      <c r="D2567" s="1" t="s">
        <v>37</v>
      </c>
      <c r="E2567" s="1" t="s">
        <v>18</v>
      </c>
      <c r="F2567" s="1">
        <f t="shared" si="80"/>
        <v>919.99999999999989</v>
      </c>
      <c r="G2567" s="5">
        <f t="shared" si="81"/>
        <v>0.73152173913043483</v>
      </c>
    </row>
    <row r="2568" spans="1:7" ht="13">
      <c r="A2568" s="4" t="s">
        <v>120</v>
      </c>
      <c r="B2568" s="1">
        <v>6.3</v>
      </c>
      <c r="C2568" s="1">
        <v>578</v>
      </c>
      <c r="D2568" s="1" t="s">
        <v>11</v>
      </c>
      <c r="E2568" s="1" t="s">
        <v>8</v>
      </c>
      <c r="F2568" s="1">
        <f t="shared" si="80"/>
        <v>630</v>
      </c>
      <c r="G2568" s="5">
        <f t="shared" si="81"/>
        <v>0.91746031746031742</v>
      </c>
    </row>
    <row r="2569" spans="1:7" ht="13">
      <c r="A2569" s="4" t="s">
        <v>120</v>
      </c>
      <c r="B2569" s="1">
        <v>6.32</v>
      </c>
      <c r="C2569" s="1">
        <v>564</v>
      </c>
      <c r="D2569" s="1" t="s">
        <v>11</v>
      </c>
      <c r="E2569" s="1" t="s">
        <v>49</v>
      </c>
      <c r="F2569" s="1">
        <f t="shared" si="80"/>
        <v>632</v>
      </c>
      <c r="G2569" s="5">
        <f t="shared" si="81"/>
        <v>0.89240506329113922</v>
      </c>
    </row>
    <row r="2570" spans="1:7" ht="13">
      <c r="A2570" s="4" t="s">
        <v>120</v>
      </c>
      <c r="B2570" s="1">
        <v>9.68</v>
      </c>
      <c r="C2570" s="1">
        <v>617</v>
      </c>
      <c r="D2570" s="1" t="s">
        <v>36</v>
      </c>
      <c r="E2570" s="1" t="s">
        <v>7</v>
      </c>
      <c r="F2570" s="1">
        <f t="shared" si="80"/>
        <v>968</v>
      </c>
      <c r="G2570" s="5">
        <f t="shared" si="81"/>
        <v>0.63739669421487599</v>
      </c>
    </row>
    <row r="2571" spans="1:7" ht="13">
      <c r="A2571" s="4" t="s">
        <v>120</v>
      </c>
      <c r="B2571" s="1">
        <v>6.88</v>
      </c>
      <c r="C2571" s="1">
        <v>486</v>
      </c>
      <c r="D2571" s="1" t="s">
        <v>33</v>
      </c>
      <c r="E2571" s="1" t="s">
        <v>8</v>
      </c>
      <c r="F2571" s="1">
        <f t="shared" si="80"/>
        <v>688</v>
      </c>
      <c r="G2571" s="5">
        <f t="shared" si="81"/>
        <v>0.70639534883720934</v>
      </c>
    </row>
    <row r="2572" spans="1:7" ht="13">
      <c r="A2572" s="4" t="s">
        <v>120</v>
      </c>
      <c r="B2572" s="1">
        <v>6.9</v>
      </c>
      <c r="C2572" s="1">
        <v>479</v>
      </c>
      <c r="D2572" s="1" t="s">
        <v>11</v>
      </c>
      <c r="E2572" s="1" t="s">
        <v>26</v>
      </c>
      <c r="F2572" s="1">
        <f t="shared" si="80"/>
        <v>690</v>
      </c>
      <c r="G2572" s="5">
        <f t="shared" si="81"/>
        <v>0.69420289855072459</v>
      </c>
    </row>
    <row r="2573" spans="1:7" ht="13">
      <c r="A2573" s="4" t="s">
        <v>120</v>
      </c>
      <c r="B2573" s="1">
        <v>8.6999999999999993</v>
      </c>
      <c r="C2573" s="1">
        <v>844.5</v>
      </c>
      <c r="D2573" s="1" t="s">
        <v>47</v>
      </c>
      <c r="E2573" s="1" t="s">
        <v>12</v>
      </c>
      <c r="F2573" s="1">
        <f t="shared" si="80"/>
        <v>869.99999999999989</v>
      </c>
      <c r="G2573" s="5">
        <f t="shared" si="81"/>
        <v>0.9706896551724139</v>
      </c>
    </row>
    <row r="2574" spans="1:7" ht="13">
      <c r="A2574" s="4" t="s">
        <v>120</v>
      </c>
      <c r="B2574" s="1">
        <v>9</v>
      </c>
      <c r="C2574" s="1">
        <v>566</v>
      </c>
      <c r="D2574" s="1" t="s">
        <v>33</v>
      </c>
      <c r="E2574" s="1" t="s">
        <v>23</v>
      </c>
      <c r="F2574" s="1">
        <f t="shared" si="80"/>
        <v>900</v>
      </c>
      <c r="G2574" s="5">
        <f t="shared" si="81"/>
        <v>0.62888888888888894</v>
      </c>
    </row>
    <row r="2575" spans="1:7" ht="13">
      <c r="A2575" s="4" t="s">
        <v>120</v>
      </c>
      <c r="B2575" s="1">
        <v>7.7</v>
      </c>
      <c r="C2575" s="1">
        <v>456</v>
      </c>
      <c r="D2575" s="1" t="s">
        <v>107</v>
      </c>
      <c r="E2575" s="1" t="s">
        <v>27</v>
      </c>
      <c r="F2575" s="1">
        <f t="shared" si="80"/>
        <v>770</v>
      </c>
      <c r="G2575" s="5">
        <f t="shared" si="81"/>
        <v>0.59220779220779218</v>
      </c>
    </row>
    <row r="2576" spans="1:7" ht="13">
      <c r="A2576" s="4" t="s">
        <v>120</v>
      </c>
      <c r="B2576" s="1">
        <v>5.16</v>
      </c>
      <c r="C2576" s="1">
        <v>422</v>
      </c>
      <c r="D2576" s="1" t="s">
        <v>38</v>
      </c>
      <c r="E2576" s="1" t="s">
        <v>26</v>
      </c>
      <c r="F2576" s="1">
        <f t="shared" si="80"/>
        <v>516</v>
      </c>
      <c r="G2576" s="5">
        <f t="shared" si="81"/>
        <v>0.81782945736434109</v>
      </c>
    </row>
    <row r="2577" spans="1:7" ht="13">
      <c r="A2577" s="4" t="s">
        <v>120</v>
      </c>
      <c r="B2577" s="1">
        <v>6.09</v>
      </c>
      <c r="C2577" s="1">
        <v>537</v>
      </c>
      <c r="D2577" s="1" t="s">
        <v>11</v>
      </c>
      <c r="E2577" s="1" t="s">
        <v>15</v>
      </c>
      <c r="F2577" s="1">
        <f t="shared" si="80"/>
        <v>609</v>
      </c>
      <c r="G2577" s="5">
        <f t="shared" si="81"/>
        <v>0.88177339901477836</v>
      </c>
    </row>
    <row r="2578" spans="1:7" ht="13">
      <c r="A2578" s="4" t="s">
        <v>120</v>
      </c>
      <c r="B2578" s="1">
        <v>10.56</v>
      </c>
      <c r="C2578" s="1">
        <v>695</v>
      </c>
      <c r="D2578" s="1" t="s">
        <v>11</v>
      </c>
      <c r="E2578" s="1" t="s">
        <v>17</v>
      </c>
      <c r="F2578" s="1">
        <f t="shared" si="80"/>
        <v>1056</v>
      </c>
      <c r="G2578" s="5">
        <f t="shared" si="81"/>
        <v>0.65814393939393945</v>
      </c>
    </row>
    <row r="2579" spans="1:7" ht="13">
      <c r="A2579" s="4" t="s">
        <v>120</v>
      </c>
      <c r="B2579" s="1">
        <v>5.28</v>
      </c>
      <c r="C2579" s="1">
        <v>332</v>
      </c>
      <c r="D2579" s="1" t="s">
        <v>33</v>
      </c>
      <c r="E2579" s="1" t="s">
        <v>21</v>
      </c>
      <c r="F2579" s="1">
        <f t="shared" si="80"/>
        <v>528</v>
      </c>
      <c r="G2579" s="5">
        <f t="shared" si="81"/>
        <v>0.62878787878787878</v>
      </c>
    </row>
    <row r="2580" spans="1:7" ht="13">
      <c r="A2580" s="4" t="s">
        <v>120</v>
      </c>
      <c r="B2580" s="1">
        <v>7.92</v>
      </c>
      <c r="C2580" s="1">
        <v>650</v>
      </c>
      <c r="D2580" s="1" t="s">
        <v>11</v>
      </c>
      <c r="E2580" s="1" t="s">
        <v>8</v>
      </c>
      <c r="F2580" s="1">
        <f t="shared" si="80"/>
        <v>792</v>
      </c>
      <c r="G2580" s="5">
        <f t="shared" si="81"/>
        <v>0.82070707070707072</v>
      </c>
    </row>
    <row r="2581" spans="1:7" ht="13">
      <c r="A2581" s="4" t="s">
        <v>120</v>
      </c>
      <c r="B2581" s="1">
        <v>6.96</v>
      </c>
      <c r="C2581" s="1">
        <v>570</v>
      </c>
      <c r="D2581" s="1" t="s">
        <v>67</v>
      </c>
      <c r="E2581" s="1" t="s">
        <v>16</v>
      </c>
      <c r="F2581" s="1">
        <f t="shared" si="80"/>
        <v>696</v>
      </c>
      <c r="G2581" s="5">
        <f t="shared" si="81"/>
        <v>0.81896551724137934</v>
      </c>
    </row>
    <row r="2582" spans="1:7" ht="13">
      <c r="A2582" s="4" t="s">
        <v>120</v>
      </c>
      <c r="B2582" s="1">
        <v>5.2</v>
      </c>
      <c r="C2582" s="1">
        <v>455</v>
      </c>
      <c r="D2582" s="1" t="s">
        <v>11</v>
      </c>
      <c r="E2582" s="1" t="s">
        <v>26</v>
      </c>
      <c r="F2582" s="1">
        <f t="shared" si="80"/>
        <v>520</v>
      </c>
      <c r="G2582" s="5">
        <f t="shared" si="81"/>
        <v>0.875</v>
      </c>
    </row>
    <row r="2583" spans="1:7" ht="13">
      <c r="A2583" s="4" t="s">
        <v>120</v>
      </c>
      <c r="B2583" s="1">
        <v>8.4</v>
      </c>
      <c r="C2583" s="1">
        <v>530</v>
      </c>
      <c r="D2583" s="1" t="s">
        <v>33</v>
      </c>
      <c r="E2583" s="1" t="s">
        <v>15</v>
      </c>
      <c r="F2583" s="1">
        <f t="shared" si="80"/>
        <v>840</v>
      </c>
      <c r="G2583" s="5">
        <f t="shared" si="81"/>
        <v>0.63095238095238093</v>
      </c>
    </row>
    <row r="2584" spans="1:7" ht="13">
      <c r="A2584" s="4" t="s">
        <v>120</v>
      </c>
      <c r="B2584" s="1">
        <v>6.09</v>
      </c>
      <c r="C2584" s="1">
        <v>511</v>
      </c>
      <c r="D2584" s="1" t="s">
        <v>11</v>
      </c>
      <c r="E2584" s="1" t="s">
        <v>26</v>
      </c>
      <c r="F2584" s="1">
        <f t="shared" si="80"/>
        <v>609</v>
      </c>
      <c r="G2584" s="5">
        <f t="shared" si="81"/>
        <v>0.83908045977011492</v>
      </c>
    </row>
    <row r="2585" spans="1:7" ht="13">
      <c r="A2585" s="4" t="s">
        <v>120</v>
      </c>
      <c r="B2585" s="1">
        <v>4.9000000000000004</v>
      </c>
      <c r="C2585" s="1">
        <v>332</v>
      </c>
      <c r="D2585" s="1" t="s">
        <v>44</v>
      </c>
      <c r="E2585" s="1" t="s">
        <v>15</v>
      </c>
      <c r="F2585" s="1">
        <f t="shared" si="80"/>
        <v>490.00000000000006</v>
      </c>
      <c r="G2585" s="5">
        <f t="shared" si="81"/>
        <v>0.67755102040816317</v>
      </c>
    </row>
    <row r="2586" spans="1:7" ht="13">
      <c r="A2586" s="4" t="s">
        <v>120</v>
      </c>
      <c r="B2586" s="1">
        <v>8.1</v>
      </c>
      <c r="C2586" s="1">
        <v>561</v>
      </c>
      <c r="D2586" s="1" t="s">
        <v>35</v>
      </c>
      <c r="E2586" s="1" t="s">
        <v>7</v>
      </c>
      <c r="F2586" s="1">
        <f t="shared" si="80"/>
        <v>810</v>
      </c>
      <c r="G2586" s="5">
        <f t="shared" si="81"/>
        <v>0.69259259259259254</v>
      </c>
    </row>
    <row r="2587" spans="1:7" ht="13">
      <c r="A2587" s="4" t="s">
        <v>120</v>
      </c>
      <c r="B2587" s="1">
        <v>9.1</v>
      </c>
      <c r="C2587" s="1">
        <v>680</v>
      </c>
      <c r="D2587" s="1" t="s">
        <v>35</v>
      </c>
      <c r="E2587" s="1" t="s">
        <v>10</v>
      </c>
      <c r="F2587" s="1">
        <f t="shared" si="80"/>
        <v>910</v>
      </c>
      <c r="G2587" s="5">
        <f t="shared" si="81"/>
        <v>0.74725274725274726</v>
      </c>
    </row>
    <row r="2588" spans="1:7" ht="13">
      <c r="A2588" s="4" t="s">
        <v>120</v>
      </c>
      <c r="B2588" s="1">
        <v>6.45</v>
      </c>
      <c r="C2588" s="1">
        <v>538</v>
      </c>
      <c r="D2588" s="1" t="s">
        <v>42</v>
      </c>
      <c r="E2588" s="1" t="s">
        <v>18</v>
      </c>
      <c r="F2588" s="1">
        <f t="shared" si="80"/>
        <v>645</v>
      </c>
      <c r="G2588" s="5">
        <f t="shared" si="81"/>
        <v>0.83410852713178296</v>
      </c>
    </row>
    <row r="2589" spans="1:7" ht="13">
      <c r="A2589" s="4" t="s">
        <v>120</v>
      </c>
      <c r="B2589" s="1">
        <v>7.83</v>
      </c>
      <c r="C2589" s="1">
        <v>557</v>
      </c>
      <c r="D2589" s="1" t="s">
        <v>11</v>
      </c>
      <c r="E2589" s="1" t="s">
        <v>20</v>
      </c>
      <c r="F2589" s="1">
        <f t="shared" si="80"/>
        <v>783</v>
      </c>
      <c r="G2589" s="5">
        <f t="shared" si="81"/>
        <v>0.71136653895274582</v>
      </c>
    </row>
    <row r="2590" spans="1:7" ht="13">
      <c r="A2590" s="4" t="s">
        <v>120</v>
      </c>
      <c r="B2590" s="1">
        <v>12.04</v>
      </c>
      <c r="C2590" s="1">
        <v>875</v>
      </c>
      <c r="D2590" s="1" t="s">
        <v>11</v>
      </c>
      <c r="E2590" s="1" t="s">
        <v>8</v>
      </c>
      <c r="F2590" s="1">
        <f t="shared" si="80"/>
        <v>1204</v>
      </c>
      <c r="G2590" s="5">
        <f t="shared" si="81"/>
        <v>0.72674418604651159</v>
      </c>
    </row>
    <row r="2591" spans="1:7" ht="13">
      <c r="A2591" s="4" t="s">
        <v>120</v>
      </c>
      <c r="B2591" s="1">
        <v>8.8000000000000007</v>
      </c>
      <c r="C2591" s="1">
        <v>535</v>
      </c>
      <c r="D2591" s="1" t="s">
        <v>33</v>
      </c>
      <c r="E2591" s="1" t="s">
        <v>8</v>
      </c>
      <c r="F2591" s="1">
        <f t="shared" si="80"/>
        <v>880.00000000000011</v>
      </c>
      <c r="G2591" s="5">
        <f t="shared" si="81"/>
        <v>0.60795454545454541</v>
      </c>
    </row>
    <row r="2592" spans="1:7" ht="13">
      <c r="A2592" s="4" t="s">
        <v>120</v>
      </c>
      <c r="B2592" s="1">
        <v>8.6</v>
      </c>
      <c r="C2592" s="1">
        <v>594</v>
      </c>
      <c r="D2592" s="1" t="s">
        <v>33</v>
      </c>
      <c r="E2592" s="1" t="s">
        <v>8</v>
      </c>
      <c r="F2592" s="1">
        <f t="shared" ref="F2592:F2655" si="82">B2592*100</f>
        <v>860</v>
      </c>
      <c r="G2592" s="5">
        <f t="shared" si="81"/>
        <v>0.69069767441860463</v>
      </c>
    </row>
    <row r="2593" spans="1:7" ht="13">
      <c r="A2593" s="4" t="s">
        <v>120</v>
      </c>
      <c r="B2593" s="1">
        <v>6</v>
      </c>
      <c r="C2593" s="1">
        <v>417</v>
      </c>
      <c r="D2593" s="1" t="s">
        <v>33</v>
      </c>
      <c r="E2593" s="1" t="s">
        <v>16</v>
      </c>
      <c r="F2593" s="1">
        <f t="shared" si="82"/>
        <v>600</v>
      </c>
      <c r="G2593" s="5">
        <f t="shared" si="81"/>
        <v>0.69499999999999995</v>
      </c>
    </row>
    <row r="2594" spans="1:7" ht="13">
      <c r="A2594" s="4" t="s">
        <v>120</v>
      </c>
      <c r="B2594" s="1">
        <v>5</v>
      </c>
      <c r="C2594" s="1">
        <v>420</v>
      </c>
      <c r="D2594" s="1" t="s">
        <v>11</v>
      </c>
      <c r="E2594" s="1" t="s">
        <v>23</v>
      </c>
      <c r="F2594" s="1">
        <f t="shared" si="82"/>
        <v>500</v>
      </c>
      <c r="G2594" s="5">
        <f t="shared" si="81"/>
        <v>0.84</v>
      </c>
    </row>
    <row r="2595" spans="1:7" ht="13">
      <c r="A2595" s="4" t="s">
        <v>120</v>
      </c>
      <c r="B2595" s="1">
        <v>8</v>
      </c>
      <c r="C2595" s="1">
        <v>560</v>
      </c>
      <c r="D2595" s="1" t="s">
        <v>43</v>
      </c>
      <c r="E2595" s="1" t="s">
        <v>22</v>
      </c>
      <c r="F2595" s="1">
        <f t="shared" si="82"/>
        <v>800</v>
      </c>
      <c r="G2595" s="5">
        <f t="shared" si="81"/>
        <v>0.7</v>
      </c>
    </row>
    <row r="2596" spans="1:7" ht="13">
      <c r="A2596" s="4" t="s">
        <v>120</v>
      </c>
      <c r="B2596" s="1">
        <v>7</v>
      </c>
      <c r="C2596" s="1">
        <v>437</v>
      </c>
      <c r="D2596" s="1" t="s">
        <v>33</v>
      </c>
      <c r="E2596" s="1" t="s">
        <v>9</v>
      </c>
      <c r="F2596" s="1">
        <f t="shared" si="82"/>
        <v>700</v>
      </c>
      <c r="G2596" s="5">
        <f t="shared" si="81"/>
        <v>0.62428571428571433</v>
      </c>
    </row>
    <row r="2597" spans="1:7" ht="13">
      <c r="A2597" s="4" t="s">
        <v>120</v>
      </c>
      <c r="B2597" s="1">
        <v>7.56</v>
      </c>
      <c r="C2597" s="1">
        <v>595</v>
      </c>
      <c r="D2597" s="1" t="s">
        <v>11</v>
      </c>
      <c r="E2597" s="1" t="s">
        <v>25</v>
      </c>
      <c r="F2597" s="1">
        <f t="shared" si="82"/>
        <v>756</v>
      </c>
      <c r="G2597" s="5">
        <f t="shared" si="81"/>
        <v>0.78703703703703709</v>
      </c>
    </row>
    <row r="2598" spans="1:7" ht="13">
      <c r="A2598" s="4" t="s">
        <v>120</v>
      </c>
      <c r="B2598" s="1">
        <v>6.4</v>
      </c>
      <c r="C2598" s="1">
        <v>393</v>
      </c>
      <c r="D2598" s="1" t="s">
        <v>33</v>
      </c>
      <c r="E2598" s="1" t="s">
        <v>15</v>
      </c>
      <c r="F2598" s="1">
        <f t="shared" si="82"/>
        <v>640</v>
      </c>
      <c r="G2598" s="5">
        <f t="shared" si="81"/>
        <v>0.61406249999999996</v>
      </c>
    </row>
    <row r="2599" spans="1:7" ht="13">
      <c r="A2599" s="4" t="s">
        <v>120</v>
      </c>
      <c r="B2599" s="1">
        <v>4.0999999999999996</v>
      </c>
      <c r="C2599" s="1">
        <v>413</v>
      </c>
      <c r="D2599" s="1" t="s">
        <v>11</v>
      </c>
      <c r="E2599" s="1" t="s">
        <v>18</v>
      </c>
      <c r="F2599" s="1">
        <f t="shared" si="82"/>
        <v>409.99999999999994</v>
      </c>
      <c r="G2599" s="5">
        <f t="shared" si="81"/>
        <v>1.0073170731707319</v>
      </c>
    </row>
    <row r="2600" spans="1:7" ht="13">
      <c r="A2600" s="4" t="s">
        <v>120</v>
      </c>
      <c r="B2600" s="1">
        <v>6.88</v>
      </c>
      <c r="C2600" s="1">
        <v>490</v>
      </c>
      <c r="D2600" s="1" t="s">
        <v>38</v>
      </c>
      <c r="E2600" s="1" t="s">
        <v>7</v>
      </c>
      <c r="F2600" s="1">
        <f t="shared" si="82"/>
        <v>688</v>
      </c>
      <c r="G2600" s="5">
        <f t="shared" si="81"/>
        <v>0.71220930232558144</v>
      </c>
    </row>
    <row r="2601" spans="1:7" ht="13">
      <c r="A2601" s="4" t="s">
        <v>120</v>
      </c>
      <c r="B2601" s="1">
        <v>7.2</v>
      </c>
      <c r="C2601" s="1">
        <v>592</v>
      </c>
      <c r="D2601" s="1" t="s">
        <v>43</v>
      </c>
      <c r="E2601" s="1" t="s">
        <v>17</v>
      </c>
      <c r="F2601" s="1">
        <f t="shared" si="82"/>
        <v>720</v>
      </c>
      <c r="G2601" s="5">
        <f t="shared" si="81"/>
        <v>0.82222222222222219</v>
      </c>
    </row>
    <row r="2602" spans="1:7" ht="13">
      <c r="A2602" s="4" t="s">
        <v>120</v>
      </c>
      <c r="B2602" s="1">
        <v>5.625</v>
      </c>
      <c r="C2602" s="1">
        <v>403</v>
      </c>
      <c r="D2602" s="1" t="s">
        <v>11</v>
      </c>
      <c r="E2602" s="1" t="s">
        <v>15</v>
      </c>
      <c r="F2602" s="1">
        <f t="shared" si="82"/>
        <v>562.5</v>
      </c>
      <c r="G2602" s="5">
        <f t="shared" si="81"/>
        <v>0.71644444444444444</v>
      </c>
    </row>
    <row r="2603" spans="1:7" ht="13">
      <c r="A2603" s="4" t="s">
        <v>120</v>
      </c>
      <c r="B2603" s="1">
        <v>6.8</v>
      </c>
      <c r="C2603" s="1">
        <v>425</v>
      </c>
      <c r="D2603" s="1" t="s">
        <v>33</v>
      </c>
      <c r="E2603" s="1" t="s">
        <v>20</v>
      </c>
      <c r="F2603" s="1">
        <f t="shared" si="82"/>
        <v>680</v>
      </c>
      <c r="G2603" s="5">
        <f t="shared" si="81"/>
        <v>0.625</v>
      </c>
    </row>
    <row r="2604" spans="1:7" ht="13">
      <c r="A2604" s="4" t="s">
        <v>120</v>
      </c>
      <c r="B2604" s="1">
        <v>6</v>
      </c>
      <c r="C2604" s="1">
        <v>542</v>
      </c>
      <c r="D2604" s="1" t="s">
        <v>42</v>
      </c>
      <c r="E2604" s="1" t="s">
        <v>17</v>
      </c>
      <c r="F2604" s="1">
        <f t="shared" si="82"/>
        <v>600</v>
      </c>
      <c r="G2604" s="5">
        <f t="shared" si="81"/>
        <v>0.90333333333333332</v>
      </c>
    </row>
    <row r="2605" spans="1:7" ht="13">
      <c r="A2605" s="4" t="s">
        <v>120</v>
      </c>
      <c r="B2605" s="1">
        <v>4.03</v>
      </c>
      <c r="C2605" s="1">
        <v>314</v>
      </c>
      <c r="D2605" s="1" t="s">
        <v>11</v>
      </c>
      <c r="E2605" s="1" t="s">
        <v>9</v>
      </c>
      <c r="F2605" s="1">
        <f t="shared" si="82"/>
        <v>403</v>
      </c>
      <c r="G2605" s="5">
        <f t="shared" si="81"/>
        <v>0.77915632754342434</v>
      </c>
    </row>
    <row r="2606" spans="1:7" ht="13">
      <c r="A2606" s="4" t="s">
        <v>120</v>
      </c>
      <c r="B2606" s="1">
        <v>5.5</v>
      </c>
      <c r="C2606" s="1">
        <v>454</v>
      </c>
      <c r="D2606" s="1" t="s">
        <v>35</v>
      </c>
      <c r="E2606" s="1" t="s">
        <v>8</v>
      </c>
      <c r="F2606" s="1">
        <f t="shared" si="82"/>
        <v>550</v>
      </c>
      <c r="G2606" s="5">
        <f t="shared" si="81"/>
        <v>0.82545454545454544</v>
      </c>
    </row>
    <row r="2607" spans="1:7" ht="13">
      <c r="A2607" s="4" t="s">
        <v>120</v>
      </c>
      <c r="B2607" s="1">
        <v>8.6999999999999993</v>
      </c>
      <c r="C2607" s="1">
        <v>725</v>
      </c>
      <c r="D2607" s="1" t="s">
        <v>11</v>
      </c>
      <c r="E2607" s="1" t="s">
        <v>24</v>
      </c>
      <c r="F2607" s="1">
        <f t="shared" si="82"/>
        <v>869.99999999999989</v>
      </c>
      <c r="G2607" s="5">
        <f t="shared" si="81"/>
        <v>0.83333333333333348</v>
      </c>
    </row>
    <row r="2608" spans="1:7" ht="13">
      <c r="A2608" s="4" t="s">
        <v>120</v>
      </c>
      <c r="B2608" s="1">
        <v>8.6</v>
      </c>
      <c r="C2608" s="1">
        <v>740</v>
      </c>
      <c r="D2608" s="1" t="s">
        <v>11</v>
      </c>
      <c r="E2608" s="1" t="s">
        <v>12</v>
      </c>
      <c r="F2608" s="1">
        <f t="shared" si="82"/>
        <v>860</v>
      </c>
      <c r="G2608" s="5">
        <f t="shared" si="81"/>
        <v>0.86046511627906974</v>
      </c>
    </row>
    <row r="2609" spans="1:7" ht="13">
      <c r="A2609" s="4" t="s">
        <v>120</v>
      </c>
      <c r="B2609" s="1">
        <v>8.6</v>
      </c>
      <c r="C2609" s="1">
        <v>594</v>
      </c>
      <c r="D2609" s="1" t="s">
        <v>33</v>
      </c>
      <c r="E2609" s="1" t="s">
        <v>26</v>
      </c>
      <c r="F2609" s="1">
        <f t="shared" si="82"/>
        <v>860</v>
      </c>
      <c r="G2609" s="5">
        <f t="shared" si="81"/>
        <v>0.69069767441860463</v>
      </c>
    </row>
    <row r="2610" spans="1:7" ht="13">
      <c r="A2610" s="4" t="s">
        <v>120</v>
      </c>
      <c r="B2610" s="1">
        <v>6.5</v>
      </c>
      <c r="C2610" s="1">
        <v>484</v>
      </c>
      <c r="D2610" s="1" t="s">
        <v>39</v>
      </c>
      <c r="E2610" s="1" t="s">
        <v>16</v>
      </c>
      <c r="F2610" s="1">
        <f t="shared" si="82"/>
        <v>650</v>
      </c>
      <c r="G2610" s="5">
        <f t="shared" si="81"/>
        <v>0.74461538461538457</v>
      </c>
    </row>
    <row r="2611" spans="1:7" ht="13">
      <c r="A2611" s="4" t="s">
        <v>120</v>
      </c>
      <c r="B2611" s="1">
        <v>6.96</v>
      </c>
      <c r="C2611" s="1">
        <v>609</v>
      </c>
      <c r="D2611" s="1" t="s">
        <v>11</v>
      </c>
      <c r="E2611" s="1" t="s">
        <v>18</v>
      </c>
      <c r="F2611" s="1">
        <f t="shared" si="82"/>
        <v>696</v>
      </c>
      <c r="G2611" s="5">
        <f t="shared" si="81"/>
        <v>0.875</v>
      </c>
    </row>
    <row r="2612" spans="1:7" ht="13">
      <c r="A2612" s="4" t="s">
        <v>120</v>
      </c>
      <c r="B2612" s="1">
        <v>5</v>
      </c>
      <c r="C2612" s="1">
        <v>374</v>
      </c>
      <c r="D2612" s="1" t="s">
        <v>43</v>
      </c>
      <c r="E2612" s="1" t="s">
        <v>22</v>
      </c>
      <c r="F2612" s="1">
        <f t="shared" si="82"/>
        <v>500</v>
      </c>
      <c r="G2612" s="5">
        <f t="shared" si="81"/>
        <v>0.748</v>
      </c>
    </row>
    <row r="2613" spans="1:7" ht="13">
      <c r="A2613" s="4" t="s">
        <v>120</v>
      </c>
      <c r="B2613" s="1">
        <v>3.5</v>
      </c>
      <c r="C2613" s="1">
        <v>192</v>
      </c>
      <c r="D2613" s="1" t="s">
        <v>42</v>
      </c>
      <c r="E2613" s="1" t="s">
        <v>10</v>
      </c>
      <c r="F2613" s="1">
        <f t="shared" si="82"/>
        <v>350</v>
      </c>
      <c r="G2613" s="5">
        <f t="shared" si="81"/>
        <v>0.5485714285714286</v>
      </c>
    </row>
    <row r="2614" spans="1:7" ht="13">
      <c r="A2614" s="4" t="s">
        <v>120</v>
      </c>
      <c r="B2614" s="1">
        <v>7.3949999999999996</v>
      </c>
      <c r="C2614" s="1">
        <v>590</v>
      </c>
      <c r="D2614" s="1" t="s">
        <v>42</v>
      </c>
      <c r="E2614" s="1" t="s">
        <v>25</v>
      </c>
      <c r="F2614" s="1">
        <f t="shared" si="82"/>
        <v>739.5</v>
      </c>
      <c r="G2614" s="5">
        <f t="shared" si="81"/>
        <v>0.79783637592968226</v>
      </c>
    </row>
    <row r="2615" spans="1:7" ht="13">
      <c r="A2615" s="4" t="s">
        <v>120</v>
      </c>
      <c r="B2615" s="1">
        <v>10.199999999999999</v>
      </c>
      <c r="C2615" s="1">
        <v>630</v>
      </c>
      <c r="D2615" s="1" t="s">
        <v>47</v>
      </c>
      <c r="E2615" s="1" t="s">
        <v>7</v>
      </c>
      <c r="F2615" s="1">
        <f t="shared" si="82"/>
        <v>1019.9999999999999</v>
      </c>
      <c r="G2615" s="5">
        <f t="shared" si="81"/>
        <v>0.61764705882352944</v>
      </c>
    </row>
    <row r="2616" spans="1:7" ht="13">
      <c r="A2616" s="4" t="s">
        <v>120</v>
      </c>
      <c r="B2616" s="1">
        <v>6.75</v>
      </c>
      <c r="C2616" s="1">
        <v>421</v>
      </c>
      <c r="D2616" s="1" t="s">
        <v>33</v>
      </c>
      <c r="E2616" s="1" t="s">
        <v>15</v>
      </c>
      <c r="F2616" s="1">
        <f t="shared" si="82"/>
        <v>675</v>
      </c>
      <c r="G2616" s="5">
        <f t="shared" si="81"/>
        <v>0.62370370370370365</v>
      </c>
    </row>
    <row r="2617" spans="1:7" ht="13">
      <c r="A2617" s="4" t="s">
        <v>120</v>
      </c>
      <c r="B2617" s="1">
        <v>3.91</v>
      </c>
      <c r="C2617" s="1">
        <v>203</v>
      </c>
      <c r="D2617" s="1" t="s">
        <v>40</v>
      </c>
      <c r="E2617" s="1" t="s">
        <v>30</v>
      </c>
      <c r="F2617" s="1">
        <f t="shared" si="82"/>
        <v>391</v>
      </c>
      <c r="G2617" s="5">
        <f t="shared" si="81"/>
        <v>0.51918158567774941</v>
      </c>
    </row>
    <row r="2618" spans="1:7" ht="13">
      <c r="A2618" s="4" t="s">
        <v>120</v>
      </c>
      <c r="B2618" s="1">
        <v>9.4600000000000009</v>
      </c>
      <c r="C2618" s="1">
        <v>740</v>
      </c>
      <c r="D2618" s="1" t="s">
        <v>52</v>
      </c>
      <c r="E2618" s="1" t="s">
        <v>18</v>
      </c>
      <c r="F2618" s="1">
        <f t="shared" si="82"/>
        <v>946.00000000000011</v>
      </c>
      <c r="G2618" s="5">
        <f t="shared" si="81"/>
        <v>0.7822410147991542</v>
      </c>
    </row>
    <row r="2619" spans="1:7" ht="13">
      <c r="A2619" s="4" t="s">
        <v>120</v>
      </c>
      <c r="B2619" s="1">
        <v>6.02</v>
      </c>
      <c r="C2619" s="1">
        <v>523</v>
      </c>
      <c r="D2619" s="1" t="s">
        <v>38</v>
      </c>
      <c r="E2619" s="1" t="s">
        <v>8</v>
      </c>
      <c r="F2619" s="1">
        <f t="shared" si="82"/>
        <v>602</v>
      </c>
      <c r="G2619" s="5">
        <f t="shared" si="81"/>
        <v>0.8687707641196013</v>
      </c>
    </row>
    <row r="2620" spans="1:7" ht="13">
      <c r="A2620" s="4" t="s">
        <v>120</v>
      </c>
      <c r="B2620" s="1">
        <v>7.2</v>
      </c>
      <c r="C2620" s="1">
        <v>445</v>
      </c>
      <c r="D2620" s="1" t="s">
        <v>43</v>
      </c>
      <c r="E2620" s="1" t="s">
        <v>25</v>
      </c>
      <c r="F2620" s="1">
        <f t="shared" si="82"/>
        <v>720</v>
      </c>
      <c r="G2620" s="5">
        <f t="shared" si="81"/>
        <v>0.61805555555555558</v>
      </c>
    </row>
    <row r="2621" spans="1:7" ht="13">
      <c r="A2621" s="4" t="s">
        <v>120</v>
      </c>
      <c r="B2621" s="1">
        <v>6.09</v>
      </c>
      <c r="C2621" s="1">
        <v>451</v>
      </c>
      <c r="D2621" s="1" t="s">
        <v>42</v>
      </c>
      <c r="E2621" s="1" t="s">
        <v>8</v>
      </c>
      <c r="F2621" s="1">
        <f t="shared" si="82"/>
        <v>609</v>
      </c>
      <c r="G2621" s="5">
        <f t="shared" si="81"/>
        <v>0.7405582922824302</v>
      </c>
    </row>
    <row r="2622" spans="1:7" ht="13">
      <c r="A2622" s="4" t="s">
        <v>120</v>
      </c>
      <c r="B2622" s="1">
        <v>4.0999999999999996</v>
      </c>
      <c r="C2622" s="1">
        <v>405</v>
      </c>
      <c r="D2622" s="1" t="s">
        <v>11</v>
      </c>
      <c r="E2622" s="1" t="s">
        <v>12</v>
      </c>
      <c r="F2622" s="1">
        <f t="shared" si="82"/>
        <v>409.99999999999994</v>
      </c>
      <c r="G2622" s="5">
        <f t="shared" si="81"/>
        <v>0.98780487804878059</v>
      </c>
    </row>
    <row r="2623" spans="1:7" ht="13">
      <c r="A2623" s="4" t="s">
        <v>120</v>
      </c>
      <c r="B2623" s="1">
        <v>7.74</v>
      </c>
      <c r="C2623" s="1">
        <v>472</v>
      </c>
      <c r="D2623" s="1" t="s">
        <v>43</v>
      </c>
      <c r="E2623" s="1" t="s">
        <v>16</v>
      </c>
      <c r="F2623" s="1">
        <f t="shared" si="82"/>
        <v>774</v>
      </c>
      <c r="G2623" s="5">
        <f t="shared" si="81"/>
        <v>0.60981912144702843</v>
      </c>
    </row>
    <row r="2624" spans="1:7" ht="13">
      <c r="A2624" s="4" t="s">
        <v>120</v>
      </c>
      <c r="B2624" s="1">
        <v>6.88</v>
      </c>
      <c r="C2624" s="1">
        <v>623</v>
      </c>
      <c r="D2624" s="1" t="s">
        <v>11</v>
      </c>
      <c r="E2624" s="1" t="s">
        <v>8</v>
      </c>
      <c r="F2624" s="1">
        <f t="shared" si="82"/>
        <v>688</v>
      </c>
      <c r="G2624" s="5">
        <f t="shared" si="81"/>
        <v>0.90552325581395354</v>
      </c>
    </row>
    <row r="2625" spans="1:7" ht="13">
      <c r="A2625" s="4" t="s">
        <v>120</v>
      </c>
      <c r="B2625" s="1">
        <v>6.96</v>
      </c>
      <c r="C2625" s="1">
        <v>533</v>
      </c>
      <c r="D2625" s="1" t="s">
        <v>11</v>
      </c>
      <c r="E2625" s="1" t="s">
        <v>31</v>
      </c>
      <c r="F2625" s="1">
        <f t="shared" si="82"/>
        <v>696</v>
      </c>
      <c r="G2625" s="5">
        <f t="shared" si="81"/>
        <v>0.76580459770114939</v>
      </c>
    </row>
    <row r="2626" spans="1:7" ht="13">
      <c r="A2626" s="4" t="s">
        <v>120</v>
      </c>
      <c r="B2626" s="1">
        <v>7</v>
      </c>
      <c r="C2626" s="1">
        <v>546</v>
      </c>
      <c r="D2626" s="1" t="s">
        <v>11</v>
      </c>
      <c r="E2626" s="1" t="s">
        <v>7</v>
      </c>
      <c r="F2626" s="1">
        <f t="shared" si="82"/>
        <v>700</v>
      </c>
      <c r="G2626" s="5">
        <f t="shared" ref="G2626:G2689" si="83">C2626/F2626</f>
        <v>0.78</v>
      </c>
    </row>
    <row r="2627" spans="1:7" ht="13">
      <c r="A2627" s="4" t="s">
        <v>120</v>
      </c>
      <c r="B2627" s="1">
        <v>6</v>
      </c>
      <c r="C2627" s="1">
        <v>509</v>
      </c>
      <c r="D2627" s="1" t="s">
        <v>11</v>
      </c>
      <c r="E2627" s="1" t="s">
        <v>10</v>
      </c>
      <c r="F2627" s="1">
        <f t="shared" si="82"/>
        <v>600</v>
      </c>
      <c r="G2627" s="5">
        <f t="shared" si="83"/>
        <v>0.84833333333333338</v>
      </c>
    </row>
    <row r="2628" spans="1:7" ht="13">
      <c r="A2628" s="4" t="s">
        <v>120</v>
      </c>
      <c r="B2628" s="1">
        <v>6</v>
      </c>
      <c r="C2628" s="1">
        <v>551</v>
      </c>
      <c r="D2628" s="1" t="s">
        <v>11</v>
      </c>
      <c r="E2628" s="1" t="s">
        <v>19</v>
      </c>
      <c r="F2628" s="1">
        <f t="shared" si="82"/>
        <v>600</v>
      </c>
      <c r="G2628" s="5">
        <f t="shared" si="83"/>
        <v>0.91833333333333333</v>
      </c>
    </row>
    <row r="2629" spans="1:7" ht="13">
      <c r="A2629" s="4" t="s">
        <v>120</v>
      </c>
      <c r="B2629" s="1">
        <v>5.2</v>
      </c>
      <c r="C2629" s="1">
        <v>342</v>
      </c>
      <c r="D2629" s="1" t="s">
        <v>11</v>
      </c>
      <c r="E2629" s="1" t="s">
        <v>27</v>
      </c>
      <c r="F2629" s="1">
        <f t="shared" si="82"/>
        <v>520</v>
      </c>
      <c r="G2629" s="5">
        <f t="shared" si="83"/>
        <v>0.65769230769230769</v>
      </c>
    </row>
    <row r="2630" spans="1:7" ht="13">
      <c r="A2630" s="4" t="s">
        <v>120</v>
      </c>
      <c r="B2630" s="1">
        <v>8.6999999999999993</v>
      </c>
      <c r="C2630" s="1">
        <v>718</v>
      </c>
      <c r="D2630" s="1" t="s">
        <v>35</v>
      </c>
      <c r="E2630" s="1" t="s">
        <v>27</v>
      </c>
      <c r="F2630" s="1">
        <f t="shared" si="82"/>
        <v>869.99999999999989</v>
      </c>
      <c r="G2630" s="5">
        <f t="shared" si="83"/>
        <v>0.82528735632183914</v>
      </c>
    </row>
    <row r="2631" spans="1:7" ht="13">
      <c r="A2631" s="4" t="s">
        <v>120</v>
      </c>
      <c r="B2631" s="1">
        <v>5.65</v>
      </c>
      <c r="C2631" s="1">
        <v>314</v>
      </c>
      <c r="D2631" s="1" t="s">
        <v>33</v>
      </c>
      <c r="E2631" s="1" t="s">
        <v>15</v>
      </c>
      <c r="F2631" s="1">
        <f t="shared" si="82"/>
        <v>565</v>
      </c>
      <c r="G2631" s="5">
        <f t="shared" si="83"/>
        <v>0.55575221238938055</v>
      </c>
    </row>
    <row r="2632" spans="1:7" ht="13">
      <c r="A2632" s="4" t="s">
        <v>120</v>
      </c>
      <c r="B2632" s="1">
        <v>9.1999999999999993</v>
      </c>
      <c r="C2632" s="1">
        <v>536</v>
      </c>
      <c r="D2632" s="1" t="s">
        <v>33</v>
      </c>
      <c r="E2632" s="1" t="s">
        <v>20</v>
      </c>
      <c r="F2632" s="1">
        <f t="shared" si="82"/>
        <v>919.99999999999989</v>
      </c>
      <c r="G2632" s="5">
        <f t="shared" si="83"/>
        <v>0.58260869565217399</v>
      </c>
    </row>
    <row r="2633" spans="1:7" ht="13">
      <c r="A2633" s="4" t="s">
        <v>120</v>
      </c>
      <c r="B2633" s="1">
        <v>6.49</v>
      </c>
      <c r="C2633" s="1">
        <v>442</v>
      </c>
      <c r="D2633" s="1" t="s">
        <v>54</v>
      </c>
      <c r="E2633" s="1" t="s">
        <v>25</v>
      </c>
      <c r="F2633" s="1">
        <f t="shared" si="82"/>
        <v>649</v>
      </c>
      <c r="G2633" s="5">
        <f t="shared" si="83"/>
        <v>0.68104776579352855</v>
      </c>
    </row>
    <row r="2634" spans="1:7" ht="13">
      <c r="A2634" s="4" t="s">
        <v>120</v>
      </c>
      <c r="B2634" s="1">
        <v>8.6</v>
      </c>
      <c r="C2634" s="1">
        <v>731</v>
      </c>
      <c r="D2634" s="1" t="s">
        <v>11</v>
      </c>
      <c r="E2634" s="1" t="s">
        <v>19</v>
      </c>
      <c r="F2634" s="1">
        <f t="shared" si="82"/>
        <v>860</v>
      </c>
      <c r="G2634" s="5">
        <f t="shared" si="83"/>
        <v>0.85</v>
      </c>
    </row>
    <row r="2635" spans="1:7" ht="13">
      <c r="A2635" s="4" t="s">
        <v>120</v>
      </c>
      <c r="B2635" s="1">
        <v>6.8</v>
      </c>
      <c r="C2635" s="1">
        <v>339.5</v>
      </c>
      <c r="D2635" s="1" t="s">
        <v>33</v>
      </c>
      <c r="E2635" s="1" t="s">
        <v>19</v>
      </c>
      <c r="F2635" s="1">
        <f t="shared" si="82"/>
        <v>680</v>
      </c>
      <c r="G2635" s="5">
        <f t="shared" si="83"/>
        <v>0.49926470588235294</v>
      </c>
    </row>
    <row r="2636" spans="1:7" ht="13">
      <c r="A2636" s="4" t="s">
        <v>120</v>
      </c>
      <c r="B2636" s="1">
        <v>5.4</v>
      </c>
      <c r="C2636" s="1">
        <v>528</v>
      </c>
      <c r="D2636" s="1" t="s">
        <v>39</v>
      </c>
      <c r="E2636" s="1" t="s">
        <v>8</v>
      </c>
      <c r="F2636" s="1">
        <f t="shared" si="82"/>
        <v>540</v>
      </c>
      <c r="G2636" s="5">
        <f t="shared" si="83"/>
        <v>0.97777777777777775</v>
      </c>
    </row>
    <row r="2637" spans="1:7" ht="13">
      <c r="A2637" s="4" t="s">
        <v>120</v>
      </c>
      <c r="B2637" s="1">
        <v>6.1</v>
      </c>
      <c r="C2637" s="1">
        <v>506</v>
      </c>
      <c r="D2637" s="1" t="s">
        <v>11</v>
      </c>
      <c r="E2637" s="1" t="s">
        <v>17</v>
      </c>
      <c r="F2637" s="1">
        <f t="shared" si="82"/>
        <v>610</v>
      </c>
      <c r="G2637" s="5">
        <f t="shared" si="83"/>
        <v>0.82950819672131149</v>
      </c>
    </row>
    <row r="2638" spans="1:7" ht="13">
      <c r="A2638" s="4" t="s">
        <v>120</v>
      </c>
      <c r="B2638" s="1">
        <v>8.8000000000000007</v>
      </c>
      <c r="C2638" s="1">
        <v>580</v>
      </c>
      <c r="D2638" s="1" t="s">
        <v>47</v>
      </c>
      <c r="E2638" s="1" t="s">
        <v>30</v>
      </c>
      <c r="F2638" s="1">
        <f t="shared" si="82"/>
        <v>880.00000000000011</v>
      </c>
      <c r="G2638" s="5">
        <f t="shared" si="83"/>
        <v>0.65909090909090906</v>
      </c>
    </row>
    <row r="2639" spans="1:7" ht="13">
      <c r="A2639" s="4" t="s">
        <v>120</v>
      </c>
      <c r="B2639" s="1">
        <v>7.7</v>
      </c>
      <c r="C2639" s="1">
        <v>575</v>
      </c>
      <c r="D2639" s="1" t="s">
        <v>39</v>
      </c>
      <c r="E2639" s="1" t="s">
        <v>16</v>
      </c>
      <c r="F2639" s="1">
        <f t="shared" si="82"/>
        <v>770</v>
      </c>
      <c r="G2639" s="5">
        <f t="shared" si="83"/>
        <v>0.74675324675324672</v>
      </c>
    </row>
    <row r="2640" spans="1:7" ht="13">
      <c r="A2640" s="4" t="s">
        <v>120</v>
      </c>
      <c r="B2640" s="1">
        <v>6.64</v>
      </c>
      <c r="C2640" s="1">
        <v>534</v>
      </c>
      <c r="D2640" s="1" t="s">
        <v>11</v>
      </c>
      <c r="E2640" s="1" t="s">
        <v>25</v>
      </c>
      <c r="F2640" s="1">
        <f t="shared" si="82"/>
        <v>664</v>
      </c>
      <c r="G2640" s="5">
        <f t="shared" si="83"/>
        <v>0.80421686746987953</v>
      </c>
    </row>
    <row r="2641" spans="1:7" ht="13">
      <c r="A2641" s="4" t="s">
        <v>120</v>
      </c>
      <c r="B2641" s="1">
        <v>4.3499999999999996</v>
      </c>
      <c r="C2641" s="1">
        <v>361</v>
      </c>
      <c r="D2641" s="1" t="s">
        <v>11</v>
      </c>
      <c r="E2641" s="1" t="s">
        <v>8</v>
      </c>
      <c r="F2641" s="1">
        <f t="shared" si="82"/>
        <v>434.99999999999994</v>
      </c>
      <c r="G2641" s="5">
        <f t="shared" si="83"/>
        <v>0.82988505747126451</v>
      </c>
    </row>
    <row r="2642" spans="1:7" ht="13">
      <c r="A2642" s="4" t="s">
        <v>120</v>
      </c>
      <c r="B2642" s="1">
        <v>6</v>
      </c>
      <c r="C2642" s="1">
        <v>410</v>
      </c>
      <c r="D2642" s="1" t="s">
        <v>33</v>
      </c>
      <c r="E2642" s="1" t="s">
        <v>15</v>
      </c>
      <c r="F2642" s="1">
        <f t="shared" si="82"/>
        <v>600</v>
      </c>
      <c r="G2642" s="5">
        <f t="shared" si="83"/>
        <v>0.68333333333333335</v>
      </c>
    </row>
    <row r="2643" spans="1:7" ht="13">
      <c r="A2643" s="4" t="s">
        <v>120</v>
      </c>
      <c r="B2643" s="1">
        <v>7.4</v>
      </c>
      <c r="C2643" s="1">
        <v>555</v>
      </c>
      <c r="D2643" s="1" t="s">
        <v>11</v>
      </c>
      <c r="E2643" s="1" t="s">
        <v>10</v>
      </c>
      <c r="F2643" s="1">
        <f t="shared" si="82"/>
        <v>740</v>
      </c>
      <c r="G2643" s="5">
        <f t="shared" si="83"/>
        <v>0.75</v>
      </c>
    </row>
    <row r="2644" spans="1:7" ht="13">
      <c r="A2644" s="4" t="s">
        <v>120</v>
      </c>
      <c r="B2644" s="1">
        <v>5.2</v>
      </c>
      <c r="C2644" s="1">
        <v>564</v>
      </c>
      <c r="D2644" s="1" t="s">
        <v>11</v>
      </c>
      <c r="E2644" s="1" t="s">
        <v>19</v>
      </c>
      <c r="F2644" s="1">
        <f t="shared" si="82"/>
        <v>520</v>
      </c>
      <c r="G2644" s="5">
        <f t="shared" si="83"/>
        <v>1.0846153846153845</v>
      </c>
    </row>
    <row r="2645" spans="1:7" ht="13">
      <c r="A2645" s="4" t="s">
        <v>120</v>
      </c>
      <c r="B2645" s="1">
        <v>6.1</v>
      </c>
      <c r="C2645" s="1">
        <v>545</v>
      </c>
      <c r="D2645" s="1" t="s">
        <v>38</v>
      </c>
      <c r="E2645" s="1" t="s">
        <v>8</v>
      </c>
      <c r="F2645" s="1">
        <f t="shared" si="82"/>
        <v>610</v>
      </c>
      <c r="G2645" s="5">
        <f t="shared" si="83"/>
        <v>0.89344262295081966</v>
      </c>
    </row>
    <row r="2646" spans="1:7" ht="13">
      <c r="A2646" s="4" t="s">
        <v>120</v>
      </c>
      <c r="B2646" s="1">
        <v>5.12</v>
      </c>
      <c r="C2646" s="1">
        <v>440</v>
      </c>
      <c r="D2646" s="1" t="s">
        <v>11</v>
      </c>
      <c r="E2646" s="1" t="s">
        <v>16</v>
      </c>
      <c r="F2646" s="1">
        <f t="shared" si="82"/>
        <v>512</v>
      </c>
      <c r="G2646" s="5">
        <f t="shared" si="83"/>
        <v>0.859375</v>
      </c>
    </row>
    <row r="2647" spans="1:7" ht="13">
      <c r="A2647" s="4" t="s">
        <v>120</v>
      </c>
      <c r="B2647" s="1">
        <v>9.24</v>
      </c>
      <c r="C2647" s="1">
        <v>704</v>
      </c>
      <c r="D2647" s="1" t="s">
        <v>42</v>
      </c>
      <c r="E2647" s="1" t="s">
        <v>12</v>
      </c>
      <c r="F2647" s="1">
        <f t="shared" si="82"/>
        <v>924</v>
      </c>
      <c r="G2647" s="5">
        <f t="shared" si="83"/>
        <v>0.76190476190476186</v>
      </c>
    </row>
    <row r="2648" spans="1:7" ht="13">
      <c r="A2648" s="4" t="s">
        <v>120</v>
      </c>
      <c r="B2648" s="1">
        <v>4.5</v>
      </c>
      <c r="C2648" s="1">
        <v>373</v>
      </c>
      <c r="D2648" s="1" t="s">
        <v>11</v>
      </c>
      <c r="E2648" s="1" t="s">
        <v>15</v>
      </c>
      <c r="F2648" s="1">
        <f t="shared" si="82"/>
        <v>450</v>
      </c>
      <c r="G2648" s="5">
        <f t="shared" si="83"/>
        <v>0.8288888888888889</v>
      </c>
    </row>
    <row r="2649" spans="1:7" ht="13">
      <c r="A2649" s="4" t="s">
        <v>120</v>
      </c>
      <c r="B2649" s="1">
        <v>5.6</v>
      </c>
      <c r="C2649" s="1">
        <v>286</v>
      </c>
      <c r="D2649" s="1" t="s">
        <v>102</v>
      </c>
      <c r="E2649" s="1" t="s">
        <v>26</v>
      </c>
      <c r="F2649" s="1">
        <f t="shared" si="82"/>
        <v>560</v>
      </c>
      <c r="G2649" s="5">
        <f t="shared" si="83"/>
        <v>0.51071428571428568</v>
      </c>
    </row>
    <row r="2650" spans="1:7" ht="13">
      <c r="A2650" s="4" t="s">
        <v>120</v>
      </c>
      <c r="B2650" s="1">
        <v>6.1</v>
      </c>
      <c r="C2650" s="1">
        <v>496.6</v>
      </c>
      <c r="D2650" s="1" t="s">
        <v>11</v>
      </c>
      <c r="E2650" s="1" t="s">
        <v>15</v>
      </c>
      <c r="F2650" s="1">
        <f t="shared" si="82"/>
        <v>610</v>
      </c>
      <c r="G2650" s="5">
        <f t="shared" si="83"/>
        <v>0.81409836065573771</v>
      </c>
    </row>
    <row r="2651" spans="1:7" ht="13">
      <c r="A2651" s="4" t="s">
        <v>120</v>
      </c>
      <c r="B2651" s="1">
        <v>4</v>
      </c>
      <c r="C2651" s="1">
        <v>360.3</v>
      </c>
      <c r="D2651" s="1" t="s">
        <v>11</v>
      </c>
      <c r="E2651" s="1" t="s">
        <v>15</v>
      </c>
      <c r="F2651" s="1">
        <f t="shared" si="82"/>
        <v>400</v>
      </c>
      <c r="G2651" s="5">
        <f t="shared" si="83"/>
        <v>0.90075000000000005</v>
      </c>
    </row>
    <row r="2652" spans="1:7" ht="13">
      <c r="A2652" s="4" t="s">
        <v>120</v>
      </c>
      <c r="B2652" s="1">
        <v>7.7</v>
      </c>
      <c r="C2652" s="1">
        <v>438</v>
      </c>
      <c r="D2652" s="1" t="s">
        <v>33</v>
      </c>
      <c r="E2652" s="1" t="s">
        <v>16</v>
      </c>
      <c r="F2652" s="1">
        <f t="shared" si="82"/>
        <v>770</v>
      </c>
      <c r="G2652" s="5">
        <f t="shared" si="83"/>
        <v>0.5688311688311688</v>
      </c>
    </row>
    <row r="2653" spans="1:7" ht="13">
      <c r="A2653" s="4" t="s">
        <v>120</v>
      </c>
      <c r="B2653" s="1">
        <v>6.1</v>
      </c>
      <c r="C2653" s="1">
        <v>420</v>
      </c>
      <c r="D2653" s="1" t="s">
        <v>63</v>
      </c>
      <c r="E2653" s="1" t="s">
        <v>23</v>
      </c>
      <c r="F2653" s="1">
        <f t="shared" si="82"/>
        <v>610</v>
      </c>
      <c r="G2653" s="5">
        <f t="shared" si="83"/>
        <v>0.68852459016393441</v>
      </c>
    </row>
    <row r="2654" spans="1:7" ht="13">
      <c r="A2654" s="4" t="s">
        <v>120</v>
      </c>
      <c r="B2654" s="1">
        <v>6.24</v>
      </c>
      <c r="C2654" s="1">
        <v>689</v>
      </c>
      <c r="D2654" s="1" t="s">
        <v>11</v>
      </c>
      <c r="E2654" s="1" t="s">
        <v>17</v>
      </c>
      <c r="F2654" s="1">
        <f t="shared" si="82"/>
        <v>624</v>
      </c>
      <c r="G2654" s="5">
        <f t="shared" si="83"/>
        <v>1.1041666666666667</v>
      </c>
    </row>
    <row r="2655" spans="1:7" ht="13">
      <c r="A2655" s="4" t="s">
        <v>120</v>
      </c>
      <c r="B2655" s="1">
        <v>7.2</v>
      </c>
      <c r="C2655" s="1">
        <v>622</v>
      </c>
      <c r="D2655" s="1" t="s">
        <v>47</v>
      </c>
      <c r="E2655" s="1" t="s">
        <v>17</v>
      </c>
      <c r="F2655" s="1">
        <f t="shared" si="82"/>
        <v>720</v>
      </c>
      <c r="G2655" s="5">
        <f t="shared" si="83"/>
        <v>0.86388888888888893</v>
      </c>
    </row>
    <row r="2656" spans="1:7" ht="13">
      <c r="A2656" s="4" t="s">
        <v>120</v>
      </c>
      <c r="B2656" s="1">
        <v>7.7</v>
      </c>
      <c r="C2656" s="1">
        <v>493</v>
      </c>
      <c r="D2656" s="1" t="s">
        <v>33</v>
      </c>
      <c r="E2656" s="1" t="s">
        <v>8</v>
      </c>
      <c r="F2656" s="1">
        <f t="shared" ref="F2656:F2719" si="84">B2656*100</f>
        <v>770</v>
      </c>
      <c r="G2656" s="5">
        <f t="shared" si="83"/>
        <v>0.64025974025974031</v>
      </c>
    </row>
    <row r="2657" spans="1:7" ht="13">
      <c r="A2657" s="4" t="s">
        <v>120</v>
      </c>
      <c r="B2657" s="1">
        <v>7.74</v>
      </c>
      <c r="C2657" s="1">
        <v>589</v>
      </c>
      <c r="D2657" s="1" t="s">
        <v>42</v>
      </c>
      <c r="E2657" s="1" t="s">
        <v>49</v>
      </c>
      <c r="F2657" s="1">
        <f t="shared" si="84"/>
        <v>774</v>
      </c>
      <c r="G2657" s="5">
        <f t="shared" si="83"/>
        <v>0.76098191214470279</v>
      </c>
    </row>
    <row r="2658" spans="1:7" ht="13">
      <c r="A2658" s="4" t="s">
        <v>120</v>
      </c>
      <c r="B2658" s="1">
        <v>6.1</v>
      </c>
      <c r="C2658" s="1">
        <v>476</v>
      </c>
      <c r="D2658" s="1" t="s">
        <v>11</v>
      </c>
      <c r="E2658" s="1" t="s">
        <v>20</v>
      </c>
      <c r="F2658" s="1">
        <f t="shared" si="84"/>
        <v>610</v>
      </c>
      <c r="G2658" s="5">
        <f t="shared" si="83"/>
        <v>0.78032786885245897</v>
      </c>
    </row>
    <row r="2659" spans="1:7" ht="13">
      <c r="A2659" s="4" t="s">
        <v>120</v>
      </c>
      <c r="B2659" s="1">
        <v>4.9800000000000004</v>
      </c>
      <c r="C2659" s="1">
        <v>349</v>
      </c>
      <c r="D2659" s="1" t="s">
        <v>11</v>
      </c>
      <c r="E2659" s="1" t="s">
        <v>25</v>
      </c>
      <c r="F2659" s="1">
        <f t="shared" si="84"/>
        <v>498.00000000000006</v>
      </c>
      <c r="G2659" s="5">
        <f t="shared" si="83"/>
        <v>0.70080321285140557</v>
      </c>
    </row>
    <row r="2660" spans="1:7" ht="13">
      <c r="A2660" s="4" t="s">
        <v>120</v>
      </c>
      <c r="B2660" s="1">
        <v>7.56</v>
      </c>
      <c r="C2660" s="1">
        <v>469</v>
      </c>
      <c r="D2660" s="1" t="s">
        <v>53</v>
      </c>
      <c r="E2660" s="1" t="s">
        <v>31</v>
      </c>
      <c r="F2660" s="1">
        <f t="shared" si="84"/>
        <v>756</v>
      </c>
      <c r="G2660" s="5">
        <f t="shared" si="83"/>
        <v>0.62037037037037035</v>
      </c>
    </row>
    <row r="2661" spans="1:7" ht="13">
      <c r="A2661" s="4" t="s">
        <v>120</v>
      </c>
      <c r="B2661" s="1">
        <v>6.88</v>
      </c>
      <c r="C2661" s="1">
        <v>603</v>
      </c>
      <c r="D2661" s="1" t="s">
        <v>11</v>
      </c>
      <c r="E2661" s="1" t="s">
        <v>15</v>
      </c>
      <c r="F2661" s="1">
        <f t="shared" si="84"/>
        <v>688</v>
      </c>
      <c r="G2661" s="5">
        <f t="shared" si="83"/>
        <v>0.87645348837209303</v>
      </c>
    </row>
    <row r="2662" spans="1:7" ht="13">
      <c r="A2662" s="4" t="s">
        <v>120</v>
      </c>
      <c r="B2662" s="1">
        <v>4.4000000000000004</v>
      </c>
      <c r="C2662" s="1">
        <v>279</v>
      </c>
      <c r="D2662" s="1" t="s">
        <v>33</v>
      </c>
      <c r="E2662" s="1" t="s">
        <v>8</v>
      </c>
      <c r="F2662" s="1">
        <f t="shared" si="84"/>
        <v>440.00000000000006</v>
      </c>
      <c r="G2662" s="5">
        <f t="shared" si="83"/>
        <v>0.63409090909090904</v>
      </c>
    </row>
    <row r="2663" spans="1:7" ht="13">
      <c r="A2663" s="4" t="s">
        <v>120</v>
      </c>
      <c r="B2663" s="1">
        <v>7.8</v>
      </c>
      <c r="C2663" s="1">
        <v>625</v>
      </c>
      <c r="D2663" s="1" t="s">
        <v>11</v>
      </c>
      <c r="E2663" s="1" t="s">
        <v>8</v>
      </c>
      <c r="F2663" s="1">
        <f t="shared" si="84"/>
        <v>780</v>
      </c>
      <c r="G2663" s="5">
        <f t="shared" si="83"/>
        <v>0.80128205128205132</v>
      </c>
    </row>
    <row r="2664" spans="1:7" ht="13">
      <c r="A2664" s="4" t="s">
        <v>120</v>
      </c>
      <c r="B2664" s="1">
        <v>6.4</v>
      </c>
      <c r="C2664" s="1">
        <v>628</v>
      </c>
      <c r="D2664" s="1" t="s">
        <v>11</v>
      </c>
      <c r="E2664" s="1" t="s">
        <v>32</v>
      </c>
      <c r="F2664" s="1">
        <f t="shared" si="84"/>
        <v>640</v>
      </c>
      <c r="G2664" s="5">
        <f t="shared" si="83"/>
        <v>0.98124999999999996</v>
      </c>
    </row>
    <row r="2665" spans="1:7" ht="13">
      <c r="A2665" s="4" t="s">
        <v>120</v>
      </c>
      <c r="B2665" s="1">
        <v>8.9</v>
      </c>
      <c r="C2665" s="1">
        <v>667.2</v>
      </c>
      <c r="D2665" s="1" t="s">
        <v>47</v>
      </c>
      <c r="E2665" s="1" t="s">
        <v>17</v>
      </c>
      <c r="F2665" s="1">
        <f t="shared" si="84"/>
        <v>890</v>
      </c>
      <c r="G2665" s="5">
        <f t="shared" si="83"/>
        <v>0.74966292134831469</v>
      </c>
    </row>
    <row r="2666" spans="1:7" ht="13">
      <c r="A2666" s="4" t="s">
        <v>120</v>
      </c>
      <c r="B2666" s="1">
        <v>6</v>
      </c>
      <c r="C2666" s="1">
        <v>502</v>
      </c>
      <c r="D2666" s="1" t="s">
        <v>38</v>
      </c>
      <c r="E2666" s="1" t="s">
        <v>15</v>
      </c>
      <c r="F2666" s="1">
        <f t="shared" si="84"/>
        <v>600</v>
      </c>
      <c r="G2666" s="5">
        <f t="shared" si="83"/>
        <v>0.83666666666666667</v>
      </c>
    </row>
    <row r="2667" spans="1:7" ht="13">
      <c r="A2667" s="4" t="s">
        <v>120</v>
      </c>
      <c r="B2667" s="1">
        <v>6.02</v>
      </c>
      <c r="C2667" s="1">
        <v>444.24</v>
      </c>
      <c r="D2667" s="1" t="s">
        <v>11</v>
      </c>
      <c r="E2667" s="1" t="s">
        <v>22</v>
      </c>
      <c r="F2667" s="1">
        <f t="shared" si="84"/>
        <v>602</v>
      </c>
      <c r="G2667" s="5">
        <f t="shared" si="83"/>
        <v>0.73794019933554822</v>
      </c>
    </row>
    <row r="2668" spans="1:7" ht="13">
      <c r="A2668" s="4" t="s">
        <v>120</v>
      </c>
      <c r="B2668" s="1">
        <v>8.6999999999999993</v>
      </c>
      <c r="C2668" s="1">
        <v>585</v>
      </c>
      <c r="D2668" s="1" t="s">
        <v>45</v>
      </c>
      <c r="E2668" s="1" t="s">
        <v>20</v>
      </c>
      <c r="F2668" s="1">
        <f t="shared" si="84"/>
        <v>869.99999999999989</v>
      </c>
      <c r="G2668" s="5">
        <f t="shared" si="83"/>
        <v>0.6724137931034484</v>
      </c>
    </row>
    <row r="2669" spans="1:7" ht="13">
      <c r="A2669" s="4" t="s">
        <v>120</v>
      </c>
      <c r="B2669" s="1">
        <v>6.09</v>
      </c>
      <c r="C2669" s="1">
        <v>465</v>
      </c>
      <c r="D2669" s="1" t="s">
        <v>44</v>
      </c>
      <c r="E2669" s="1" t="s">
        <v>20</v>
      </c>
      <c r="F2669" s="1">
        <f t="shared" si="84"/>
        <v>609</v>
      </c>
      <c r="G2669" s="5">
        <f t="shared" si="83"/>
        <v>0.76354679802955661</v>
      </c>
    </row>
    <row r="2670" spans="1:7" ht="13">
      <c r="A2670" s="4" t="s">
        <v>120</v>
      </c>
      <c r="B2670" s="1">
        <v>6.5</v>
      </c>
      <c r="C2670" s="1">
        <v>420</v>
      </c>
      <c r="D2670" s="1" t="s">
        <v>45</v>
      </c>
      <c r="E2670" s="1" t="s">
        <v>20</v>
      </c>
      <c r="F2670" s="1">
        <f t="shared" si="84"/>
        <v>650</v>
      </c>
      <c r="G2670" s="5">
        <f t="shared" si="83"/>
        <v>0.64615384615384619</v>
      </c>
    </row>
    <row r="2671" spans="1:7" ht="13">
      <c r="A2671" s="4" t="s">
        <v>120</v>
      </c>
      <c r="B2671" s="1">
        <v>20</v>
      </c>
      <c r="C2671" s="1">
        <v>1080</v>
      </c>
      <c r="D2671" s="1" t="s">
        <v>33</v>
      </c>
      <c r="E2671" s="1" t="s">
        <v>20</v>
      </c>
      <c r="F2671" s="1">
        <f t="shared" si="84"/>
        <v>2000</v>
      </c>
      <c r="G2671" s="5">
        <f t="shared" si="83"/>
        <v>0.54</v>
      </c>
    </row>
    <row r="2672" spans="1:7" ht="13">
      <c r="A2672" s="4" t="s">
        <v>120</v>
      </c>
      <c r="B2672" s="1">
        <v>8.5</v>
      </c>
      <c r="C2672" s="1">
        <v>569</v>
      </c>
      <c r="D2672" s="1" t="s">
        <v>33</v>
      </c>
      <c r="E2672" s="1" t="s">
        <v>46</v>
      </c>
      <c r="F2672" s="1">
        <f t="shared" si="84"/>
        <v>850</v>
      </c>
      <c r="G2672" s="5">
        <f t="shared" si="83"/>
        <v>0.66941176470588237</v>
      </c>
    </row>
    <row r="2673" spans="1:7" ht="13">
      <c r="A2673" s="4" t="s">
        <v>120</v>
      </c>
      <c r="B2673" s="1">
        <v>7.74</v>
      </c>
      <c r="C2673" s="1">
        <v>705.5</v>
      </c>
      <c r="D2673" s="1" t="s">
        <v>11</v>
      </c>
      <c r="E2673" s="1" t="s">
        <v>17</v>
      </c>
      <c r="F2673" s="1">
        <f t="shared" si="84"/>
        <v>774</v>
      </c>
      <c r="G2673" s="5">
        <f t="shared" si="83"/>
        <v>0.91149870801033595</v>
      </c>
    </row>
    <row r="2674" spans="1:7" ht="13">
      <c r="A2674" s="4" t="s">
        <v>120</v>
      </c>
      <c r="B2674" s="1">
        <v>4.3499999999999996</v>
      </c>
      <c r="C2674" s="1">
        <v>424</v>
      </c>
      <c r="D2674" s="1" t="s">
        <v>38</v>
      </c>
      <c r="E2674" s="1" t="s">
        <v>9</v>
      </c>
      <c r="F2674" s="1">
        <f t="shared" si="84"/>
        <v>434.99999999999994</v>
      </c>
      <c r="G2674" s="5">
        <f t="shared" si="83"/>
        <v>0.97471264367816102</v>
      </c>
    </row>
    <row r="2675" spans="1:7" ht="13">
      <c r="A2675" s="4" t="s">
        <v>120</v>
      </c>
      <c r="B2675" s="1">
        <v>6</v>
      </c>
      <c r="C2675" s="1">
        <v>398</v>
      </c>
      <c r="D2675" s="1" t="s">
        <v>108</v>
      </c>
      <c r="E2675" s="1" t="s">
        <v>9</v>
      </c>
      <c r="F2675" s="1">
        <f t="shared" si="84"/>
        <v>600</v>
      </c>
      <c r="G2675" s="5">
        <f t="shared" si="83"/>
        <v>0.66333333333333333</v>
      </c>
    </row>
    <row r="2676" spans="1:7" ht="13">
      <c r="A2676" s="4" t="s">
        <v>120</v>
      </c>
      <c r="B2676" s="1">
        <v>7.5</v>
      </c>
      <c r="C2676" s="1">
        <v>493</v>
      </c>
      <c r="D2676" s="1" t="s">
        <v>11</v>
      </c>
      <c r="E2676" s="1" t="s">
        <v>16</v>
      </c>
      <c r="F2676" s="1">
        <f t="shared" si="84"/>
        <v>750</v>
      </c>
      <c r="G2676" s="5">
        <f t="shared" si="83"/>
        <v>0.65733333333333333</v>
      </c>
    </row>
    <row r="2677" spans="1:7" ht="13">
      <c r="A2677" s="4" t="s">
        <v>120</v>
      </c>
      <c r="B2677" s="1">
        <v>6</v>
      </c>
      <c r="C2677" s="1">
        <v>526</v>
      </c>
      <c r="D2677" s="1" t="s">
        <v>11</v>
      </c>
      <c r="E2677" s="1" t="s">
        <v>17</v>
      </c>
      <c r="F2677" s="1">
        <f t="shared" si="84"/>
        <v>600</v>
      </c>
      <c r="G2677" s="5">
        <f t="shared" si="83"/>
        <v>0.87666666666666671</v>
      </c>
    </row>
    <row r="2678" spans="1:7" ht="13">
      <c r="A2678" s="4" t="s">
        <v>120</v>
      </c>
      <c r="B2678" s="1">
        <v>7</v>
      </c>
      <c r="C2678" s="1">
        <v>438</v>
      </c>
      <c r="D2678" s="1" t="s">
        <v>33</v>
      </c>
      <c r="E2678" s="1" t="s">
        <v>20</v>
      </c>
      <c r="F2678" s="1">
        <f t="shared" si="84"/>
        <v>700</v>
      </c>
      <c r="G2678" s="5">
        <f t="shared" si="83"/>
        <v>0.62571428571428567</v>
      </c>
    </row>
    <row r="2679" spans="1:7" ht="13">
      <c r="A2679" s="4" t="s">
        <v>120</v>
      </c>
      <c r="B2679" s="1">
        <v>7.6</v>
      </c>
      <c r="C2679" s="1">
        <v>544</v>
      </c>
      <c r="D2679" s="1" t="s">
        <v>33</v>
      </c>
      <c r="E2679" s="1" t="s">
        <v>27</v>
      </c>
      <c r="F2679" s="1">
        <f t="shared" si="84"/>
        <v>760</v>
      </c>
      <c r="G2679" s="5">
        <f t="shared" si="83"/>
        <v>0.71578947368421053</v>
      </c>
    </row>
    <row r="2680" spans="1:7" ht="13">
      <c r="A2680" s="4" t="s">
        <v>120</v>
      </c>
      <c r="B2680" s="1">
        <v>9.1999999999999993</v>
      </c>
      <c r="C2680" s="1">
        <v>746</v>
      </c>
      <c r="D2680" s="1" t="s">
        <v>43</v>
      </c>
      <c r="E2680" s="1" t="s">
        <v>14</v>
      </c>
      <c r="F2680" s="1">
        <f t="shared" si="84"/>
        <v>919.99999999999989</v>
      </c>
      <c r="G2680" s="5">
        <f t="shared" si="83"/>
        <v>0.8108695652173914</v>
      </c>
    </row>
    <row r="2681" spans="1:7" ht="13">
      <c r="A2681" s="4" t="s">
        <v>120</v>
      </c>
      <c r="B2681" s="1">
        <v>6.88</v>
      </c>
      <c r="C2681" s="1">
        <v>468</v>
      </c>
      <c r="D2681" s="1" t="s">
        <v>58</v>
      </c>
      <c r="E2681" s="1" t="s">
        <v>22</v>
      </c>
      <c r="F2681" s="1">
        <f t="shared" si="84"/>
        <v>688</v>
      </c>
      <c r="G2681" s="5">
        <f t="shared" si="83"/>
        <v>0.68023255813953487</v>
      </c>
    </row>
    <row r="2682" spans="1:7" ht="13">
      <c r="A2682" s="4" t="s">
        <v>120</v>
      </c>
      <c r="B2682" s="1">
        <v>8.6999999999999993</v>
      </c>
      <c r="C2682" s="1">
        <v>655</v>
      </c>
      <c r="D2682" s="1" t="s">
        <v>11</v>
      </c>
      <c r="E2682" s="1" t="s">
        <v>10</v>
      </c>
      <c r="F2682" s="1">
        <f t="shared" si="84"/>
        <v>869.99999999999989</v>
      </c>
      <c r="G2682" s="5">
        <f t="shared" si="83"/>
        <v>0.75287356321839094</v>
      </c>
    </row>
    <row r="2683" spans="1:7" ht="13">
      <c r="A2683" s="4" t="s">
        <v>120</v>
      </c>
      <c r="B2683" s="1">
        <v>8.6999999999999993</v>
      </c>
      <c r="C2683" s="1">
        <v>548</v>
      </c>
      <c r="D2683" s="1" t="s">
        <v>33</v>
      </c>
      <c r="E2683" s="1" t="s">
        <v>26</v>
      </c>
      <c r="F2683" s="1">
        <f t="shared" si="84"/>
        <v>869.99999999999989</v>
      </c>
      <c r="G2683" s="5">
        <f t="shared" si="83"/>
        <v>0.62988505747126444</v>
      </c>
    </row>
    <row r="2684" spans="1:7" ht="13">
      <c r="A2684" s="4" t="s">
        <v>120</v>
      </c>
      <c r="B2684" s="1">
        <v>7.82</v>
      </c>
      <c r="C2684" s="1">
        <v>597</v>
      </c>
      <c r="D2684" s="1" t="s">
        <v>11</v>
      </c>
      <c r="E2684" s="1" t="s">
        <v>16</v>
      </c>
      <c r="F2684" s="1">
        <f t="shared" si="84"/>
        <v>782</v>
      </c>
      <c r="G2684" s="5">
        <f t="shared" si="83"/>
        <v>0.76342710997442453</v>
      </c>
    </row>
    <row r="2685" spans="1:7" ht="13">
      <c r="A2685" s="4" t="s">
        <v>120</v>
      </c>
      <c r="B2685" s="1">
        <v>6.7</v>
      </c>
      <c r="C2685" s="1">
        <v>566</v>
      </c>
      <c r="D2685" s="1" t="s">
        <v>11</v>
      </c>
      <c r="E2685" s="1" t="s">
        <v>16</v>
      </c>
      <c r="F2685" s="1">
        <f t="shared" si="84"/>
        <v>670</v>
      </c>
      <c r="G2685" s="5">
        <f t="shared" si="83"/>
        <v>0.84477611940298503</v>
      </c>
    </row>
    <row r="2686" spans="1:7" ht="13">
      <c r="A2686" s="4" t="s">
        <v>120</v>
      </c>
      <c r="B2686" s="1">
        <v>4.7</v>
      </c>
      <c r="C2686" s="1">
        <v>3.65</v>
      </c>
      <c r="D2686" s="1" t="s">
        <v>35</v>
      </c>
      <c r="E2686" s="1" t="s">
        <v>16</v>
      </c>
      <c r="F2686" s="1">
        <f t="shared" si="84"/>
        <v>470</v>
      </c>
      <c r="G2686" s="5">
        <f t="shared" si="83"/>
        <v>7.7659574468085107E-3</v>
      </c>
    </row>
    <row r="2687" spans="1:7" ht="13">
      <c r="A2687" s="4" t="s">
        <v>120</v>
      </c>
      <c r="B2687" s="1">
        <v>6.09</v>
      </c>
      <c r="C2687" s="1">
        <v>346</v>
      </c>
      <c r="D2687" s="1" t="s">
        <v>42</v>
      </c>
      <c r="E2687" s="1" t="s">
        <v>15</v>
      </c>
      <c r="F2687" s="1">
        <f t="shared" si="84"/>
        <v>609</v>
      </c>
      <c r="G2687" s="5">
        <f t="shared" si="83"/>
        <v>0.56814449917898191</v>
      </c>
    </row>
    <row r="2688" spans="1:7" ht="13">
      <c r="A2688" s="4" t="s">
        <v>120</v>
      </c>
      <c r="B2688" s="1">
        <v>9</v>
      </c>
      <c r="C2688" s="1">
        <v>677</v>
      </c>
      <c r="D2688" s="1" t="s">
        <v>11</v>
      </c>
      <c r="E2688" s="1" t="s">
        <v>7</v>
      </c>
      <c r="F2688" s="1">
        <f t="shared" si="84"/>
        <v>900</v>
      </c>
      <c r="G2688" s="5">
        <f t="shared" si="83"/>
        <v>0.75222222222222224</v>
      </c>
    </row>
    <row r="2689" spans="1:7" ht="13">
      <c r="A2689" s="4" t="s">
        <v>120</v>
      </c>
      <c r="B2689" s="1">
        <v>6.88</v>
      </c>
      <c r="C2689" s="1">
        <v>530</v>
      </c>
      <c r="D2689" s="1" t="s">
        <v>58</v>
      </c>
      <c r="E2689" s="1" t="s">
        <v>16</v>
      </c>
      <c r="F2689" s="1">
        <f t="shared" si="84"/>
        <v>688</v>
      </c>
      <c r="G2689" s="5">
        <f t="shared" si="83"/>
        <v>0.77034883720930236</v>
      </c>
    </row>
    <row r="2690" spans="1:7" ht="13">
      <c r="A2690" s="4" t="s">
        <v>120</v>
      </c>
      <c r="B2690" s="1">
        <v>5.2</v>
      </c>
      <c r="C2690" s="1">
        <v>460</v>
      </c>
      <c r="D2690" s="1" t="s">
        <v>11</v>
      </c>
      <c r="E2690" s="1" t="s">
        <v>16</v>
      </c>
      <c r="F2690" s="1">
        <f t="shared" si="84"/>
        <v>520</v>
      </c>
      <c r="G2690" s="5">
        <f t="shared" ref="G2690:G2753" si="85">C2690/F2690</f>
        <v>0.88461538461538458</v>
      </c>
    </row>
    <row r="2691" spans="1:7" ht="13">
      <c r="A2691" s="4" t="s">
        <v>120</v>
      </c>
      <c r="B2691" s="1">
        <v>3.48</v>
      </c>
      <c r="C2691" s="1">
        <v>276</v>
      </c>
      <c r="D2691" s="1" t="s">
        <v>11</v>
      </c>
      <c r="E2691" s="1" t="s">
        <v>7</v>
      </c>
      <c r="F2691" s="1">
        <f t="shared" si="84"/>
        <v>348</v>
      </c>
      <c r="G2691" s="5">
        <f t="shared" si="85"/>
        <v>0.7931034482758621</v>
      </c>
    </row>
    <row r="2692" spans="1:7" ht="13">
      <c r="A2692" s="4" t="s">
        <v>120</v>
      </c>
      <c r="B2692" s="1">
        <v>6.7</v>
      </c>
      <c r="C2692" s="1">
        <v>449</v>
      </c>
      <c r="D2692" s="1" t="s">
        <v>33</v>
      </c>
      <c r="E2692" s="1" t="s">
        <v>21</v>
      </c>
      <c r="F2692" s="1">
        <f t="shared" si="84"/>
        <v>670</v>
      </c>
      <c r="G2692" s="5">
        <f t="shared" si="85"/>
        <v>0.67014925373134326</v>
      </c>
    </row>
    <row r="2693" spans="1:7" ht="13">
      <c r="A2693" s="4" t="s">
        <v>120</v>
      </c>
      <c r="B2693" s="1">
        <v>8.6999999999999993</v>
      </c>
      <c r="C2693" s="1">
        <v>620</v>
      </c>
      <c r="D2693" s="1" t="s">
        <v>11</v>
      </c>
      <c r="E2693" s="1" t="s">
        <v>20</v>
      </c>
      <c r="F2693" s="1">
        <f t="shared" si="84"/>
        <v>869.99999999999989</v>
      </c>
      <c r="G2693" s="5">
        <f t="shared" si="85"/>
        <v>0.71264367816091967</v>
      </c>
    </row>
    <row r="2694" spans="1:7" ht="13">
      <c r="A2694" s="4" t="s">
        <v>120</v>
      </c>
      <c r="B2694" s="1">
        <v>3.4</v>
      </c>
      <c r="C2694" s="1">
        <v>353</v>
      </c>
      <c r="D2694" s="1" t="s">
        <v>40</v>
      </c>
      <c r="E2694" s="1" t="s">
        <v>19</v>
      </c>
      <c r="F2694" s="1">
        <f t="shared" si="84"/>
        <v>340</v>
      </c>
      <c r="G2694" s="5">
        <f t="shared" si="85"/>
        <v>1.0382352941176471</v>
      </c>
    </row>
    <row r="2695" spans="1:7" ht="13">
      <c r="A2695" s="4" t="s">
        <v>120</v>
      </c>
      <c r="B2695" s="1">
        <v>6.56</v>
      </c>
      <c r="C2695" s="1">
        <v>605</v>
      </c>
      <c r="D2695" s="1" t="s">
        <v>11</v>
      </c>
      <c r="E2695" s="1" t="s">
        <v>18</v>
      </c>
      <c r="F2695" s="1">
        <f t="shared" si="84"/>
        <v>656</v>
      </c>
      <c r="G2695" s="5">
        <f t="shared" si="85"/>
        <v>0.9222560975609756</v>
      </c>
    </row>
    <row r="2696" spans="1:7" ht="13">
      <c r="A2696" s="4" t="s">
        <v>120</v>
      </c>
      <c r="B2696" s="1">
        <v>4.9000000000000004</v>
      </c>
      <c r="C2696" s="1">
        <v>407</v>
      </c>
      <c r="D2696" s="1" t="s">
        <v>43</v>
      </c>
      <c r="E2696" s="1" t="s">
        <v>8</v>
      </c>
      <c r="F2696" s="1">
        <f t="shared" si="84"/>
        <v>490.00000000000006</v>
      </c>
      <c r="G2696" s="5">
        <f t="shared" si="85"/>
        <v>0.83061224489795904</v>
      </c>
    </row>
    <row r="2697" spans="1:7" ht="13">
      <c r="A2697" s="4" t="s">
        <v>120</v>
      </c>
      <c r="B2697" s="1">
        <v>8.58</v>
      </c>
      <c r="C2697" s="1">
        <v>545</v>
      </c>
      <c r="D2697" s="1" t="s">
        <v>33</v>
      </c>
      <c r="E2697" s="1" t="s">
        <v>17</v>
      </c>
      <c r="F2697" s="1">
        <f t="shared" si="84"/>
        <v>858</v>
      </c>
      <c r="G2697" s="5">
        <f t="shared" si="85"/>
        <v>0.63519813519813517</v>
      </c>
    </row>
    <row r="2698" spans="1:7" ht="13">
      <c r="A2698" s="4" t="s">
        <v>120</v>
      </c>
      <c r="B2698" s="1">
        <v>5.52</v>
      </c>
      <c r="C2698" s="1">
        <v>448</v>
      </c>
      <c r="D2698" s="1" t="s">
        <v>11</v>
      </c>
      <c r="E2698" s="1" t="s">
        <v>26</v>
      </c>
      <c r="F2698" s="1">
        <f t="shared" si="84"/>
        <v>552</v>
      </c>
      <c r="G2698" s="5">
        <f t="shared" si="85"/>
        <v>0.81159420289855078</v>
      </c>
    </row>
    <row r="2699" spans="1:7" ht="13">
      <c r="A2699" s="4" t="s">
        <v>120</v>
      </c>
      <c r="B2699" s="1">
        <v>5.5</v>
      </c>
      <c r="C2699" s="1">
        <v>436</v>
      </c>
      <c r="D2699" s="1" t="s">
        <v>11</v>
      </c>
      <c r="E2699" s="1" t="s">
        <v>15</v>
      </c>
      <c r="F2699" s="1">
        <f t="shared" si="84"/>
        <v>550</v>
      </c>
      <c r="G2699" s="5">
        <f t="shared" si="85"/>
        <v>0.79272727272727272</v>
      </c>
    </row>
    <row r="2700" spans="1:7" ht="13">
      <c r="A2700" s="4" t="s">
        <v>120</v>
      </c>
      <c r="B2700" s="1">
        <v>4</v>
      </c>
      <c r="C2700" s="1">
        <v>109</v>
      </c>
      <c r="D2700" s="1" t="s">
        <v>58</v>
      </c>
      <c r="E2700" s="1" t="s">
        <v>68</v>
      </c>
      <c r="F2700" s="1">
        <f t="shared" si="84"/>
        <v>400</v>
      </c>
      <c r="G2700" s="5">
        <f t="shared" si="85"/>
        <v>0.27250000000000002</v>
      </c>
    </row>
    <row r="2701" spans="1:7" ht="13">
      <c r="A2701" s="4" t="s">
        <v>120</v>
      </c>
      <c r="B2701" s="1">
        <v>5.2</v>
      </c>
      <c r="C2701" s="1">
        <v>468</v>
      </c>
      <c r="D2701" s="1" t="s">
        <v>11</v>
      </c>
      <c r="E2701" s="1" t="s">
        <v>16</v>
      </c>
      <c r="F2701" s="1">
        <f t="shared" si="84"/>
        <v>520</v>
      </c>
      <c r="G2701" s="5">
        <f t="shared" si="85"/>
        <v>0.9</v>
      </c>
    </row>
    <row r="2702" spans="1:7" ht="13">
      <c r="A2702" s="4" t="s">
        <v>120</v>
      </c>
      <c r="B2702" s="1">
        <v>7.8</v>
      </c>
      <c r="C2702" s="1">
        <v>655</v>
      </c>
      <c r="D2702" s="1" t="s">
        <v>11</v>
      </c>
      <c r="E2702" s="1" t="s">
        <v>12</v>
      </c>
      <c r="F2702" s="1">
        <f t="shared" si="84"/>
        <v>780</v>
      </c>
      <c r="G2702" s="5">
        <f t="shared" si="85"/>
        <v>0.83974358974358976</v>
      </c>
    </row>
    <row r="2703" spans="1:7" ht="13">
      <c r="A2703" s="4" t="s">
        <v>120</v>
      </c>
      <c r="B2703" s="1">
        <v>8.5</v>
      </c>
      <c r="C2703" s="1">
        <v>678</v>
      </c>
      <c r="D2703" s="1" t="s">
        <v>11</v>
      </c>
      <c r="E2703" s="1" t="s">
        <v>68</v>
      </c>
      <c r="F2703" s="1">
        <f t="shared" si="84"/>
        <v>850</v>
      </c>
      <c r="G2703" s="5">
        <f t="shared" si="85"/>
        <v>0.79764705882352938</v>
      </c>
    </row>
    <row r="2704" spans="1:7" ht="13">
      <c r="A2704" s="4" t="s">
        <v>120</v>
      </c>
      <c r="B2704" s="1">
        <v>11.25</v>
      </c>
      <c r="C2704" s="1">
        <v>806</v>
      </c>
      <c r="D2704" s="1" t="s">
        <v>45</v>
      </c>
      <c r="E2704" s="1" t="s">
        <v>8</v>
      </c>
      <c r="F2704" s="1">
        <f t="shared" si="84"/>
        <v>1125</v>
      </c>
      <c r="G2704" s="5">
        <f t="shared" si="85"/>
        <v>0.71644444444444444</v>
      </c>
    </row>
    <row r="2705" spans="1:7" ht="13">
      <c r="A2705" s="4" t="s">
        <v>120</v>
      </c>
      <c r="B2705" s="1">
        <v>6.9</v>
      </c>
      <c r="C2705" s="1">
        <v>490</v>
      </c>
      <c r="D2705" s="1" t="s">
        <v>33</v>
      </c>
      <c r="E2705" s="1" t="s">
        <v>8</v>
      </c>
      <c r="F2705" s="1">
        <f t="shared" si="84"/>
        <v>690</v>
      </c>
      <c r="G2705" s="5">
        <f t="shared" si="85"/>
        <v>0.71014492753623193</v>
      </c>
    </row>
    <row r="2706" spans="1:7" ht="13">
      <c r="A2706" s="4" t="s">
        <v>120</v>
      </c>
      <c r="B2706" s="1">
        <v>7.83</v>
      </c>
      <c r="C2706" s="1">
        <v>539</v>
      </c>
      <c r="D2706" s="1" t="s">
        <v>33</v>
      </c>
      <c r="E2706" s="1" t="s">
        <v>21</v>
      </c>
      <c r="F2706" s="1">
        <f t="shared" si="84"/>
        <v>783</v>
      </c>
      <c r="G2706" s="5">
        <f t="shared" si="85"/>
        <v>0.68837803320561941</v>
      </c>
    </row>
    <row r="2707" spans="1:7" ht="13">
      <c r="A2707" s="4" t="s">
        <v>120</v>
      </c>
      <c r="B2707" s="1">
        <v>9.5</v>
      </c>
      <c r="C2707" s="1">
        <v>982</v>
      </c>
      <c r="D2707" s="1" t="s">
        <v>43</v>
      </c>
      <c r="E2707" s="1" t="s">
        <v>18</v>
      </c>
      <c r="F2707" s="1">
        <f t="shared" si="84"/>
        <v>950</v>
      </c>
      <c r="G2707" s="5">
        <f t="shared" si="85"/>
        <v>1.0336842105263158</v>
      </c>
    </row>
    <row r="2708" spans="1:7" ht="13">
      <c r="A2708" s="4" t="s">
        <v>120</v>
      </c>
      <c r="B2708" s="1">
        <v>4.3</v>
      </c>
      <c r="C2708" s="1">
        <v>232</v>
      </c>
      <c r="D2708" s="1" t="s">
        <v>33</v>
      </c>
      <c r="E2708" s="1" t="s">
        <v>30</v>
      </c>
      <c r="F2708" s="1">
        <f t="shared" si="84"/>
        <v>430</v>
      </c>
      <c r="G2708" s="5">
        <f t="shared" si="85"/>
        <v>0.53953488372093028</v>
      </c>
    </row>
    <row r="2709" spans="1:7" ht="13">
      <c r="A2709" s="4" t="s">
        <v>120</v>
      </c>
      <c r="B2709" s="1">
        <v>5</v>
      </c>
      <c r="C2709" s="1">
        <v>407</v>
      </c>
      <c r="D2709" s="1" t="s">
        <v>38</v>
      </c>
      <c r="E2709" s="1" t="s">
        <v>8</v>
      </c>
      <c r="F2709" s="1">
        <f t="shared" si="84"/>
        <v>500</v>
      </c>
      <c r="G2709" s="5">
        <f t="shared" si="85"/>
        <v>0.81399999999999995</v>
      </c>
    </row>
    <row r="2710" spans="1:7" ht="13">
      <c r="A2710" s="4" t="s">
        <v>120</v>
      </c>
      <c r="B2710" s="1">
        <v>5.6</v>
      </c>
      <c r="C2710" s="1">
        <v>367</v>
      </c>
      <c r="D2710" s="1" t="s">
        <v>33</v>
      </c>
      <c r="E2710" s="1" t="s">
        <v>9</v>
      </c>
      <c r="F2710" s="1">
        <f t="shared" si="84"/>
        <v>560</v>
      </c>
      <c r="G2710" s="5">
        <f t="shared" si="85"/>
        <v>0.65535714285714286</v>
      </c>
    </row>
    <row r="2711" spans="1:7" ht="13">
      <c r="A2711" s="4" t="s">
        <v>120</v>
      </c>
      <c r="B2711" s="1">
        <v>9.4600000000000009</v>
      </c>
      <c r="C2711" s="1">
        <v>677</v>
      </c>
      <c r="D2711" s="1" t="s">
        <v>11</v>
      </c>
      <c r="E2711" s="1" t="s">
        <v>31</v>
      </c>
      <c r="F2711" s="1">
        <f t="shared" si="84"/>
        <v>946.00000000000011</v>
      </c>
      <c r="G2711" s="5">
        <f t="shared" si="85"/>
        <v>0.71564482029598298</v>
      </c>
    </row>
    <row r="2712" spans="1:7" ht="13">
      <c r="A2712" s="4" t="s">
        <v>120</v>
      </c>
      <c r="B2712" s="1">
        <v>12</v>
      </c>
      <c r="C2712" s="1">
        <v>625</v>
      </c>
      <c r="D2712" s="1" t="s">
        <v>33</v>
      </c>
      <c r="E2712" s="1" t="s">
        <v>20</v>
      </c>
      <c r="F2712" s="1">
        <f t="shared" si="84"/>
        <v>1200</v>
      </c>
      <c r="G2712" s="5">
        <f t="shared" si="85"/>
        <v>0.52083333333333337</v>
      </c>
    </row>
    <row r="2713" spans="1:7" ht="13">
      <c r="A2713" s="4" t="s">
        <v>120</v>
      </c>
      <c r="B2713" s="1">
        <v>6.3</v>
      </c>
      <c r="C2713" s="1">
        <v>489</v>
      </c>
      <c r="D2713" s="1" t="s">
        <v>43</v>
      </c>
      <c r="E2713" s="1" t="s">
        <v>29</v>
      </c>
      <c r="F2713" s="1">
        <f t="shared" si="84"/>
        <v>630</v>
      </c>
      <c r="G2713" s="5">
        <f t="shared" si="85"/>
        <v>0.77619047619047621</v>
      </c>
    </row>
    <row r="2714" spans="1:7" ht="13">
      <c r="A2714" s="4" t="s">
        <v>120</v>
      </c>
      <c r="B2714" s="1">
        <v>3.44</v>
      </c>
      <c r="C2714" s="1">
        <v>323</v>
      </c>
      <c r="D2714" s="1" t="s">
        <v>43</v>
      </c>
      <c r="E2714" s="1" t="s">
        <v>8</v>
      </c>
      <c r="F2714" s="1">
        <f t="shared" si="84"/>
        <v>344</v>
      </c>
      <c r="G2714" s="5">
        <f t="shared" si="85"/>
        <v>0.93895348837209303</v>
      </c>
    </row>
    <row r="2715" spans="1:7" ht="13">
      <c r="A2715" s="4" t="s">
        <v>120</v>
      </c>
      <c r="B2715" s="1">
        <v>6.4</v>
      </c>
      <c r="C2715" s="1">
        <v>566</v>
      </c>
      <c r="D2715" s="1" t="s">
        <v>11</v>
      </c>
      <c r="E2715" s="1" t="s">
        <v>26</v>
      </c>
      <c r="F2715" s="1">
        <f t="shared" si="84"/>
        <v>640</v>
      </c>
      <c r="G2715" s="5">
        <f t="shared" si="85"/>
        <v>0.88437500000000002</v>
      </c>
    </row>
    <row r="2716" spans="1:7" ht="13">
      <c r="A2716" s="4" t="s">
        <v>120</v>
      </c>
      <c r="B2716" s="1">
        <v>3.44</v>
      </c>
      <c r="C2716" s="1">
        <v>282</v>
      </c>
      <c r="D2716" s="1" t="s">
        <v>11</v>
      </c>
      <c r="E2716" s="1" t="s">
        <v>9</v>
      </c>
      <c r="F2716" s="1">
        <f t="shared" si="84"/>
        <v>344</v>
      </c>
      <c r="G2716" s="5">
        <f t="shared" si="85"/>
        <v>0.81976744186046513</v>
      </c>
    </row>
    <row r="2717" spans="1:7" ht="13">
      <c r="A2717" s="4" t="s">
        <v>120</v>
      </c>
      <c r="B2717" s="1">
        <v>7.5</v>
      </c>
      <c r="C2717" s="1">
        <v>609</v>
      </c>
      <c r="D2717" s="1" t="s">
        <v>43</v>
      </c>
      <c r="E2717" s="1" t="s">
        <v>24</v>
      </c>
      <c r="F2717" s="1">
        <f t="shared" si="84"/>
        <v>750</v>
      </c>
      <c r="G2717" s="5">
        <f t="shared" si="85"/>
        <v>0.81200000000000006</v>
      </c>
    </row>
    <row r="2718" spans="1:7" ht="13">
      <c r="A2718" s="4" t="s">
        <v>120</v>
      </c>
      <c r="B2718" s="1">
        <v>7.7</v>
      </c>
      <c r="C2718" s="1">
        <v>669</v>
      </c>
      <c r="D2718" s="1" t="s">
        <v>11</v>
      </c>
      <c r="E2718" s="1" t="s">
        <v>22</v>
      </c>
      <c r="F2718" s="1">
        <f t="shared" si="84"/>
        <v>770</v>
      </c>
      <c r="G2718" s="5">
        <f t="shared" si="85"/>
        <v>0.86883116883116884</v>
      </c>
    </row>
    <row r="2719" spans="1:7" ht="13">
      <c r="A2719" s="4" t="s">
        <v>120</v>
      </c>
      <c r="B2719" s="1">
        <v>5.81</v>
      </c>
      <c r="C2719" s="1">
        <v>509</v>
      </c>
      <c r="D2719" s="1" t="s">
        <v>38</v>
      </c>
      <c r="E2719" s="1" t="s">
        <v>8</v>
      </c>
      <c r="F2719" s="1">
        <f t="shared" si="84"/>
        <v>581</v>
      </c>
      <c r="G2719" s="5">
        <f t="shared" si="85"/>
        <v>0.87607573149741824</v>
      </c>
    </row>
    <row r="2720" spans="1:7" ht="13">
      <c r="A2720" s="4" t="s">
        <v>120</v>
      </c>
      <c r="B2720" s="1">
        <v>5.4</v>
      </c>
      <c r="C2720" s="1">
        <v>406</v>
      </c>
      <c r="D2720" s="1" t="s">
        <v>35</v>
      </c>
      <c r="E2720" s="1" t="s">
        <v>8</v>
      </c>
      <c r="F2720" s="1">
        <f t="shared" ref="F2720:F2783" si="86">B2720*100</f>
        <v>540</v>
      </c>
      <c r="G2720" s="5">
        <f t="shared" si="85"/>
        <v>0.75185185185185188</v>
      </c>
    </row>
    <row r="2721" spans="1:7" ht="13">
      <c r="A2721" s="4" t="s">
        <v>120</v>
      </c>
      <c r="B2721" s="1">
        <v>6.02</v>
      </c>
      <c r="C2721" s="1">
        <v>512</v>
      </c>
      <c r="D2721" s="1" t="s">
        <v>33</v>
      </c>
      <c r="E2721" s="1" t="s">
        <v>10</v>
      </c>
      <c r="F2721" s="1">
        <f t="shared" si="86"/>
        <v>602</v>
      </c>
      <c r="G2721" s="5">
        <f t="shared" si="85"/>
        <v>0.85049833887043191</v>
      </c>
    </row>
    <row r="2722" spans="1:7" ht="13">
      <c r="A2722" s="4" t="s">
        <v>120</v>
      </c>
      <c r="B2722" s="1">
        <v>7.9</v>
      </c>
      <c r="C2722" s="1">
        <v>672</v>
      </c>
      <c r="D2722" s="1" t="s">
        <v>11</v>
      </c>
      <c r="E2722" s="1" t="s">
        <v>27</v>
      </c>
      <c r="F2722" s="1">
        <f t="shared" si="86"/>
        <v>790</v>
      </c>
      <c r="G2722" s="5">
        <f t="shared" si="85"/>
        <v>0.85063291139240504</v>
      </c>
    </row>
    <row r="2723" spans="1:7" ht="13">
      <c r="A2723" s="4" t="s">
        <v>120</v>
      </c>
      <c r="B2723" s="1">
        <v>7.74</v>
      </c>
      <c r="C2723" s="1">
        <v>735</v>
      </c>
      <c r="D2723" s="1" t="s">
        <v>11</v>
      </c>
      <c r="E2723" s="1" t="s">
        <v>29</v>
      </c>
      <c r="F2723" s="1">
        <f t="shared" si="86"/>
        <v>774</v>
      </c>
      <c r="G2723" s="5">
        <f t="shared" si="85"/>
        <v>0.94961240310077522</v>
      </c>
    </row>
    <row r="2724" spans="1:7" ht="13">
      <c r="A2724" s="4" t="s">
        <v>120</v>
      </c>
      <c r="B2724" s="1">
        <v>6.8</v>
      </c>
      <c r="C2724" s="1">
        <v>463</v>
      </c>
      <c r="D2724" s="1" t="s">
        <v>100</v>
      </c>
      <c r="E2724" s="1" t="s">
        <v>29</v>
      </c>
      <c r="F2724" s="1">
        <f t="shared" si="86"/>
        <v>680</v>
      </c>
      <c r="G2724" s="5">
        <f t="shared" si="85"/>
        <v>0.68088235294117649</v>
      </c>
    </row>
    <row r="2725" spans="1:7" ht="13">
      <c r="A2725" s="4" t="s">
        <v>120</v>
      </c>
      <c r="B2725" s="1">
        <v>5.16</v>
      </c>
      <c r="C2725" s="1">
        <v>374</v>
      </c>
      <c r="D2725" s="1" t="s">
        <v>48</v>
      </c>
      <c r="E2725" s="1" t="s">
        <v>30</v>
      </c>
      <c r="F2725" s="1">
        <f t="shared" si="86"/>
        <v>516</v>
      </c>
      <c r="G2725" s="5">
        <f t="shared" si="85"/>
        <v>0.72480620155038755</v>
      </c>
    </row>
    <row r="2726" spans="1:7" ht="13">
      <c r="A2726" s="4" t="s">
        <v>120</v>
      </c>
      <c r="B2726" s="1">
        <v>8.375</v>
      </c>
      <c r="C2726" s="1">
        <v>563</v>
      </c>
      <c r="D2726" s="1" t="s">
        <v>11</v>
      </c>
      <c r="E2726" s="1" t="s">
        <v>15</v>
      </c>
      <c r="F2726" s="1">
        <f t="shared" si="86"/>
        <v>837.5</v>
      </c>
      <c r="G2726" s="5">
        <f t="shared" si="85"/>
        <v>0.67223880597014929</v>
      </c>
    </row>
    <row r="2727" spans="1:7" ht="13">
      <c r="A2727" s="4" t="s">
        <v>120</v>
      </c>
      <c r="B2727" s="1">
        <v>6.4</v>
      </c>
      <c r="C2727" s="1">
        <v>514.9</v>
      </c>
      <c r="D2727" s="1" t="s">
        <v>35</v>
      </c>
      <c r="E2727" s="1" t="s">
        <v>18</v>
      </c>
      <c r="F2727" s="1">
        <f t="shared" si="86"/>
        <v>640</v>
      </c>
      <c r="G2727" s="5">
        <f t="shared" si="85"/>
        <v>0.80453124999999992</v>
      </c>
    </row>
    <row r="2728" spans="1:7" ht="13">
      <c r="A2728" s="4" t="s">
        <v>120</v>
      </c>
      <c r="B2728" s="1">
        <v>6.5250000000000004</v>
      </c>
      <c r="C2728" s="1">
        <v>528</v>
      </c>
      <c r="D2728" s="1" t="s">
        <v>11</v>
      </c>
      <c r="E2728" s="1" t="s">
        <v>16</v>
      </c>
      <c r="F2728" s="1">
        <f t="shared" si="86"/>
        <v>652.5</v>
      </c>
      <c r="G2728" s="5">
        <f t="shared" si="85"/>
        <v>0.80919540229885056</v>
      </c>
    </row>
    <row r="2729" spans="1:7" ht="13">
      <c r="A2729" s="4" t="s">
        <v>120</v>
      </c>
      <c r="B2729" s="1">
        <v>6</v>
      </c>
      <c r="C2729" s="1">
        <v>696</v>
      </c>
      <c r="D2729" s="1" t="s">
        <v>38</v>
      </c>
      <c r="E2729" s="1" t="s">
        <v>8</v>
      </c>
      <c r="F2729" s="1">
        <f t="shared" si="86"/>
        <v>600</v>
      </c>
      <c r="G2729" s="5">
        <f t="shared" si="85"/>
        <v>1.1599999999999999</v>
      </c>
    </row>
    <row r="2730" spans="1:7" ht="13">
      <c r="A2730" s="4" t="s">
        <v>120</v>
      </c>
      <c r="B2730" s="1">
        <v>8.33</v>
      </c>
      <c r="C2730" s="1">
        <v>603</v>
      </c>
      <c r="D2730" s="1" t="s">
        <v>47</v>
      </c>
      <c r="E2730" s="1" t="s">
        <v>7</v>
      </c>
      <c r="F2730" s="1">
        <f t="shared" si="86"/>
        <v>833</v>
      </c>
      <c r="G2730" s="5">
        <f t="shared" si="85"/>
        <v>0.72388955582232895</v>
      </c>
    </row>
    <row r="2731" spans="1:7" ht="13">
      <c r="A2731" s="4" t="s">
        <v>120</v>
      </c>
      <c r="B2731" s="1">
        <v>9.57</v>
      </c>
      <c r="C2731" s="1">
        <v>752</v>
      </c>
      <c r="D2731" s="1" t="s">
        <v>35</v>
      </c>
      <c r="E2731" s="1" t="s">
        <v>18</v>
      </c>
      <c r="F2731" s="1">
        <f t="shared" si="86"/>
        <v>957</v>
      </c>
      <c r="G2731" s="5">
        <f t="shared" si="85"/>
        <v>0.78578892371995823</v>
      </c>
    </row>
    <row r="2732" spans="1:7" ht="13">
      <c r="A2732" s="4" t="s">
        <v>120</v>
      </c>
      <c r="B2732" s="1">
        <v>5.1100000000000003</v>
      </c>
      <c r="C2732" s="1">
        <v>397</v>
      </c>
      <c r="D2732" s="1" t="s">
        <v>39</v>
      </c>
      <c r="E2732" s="1" t="s">
        <v>8</v>
      </c>
      <c r="F2732" s="1">
        <f t="shared" si="86"/>
        <v>511.00000000000006</v>
      </c>
      <c r="G2732" s="5">
        <f t="shared" si="85"/>
        <v>0.77690802348336585</v>
      </c>
    </row>
    <row r="2733" spans="1:7" ht="13">
      <c r="A2733" s="4" t="s">
        <v>120</v>
      </c>
      <c r="B2733" s="1">
        <v>4.4000000000000004</v>
      </c>
      <c r="C2733" s="1">
        <v>363</v>
      </c>
      <c r="D2733" s="1" t="s">
        <v>11</v>
      </c>
      <c r="E2733" s="1" t="s">
        <v>15</v>
      </c>
      <c r="F2733" s="1">
        <f t="shared" si="86"/>
        <v>440.00000000000006</v>
      </c>
      <c r="G2733" s="5">
        <f t="shared" si="85"/>
        <v>0.82499999999999984</v>
      </c>
    </row>
    <row r="2734" spans="1:7" ht="13">
      <c r="A2734" s="4" t="s">
        <v>120</v>
      </c>
      <c r="B2734" s="1">
        <v>7</v>
      </c>
      <c r="C2734" s="1">
        <v>492</v>
      </c>
      <c r="D2734" s="1" t="s">
        <v>36</v>
      </c>
      <c r="E2734" s="1" t="s">
        <v>15</v>
      </c>
      <c r="F2734" s="1">
        <f t="shared" si="86"/>
        <v>700</v>
      </c>
      <c r="G2734" s="5">
        <f t="shared" si="85"/>
        <v>0.70285714285714285</v>
      </c>
    </row>
    <row r="2735" spans="1:7" ht="13">
      <c r="A2735" s="4" t="s">
        <v>120</v>
      </c>
      <c r="B2735" s="1">
        <v>8.1999999999999993</v>
      </c>
      <c r="C2735" s="1">
        <v>654</v>
      </c>
      <c r="D2735" s="1" t="s">
        <v>39</v>
      </c>
      <c r="E2735" s="1" t="s">
        <v>16</v>
      </c>
      <c r="F2735" s="1">
        <f t="shared" si="86"/>
        <v>819.99999999999989</v>
      </c>
      <c r="G2735" s="5">
        <f t="shared" si="85"/>
        <v>0.79756097560975625</v>
      </c>
    </row>
    <row r="2736" spans="1:7" ht="13">
      <c r="A2736" s="4" t="s">
        <v>120</v>
      </c>
      <c r="B2736" s="1">
        <v>8.5</v>
      </c>
      <c r="C2736" s="1">
        <v>655</v>
      </c>
      <c r="D2736" s="1" t="s">
        <v>39</v>
      </c>
      <c r="E2736" s="1" t="s">
        <v>20</v>
      </c>
      <c r="F2736" s="1">
        <f t="shared" si="86"/>
        <v>850</v>
      </c>
      <c r="G2736" s="5">
        <f t="shared" si="85"/>
        <v>0.77058823529411768</v>
      </c>
    </row>
    <row r="2737" spans="1:7" ht="13">
      <c r="A2737" s="4" t="s">
        <v>120</v>
      </c>
      <c r="B2737" s="1">
        <v>5.59</v>
      </c>
      <c r="C2737" s="1">
        <v>373</v>
      </c>
      <c r="D2737" s="1" t="s">
        <v>36</v>
      </c>
      <c r="E2737" s="1" t="s">
        <v>9</v>
      </c>
      <c r="F2737" s="1">
        <f t="shared" si="86"/>
        <v>559</v>
      </c>
      <c r="G2737" s="5">
        <f t="shared" si="85"/>
        <v>0.66726296958855102</v>
      </c>
    </row>
    <row r="2738" spans="1:7" ht="13">
      <c r="A2738" s="4" t="s">
        <v>120</v>
      </c>
      <c r="B2738" s="1">
        <v>7.4</v>
      </c>
      <c r="C2738" s="1">
        <v>503.07</v>
      </c>
      <c r="D2738" s="1" t="s">
        <v>33</v>
      </c>
      <c r="E2738" s="1" t="s">
        <v>17</v>
      </c>
      <c r="F2738" s="1">
        <f t="shared" si="86"/>
        <v>740</v>
      </c>
      <c r="G2738" s="5">
        <f t="shared" si="85"/>
        <v>0.67982432432432427</v>
      </c>
    </row>
    <row r="2739" spans="1:7" ht="13">
      <c r="A2739" s="4" t="s">
        <v>120</v>
      </c>
      <c r="B2739" s="1">
        <v>5.0999999999999996</v>
      </c>
      <c r="C2739" s="1">
        <v>339</v>
      </c>
      <c r="D2739" s="1" t="s">
        <v>40</v>
      </c>
      <c r="E2739" s="1" t="s">
        <v>15</v>
      </c>
      <c r="F2739" s="1">
        <f t="shared" si="86"/>
        <v>509.99999999999994</v>
      </c>
      <c r="G2739" s="5">
        <f t="shared" si="85"/>
        <v>0.66470588235294126</v>
      </c>
    </row>
    <row r="2740" spans="1:7" ht="13">
      <c r="A2740" s="4" t="s">
        <v>120</v>
      </c>
      <c r="B2740" s="1">
        <v>4</v>
      </c>
      <c r="C2740" s="1">
        <v>324.10000000000002</v>
      </c>
      <c r="D2740" s="1" t="s">
        <v>43</v>
      </c>
      <c r="E2740" s="1" t="s">
        <v>22</v>
      </c>
      <c r="F2740" s="1">
        <f t="shared" si="86"/>
        <v>400</v>
      </c>
      <c r="G2740" s="5">
        <f t="shared" si="85"/>
        <v>0.81025000000000003</v>
      </c>
    </row>
    <row r="2741" spans="1:7" ht="13">
      <c r="A2741" s="4" t="s">
        <v>120</v>
      </c>
      <c r="B2741" s="1">
        <v>9.1999999999999993</v>
      </c>
      <c r="C2741" s="1">
        <v>571</v>
      </c>
      <c r="D2741" s="1" t="s">
        <v>33</v>
      </c>
      <c r="E2741" s="1" t="s">
        <v>15</v>
      </c>
      <c r="F2741" s="1">
        <f t="shared" si="86"/>
        <v>919.99999999999989</v>
      </c>
      <c r="G2741" s="5">
        <f t="shared" si="85"/>
        <v>0.6206521739130435</v>
      </c>
    </row>
    <row r="2742" spans="1:7" ht="13">
      <c r="A2742" s="4" t="s">
        <v>120</v>
      </c>
      <c r="B2742" s="1">
        <v>8.2650000000000006</v>
      </c>
      <c r="C2742" s="1">
        <v>743</v>
      </c>
      <c r="D2742" s="1" t="s">
        <v>43</v>
      </c>
      <c r="E2742" s="1" t="s">
        <v>18</v>
      </c>
      <c r="F2742" s="1">
        <f t="shared" si="86"/>
        <v>826.5</v>
      </c>
      <c r="G2742" s="5">
        <f t="shared" si="85"/>
        <v>0.89897156684815482</v>
      </c>
    </row>
    <row r="2743" spans="1:7" ht="13">
      <c r="A2743" s="4" t="s">
        <v>120</v>
      </c>
      <c r="B2743" s="1">
        <v>5.16</v>
      </c>
      <c r="C2743" s="1">
        <v>354</v>
      </c>
      <c r="D2743" s="1" t="s">
        <v>42</v>
      </c>
      <c r="E2743" s="1" t="s">
        <v>22</v>
      </c>
      <c r="F2743" s="1">
        <f t="shared" si="86"/>
        <v>516</v>
      </c>
      <c r="G2743" s="5">
        <f t="shared" si="85"/>
        <v>0.68604651162790697</v>
      </c>
    </row>
    <row r="2744" spans="1:7" ht="13">
      <c r="A2744" s="4" t="s">
        <v>120</v>
      </c>
      <c r="B2744" s="1">
        <v>4</v>
      </c>
      <c r="C2744" s="1">
        <v>360</v>
      </c>
      <c r="D2744" s="1" t="s">
        <v>43</v>
      </c>
      <c r="E2744" s="1" t="s">
        <v>17</v>
      </c>
      <c r="F2744" s="1">
        <f t="shared" si="86"/>
        <v>400</v>
      </c>
      <c r="G2744" s="5">
        <f t="shared" si="85"/>
        <v>0.9</v>
      </c>
    </row>
    <row r="2745" spans="1:7" ht="13">
      <c r="A2745" s="4" t="s">
        <v>120</v>
      </c>
      <c r="B2745" s="1">
        <v>8.1999999999999993</v>
      </c>
      <c r="C2745" s="1">
        <v>730</v>
      </c>
      <c r="D2745" s="1" t="s">
        <v>11</v>
      </c>
      <c r="E2745" s="1" t="s">
        <v>12</v>
      </c>
      <c r="F2745" s="1">
        <f t="shared" si="86"/>
        <v>819.99999999999989</v>
      </c>
      <c r="G2745" s="5">
        <f t="shared" si="85"/>
        <v>0.89024390243902451</v>
      </c>
    </row>
    <row r="2746" spans="1:7" ht="13">
      <c r="A2746" s="4" t="s">
        <v>120</v>
      </c>
      <c r="B2746" s="1">
        <v>6.9</v>
      </c>
      <c r="C2746" s="1">
        <v>535</v>
      </c>
      <c r="D2746" s="1" t="s">
        <v>38</v>
      </c>
      <c r="E2746" s="1" t="s">
        <v>8</v>
      </c>
      <c r="F2746" s="1">
        <f t="shared" si="86"/>
        <v>690</v>
      </c>
      <c r="G2746" s="5">
        <f t="shared" si="85"/>
        <v>0.77536231884057971</v>
      </c>
    </row>
    <row r="2747" spans="1:7" ht="13">
      <c r="A2747" s="4" t="s">
        <v>120</v>
      </c>
      <c r="B2747" s="1">
        <v>4.8</v>
      </c>
      <c r="C2747" s="1">
        <v>380</v>
      </c>
      <c r="D2747" s="1" t="s">
        <v>11</v>
      </c>
      <c r="E2747" s="1" t="s">
        <v>15</v>
      </c>
      <c r="F2747" s="1">
        <f t="shared" si="86"/>
        <v>480</v>
      </c>
      <c r="G2747" s="5">
        <f t="shared" si="85"/>
        <v>0.79166666666666663</v>
      </c>
    </row>
    <row r="2748" spans="1:7" ht="13">
      <c r="A2748" s="4" t="s">
        <v>120</v>
      </c>
      <c r="B2748" s="1">
        <v>5.46</v>
      </c>
      <c r="C2748" s="1">
        <v>447</v>
      </c>
      <c r="D2748" s="1" t="s">
        <v>43</v>
      </c>
      <c r="E2748" s="1" t="s">
        <v>15</v>
      </c>
      <c r="F2748" s="1">
        <f t="shared" si="86"/>
        <v>546</v>
      </c>
      <c r="G2748" s="5">
        <f t="shared" si="85"/>
        <v>0.81868131868131866</v>
      </c>
    </row>
    <row r="2749" spans="1:7" ht="13">
      <c r="A2749" s="4" t="s">
        <v>120</v>
      </c>
      <c r="B2749" s="1">
        <v>4.05</v>
      </c>
      <c r="C2749" s="1">
        <v>272</v>
      </c>
      <c r="D2749" s="1" t="s">
        <v>61</v>
      </c>
      <c r="E2749" s="1" t="s">
        <v>30</v>
      </c>
      <c r="F2749" s="1">
        <f t="shared" si="86"/>
        <v>405</v>
      </c>
      <c r="G2749" s="5">
        <f t="shared" si="85"/>
        <v>0.67160493827160495</v>
      </c>
    </row>
    <row r="2750" spans="1:7" ht="13">
      <c r="A2750" s="4" t="s">
        <v>120</v>
      </c>
      <c r="B2750" s="1">
        <v>6.4</v>
      </c>
      <c r="C2750" s="1">
        <v>361</v>
      </c>
      <c r="D2750" s="1" t="s">
        <v>33</v>
      </c>
      <c r="E2750" s="1" t="s">
        <v>15</v>
      </c>
      <c r="F2750" s="1">
        <f t="shared" si="86"/>
        <v>640</v>
      </c>
      <c r="G2750" s="5">
        <f t="shared" si="85"/>
        <v>0.56406250000000002</v>
      </c>
    </row>
    <row r="2751" spans="1:7" ht="13">
      <c r="A2751" s="4" t="s">
        <v>120</v>
      </c>
      <c r="B2751" s="1">
        <v>6.8</v>
      </c>
      <c r="C2751" s="1">
        <v>589</v>
      </c>
      <c r="D2751" s="1" t="s">
        <v>11</v>
      </c>
      <c r="E2751" s="1" t="s">
        <v>23</v>
      </c>
      <c r="F2751" s="1">
        <f t="shared" si="86"/>
        <v>680</v>
      </c>
      <c r="G2751" s="5">
        <f t="shared" si="85"/>
        <v>0.86617647058823533</v>
      </c>
    </row>
    <row r="2752" spans="1:7" ht="13">
      <c r="A2752" s="4" t="s">
        <v>120</v>
      </c>
      <c r="B2752" s="1">
        <v>5.88</v>
      </c>
      <c r="C2752" s="1">
        <v>438</v>
      </c>
      <c r="D2752" s="1" t="s">
        <v>11</v>
      </c>
      <c r="E2752" s="1" t="s">
        <v>15</v>
      </c>
      <c r="F2752" s="1">
        <f t="shared" si="86"/>
        <v>588</v>
      </c>
      <c r="G2752" s="5">
        <f t="shared" si="85"/>
        <v>0.74489795918367352</v>
      </c>
    </row>
    <row r="2753" spans="1:7" ht="13">
      <c r="A2753" s="4" t="s">
        <v>120</v>
      </c>
      <c r="B2753" s="1">
        <v>7.3</v>
      </c>
      <c r="C2753" s="1">
        <v>562</v>
      </c>
      <c r="D2753" s="1" t="s">
        <v>47</v>
      </c>
      <c r="E2753" s="1" t="s">
        <v>28</v>
      </c>
      <c r="F2753" s="1">
        <f t="shared" si="86"/>
        <v>730</v>
      </c>
      <c r="G2753" s="5">
        <f t="shared" si="85"/>
        <v>0.76986301369863008</v>
      </c>
    </row>
    <row r="2754" spans="1:7" ht="13">
      <c r="A2754" s="4" t="s">
        <v>120</v>
      </c>
      <c r="B2754" s="1">
        <v>6.96</v>
      </c>
      <c r="C2754" s="1">
        <v>371</v>
      </c>
      <c r="D2754" s="1" t="s">
        <v>43</v>
      </c>
      <c r="E2754" s="1" t="s">
        <v>8</v>
      </c>
      <c r="F2754" s="1">
        <f t="shared" si="86"/>
        <v>696</v>
      </c>
      <c r="G2754" s="5">
        <f t="shared" ref="G2754:G2817" si="87">C2754/F2754</f>
        <v>0.53304597701149425</v>
      </c>
    </row>
    <row r="2755" spans="1:7" ht="13">
      <c r="A2755" s="4" t="s">
        <v>120</v>
      </c>
      <c r="B2755" s="1">
        <v>5.6</v>
      </c>
      <c r="C2755" s="1">
        <v>429</v>
      </c>
      <c r="D2755" s="1" t="s">
        <v>94</v>
      </c>
      <c r="E2755" s="1" t="s">
        <v>22</v>
      </c>
      <c r="F2755" s="1">
        <f t="shared" si="86"/>
        <v>560</v>
      </c>
      <c r="G2755" s="5">
        <f t="shared" si="87"/>
        <v>0.76607142857142863</v>
      </c>
    </row>
    <row r="2756" spans="1:7" ht="13">
      <c r="A2756" s="4" t="s">
        <v>120</v>
      </c>
      <c r="B2756" s="1">
        <v>6.25</v>
      </c>
      <c r="C2756" s="1">
        <v>590</v>
      </c>
      <c r="D2756" s="1" t="s">
        <v>11</v>
      </c>
      <c r="E2756" s="1" t="s">
        <v>32</v>
      </c>
      <c r="F2756" s="1">
        <f t="shared" si="86"/>
        <v>625</v>
      </c>
      <c r="G2756" s="5">
        <f t="shared" si="87"/>
        <v>0.94399999999999995</v>
      </c>
    </row>
    <row r="2757" spans="1:7" ht="13">
      <c r="A2757" s="4" t="s">
        <v>120</v>
      </c>
      <c r="B2757" s="1">
        <v>4</v>
      </c>
      <c r="C2757" s="1">
        <v>301</v>
      </c>
      <c r="D2757" s="1" t="s">
        <v>11</v>
      </c>
      <c r="E2757" s="1" t="s">
        <v>28</v>
      </c>
      <c r="F2757" s="1">
        <f t="shared" si="86"/>
        <v>400</v>
      </c>
      <c r="G2757" s="5">
        <f t="shared" si="87"/>
        <v>0.75249999999999995</v>
      </c>
    </row>
    <row r="2758" spans="1:7" ht="13">
      <c r="A2758" s="4" t="s">
        <v>120</v>
      </c>
      <c r="B2758" s="1">
        <v>6.72</v>
      </c>
      <c r="C2758" s="1">
        <v>407</v>
      </c>
      <c r="D2758" s="1" t="s">
        <v>39</v>
      </c>
      <c r="E2758" s="1" t="s">
        <v>25</v>
      </c>
      <c r="F2758" s="1">
        <f t="shared" si="86"/>
        <v>672</v>
      </c>
      <c r="G2758" s="5">
        <f t="shared" si="87"/>
        <v>0.60565476190476186</v>
      </c>
    </row>
    <row r="2759" spans="1:7" ht="13">
      <c r="A2759" s="4" t="s">
        <v>120</v>
      </c>
      <c r="B2759" s="1">
        <v>5</v>
      </c>
      <c r="C2759" s="1">
        <v>521</v>
      </c>
      <c r="D2759" s="1" t="s">
        <v>33</v>
      </c>
      <c r="E2759" s="1" t="s">
        <v>32</v>
      </c>
      <c r="F2759" s="1">
        <f t="shared" si="86"/>
        <v>500</v>
      </c>
      <c r="G2759" s="5">
        <f t="shared" si="87"/>
        <v>1.042</v>
      </c>
    </row>
    <row r="2760" spans="1:7" ht="13">
      <c r="A2760" s="4" t="s">
        <v>120</v>
      </c>
      <c r="B2760" s="1">
        <v>8.1999999999999993</v>
      </c>
      <c r="C2760" s="1">
        <v>777</v>
      </c>
      <c r="D2760" s="1" t="s">
        <v>11</v>
      </c>
      <c r="E2760" s="1" t="s">
        <v>17</v>
      </c>
      <c r="F2760" s="1">
        <f t="shared" si="86"/>
        <v>819.99999999999989</v>
      </c>
      <c r="G2760" s="5">
        <f t="shared" si="87"/>
        <v>0.94756097560975627</v>
      </c>
    </row>
    <row r="2761" spans="1:7" ht="13">
      <c r="A2761" s="4" t="s">
        <v>120</v>
      </c>
      <c r="B2761" s="1">
        <v>4.3</v>
      </c>
      <c r="C2761" s="1">
        <v>324</v>
      </c>
      <c r="D2761" s="1" t="s">
        <v>34</v>
      </c>
      <c r="E2761" s="1" t="s">
        <v>15</v>
      </c>
      <c r="F2761" s="1">
        <f t="shared" si="86"/>
        <v>430</v>
      </c>
      <c r="G2761" s="5">
        <f t="shared" si="87"/>
        <v>0.75348837209302322</v>
      </c>
    </row>
    <row r="2762" spans="1:7" ht="13">
      <c r="A2762" s="4" t="s">
        <v>120</v>
      </c>
      <c r="B2762" s="1">
        <v>6.2</v>
      </c>
      <c r="C2762" s="1">
        <v>458</v>
      </c>
      <c r="D2762" s="1" t="s">
        <v>11</v>
      </c>
      <c r="E2762" s="1" t="s">
        <v>7</v>
      </c>
      <c r="F2762" s="1">
        <f t="shared" si="86"/>
        <v>620</v>
      </c>
      <c r="G2762" s="5">
        <f t="shared" si="87"/>
        <v>0.73870967741935489</v>
      </c>
    </row>
    <row r="2763" spans="1:7" ht="13">
      <c r="A2763" s="4" t="s">
        <v>120</v>
      </c>
      <c r="B2763" s="1">
        <v>6.72</v>
      </c>
      <c r="C2763" s="1">
        <v>540</v>
      </c>
      <c r="D2763" s="1" t="s">
        <v>47</v>
      </c>
      <c r="E2763" s="1" t="s">
        <v>15</v>
      </c>
      <c r="F2763" s="1">
        <f t="shared" si="86"/>
        <v>672</v>
      </c>
      <c r="G2763" s="5">
        <f t="shared" si="87"/>
        <v>0.8035714285714286</v>
      </c>
    </row>
    <row r="2764" spans="1:7" ht="13">
      <c r="A2764" s="4" t="s">
        <v>120</v>
      </c>
      <c r="B2764" s="1">
        <v>7.64</v>
      </c>
      <c r="C2764" s="1">
        <v>584</v>
      </c>
      <c r="D2764" s="1" t="s">
        <v>11</v>
      </c>
      <c r="E2764" s="1" t="s">
        <v>7</v>
      </c>
      <c r="F2764" s="1">
        <f t="shared" si="86"/>
        <v>764</v>
      </c>
      <c r="G2764" s="5">
        <f t="shared" si="87"/>
        <v>0.76439790575916233</v>
      </c>
    </row>
    <row r="2765" spans="1:7" ht="13">
      <c r="A2765" s="4" t="s">
        <v>120</v>
      </c>
      <c r="B2765" s="1">
        <v>8.6999999999999993</v>
      </c>
      <c r="C2765" s="1">
        <v>788</v>
      </c>
      <c r="D2765" s="1" t="s">
        <v>11</v>
      </c>
      <c r="E2765" s="1" t="s">
        <v>27</v>
      </c>
      <c r="F2765" s="1">
        <f t="shared" si="86"/>
        <v>869.99999999999989</v>
      </c>
      <c r="G2765" s="5">
        <f t="shared" si="87"/>
        <v>0.90574712643678168</v>
      </c>
    </row>
    <row r="2766" spans="1:7" ht="13">
      <c r="A2766" s="4" t="s">
        <v>120</v>
      </c>
      <c r="B2766" s="1">
        <v>6.72</v>
      </c>
      <c r="C2766" s="1">
        <v>458</v>
      </c>
      <c r="D2766" s="1" t="s">
        <v>33</v>
      </c>
      <c r="E2766" s="1" t="s">
        <v>27</v>
      </c>
      <c r="F2766" s="1">
        <f t="shared" si="86"/>
        <v>672</v>
      </c>
      <c r="G2766" s="5">
        <f t="shared" si="87"/>
        <v>0.68154761904761907</v>
      </c>
    </row>
    <row r="2767" spans="1:7" ht="13">
      <c r="A2767" s="4" t="s">
        <v>120</v>
      </c>
      <c r="B2767" s="1">
        <v>4.3</v>
      </c>
      <c r="C2767" s="1">
        <v>270</v>
      </c>
      <c r="D2767" s="1" t="s">
        <v>11</v>
      </c>
      <c r="E2767" s="1" t="s">
        <v>10</v>
      </c>
      <c r="F2767" s="1">
        <f t="shared" si="86"/>
        <v>430</v>
      </c>
      <c r="G2767" s="5">
        <f t="shared" si="87"/>
        <v>0.62790697674418605</v>
      </c>
    </row>
    <row r="2768" spans="1:7" ht="13">
      <c r="A2768" s="4" t="s">
        <v>120</v>
      </c>
      <c r="B2768" s="1">
        <v>7.74</v>
      </c>
      <c r="C2768" s="1">
        <v>488</v>
      </c>
      <c r="D2768" s="1" t="s">
        <v>33</v>
      </c>
      <c r="E2768" s="1" t="s">
        <v>16</v>
      </c>
      <c r="F2768" s="1">
        <f t="shared" si="86"/>
        <v>774</v>
      </c>
      <c r="G2768" s="5">
        <f t="shared" si="87"/>
        <v>0.63049095607235139</v>
      </c>
    </row>
    <row r="2769" spans="1:7" ht="13">
      <c r="A2769" s="4" t="s">
        <v>120</v>
      </c>
      <c r="B2769" s="1">
        <v>6.88</v>
      </c>
      <c r="C2769" s="1">
        <v>438</v>
      </c>
      <c r="D2769" s="1" t="s">
        <v>53</v>
      </c>
      <c r="E2769" s="1" t="s">
        <v>16</v>
      </c>
      <c r="F2769" s="1">
        <f t="shared" si="86"/>
        <v>688</v>
      </c>
      <c r="G2769" s="5">
        <f t="shared" si="87"/>
        <v>0.63662790697674421</v>
      </c>
    </row>
    <row r="2770" spans="1:7" ht="13">
      <c r="A2770" s="4" t="s">
        <v>120</v>
      </c>
      <c r="B2770" s="1">
        <v>7.83</v>
      </c>
      <c r="C2770" s="1">
        <v>648</v>
      </c>
      <c r="D2770" s="1" t="s">
        <v>11</v>
      </c>
      <c r="E2770" s="1" t="s">
        <v>32</v>
      </c>
      <c r="F2770" s="1">
        <f t="shared" si="86"/>
        <v>783</v>
      </c>
      <c r="G2770" s="5">
        <f t="shared" si="87"/>
        <v>0.82758620689655171</v>
      </c>
    </row>
    <row r="2771" spans="1:7" ht="13">
      <c r="A2771" s="4" t="s">
        <v>120</v>
      </c>
      <c r="B2771" s="1">
        <v>8.6999999999999993</v>
      </c>
      <c r="C2771" s="1">
        <v>603</v>
      </c>
      <c r="D2771" s="1" t="s">
        <v>42</v>
      </c>
      <c r="E2771" s="1" t="s">
        <v>20</v>
      </c>
      <c r="F2771" s="1">
        <f t="shared" si="86"/>
        <v>869.99999999999989</v>
      </c>
      <c r="G2771" s="5">
        <f t="shared" si="87"/>
        <v>0.69310344827586212</v>
      </c>
    </row>
    <row r="2772" spans="1:7" ht="13">
      <c r="A2772" s="4" t="s">
        <v>121</v>
      </c>
      <c r="B2772" s="1">
        <v>6</v>
      </c>
      <c r="C2772" s="1">
        <v>279</v>
      </c>
      <c r="D2772" s="1" t="s">
        <v>38</v>
      </c>
      <c r="E2772" s="1" t="s">
        <v>22</v>
      </c>
      <c r="F2772" s="1">
        <f t="shared" si="86"/>
        <v>600</v>
      </c>
      <c r="G2772" s="5">
        <f t="shared" si="87"/>
        <v>0.46500000000000002</v>
      </c>
    </row>
    <row r="2773" spans="1:7" ht="13">
      <c r="A2773" s="4" t="s">
        <v>121</v>
      </c>
      <c r="B2773" s="1">
        <v>9.1999999999999993</v>
      </c>
      <c r="C2773" s="1">
        <v>364</v>
      </c>
      <c r="D2773" s="1" t="s">
        <v>37</v>
      </c>
      <c r="E2773" s="1" t="s">
        <v>18</v>
      </c>
      <c r="F2773" s="1">
        <f t="shared" si="86"/>
        <v>919.99999999999989</v>
      </c>
      <c r="G2773" s="5">
        <f t="shared" si="87"/>
        <v>0.39565217391304353</v>
      </c>
    </row>
    <row r="2774" spans="1:7" ht="13">
      <c r="A2774" s="4" t="s">
        <v>121</v>
      </c>
      <c r="B2774" s="1">
        <v>7.2</v>
      </c>
      <c r="C2774" s="1">
        <v>320</v>
      </c>
      <c r="D2774" s="1" t="s">
        <v>33</v>
      </c>
      <c r="E2774" s="1" t="s">
        <v>15</v>
      </c>
      <c r="F2774" s="1">
        <f t="shared" si="86"/>
        <v>720</v>
      </c>
      <c r="G2774" s="5">
        <f t="shared" si="87"/>
        <v>0.44444444444444442</v>
      </c>
    </row>
    <row r="2775" spans="1:7" ht="13">
      <c r="A2775" s="4" t="s">
        <v>121</v>
      </c>
      <c r="B2775" s="1">
        <v>6</v>
      </c>
      <c r="C2775" s="1">
        <v>261</v>
      </c>
      <c r="D2775" s="1" t="s">
        <v>33</v>
      </c>
      <c r="E2775" s="1" t="s">
        <v>16</v>
      </c>
      <c r="F2775" s="1">
        <f t="shared" si="86"/>
        <v>600</v>
      </c>
      <c r="G2775" s="5">
        <f t="shared" si="87"/>
        <v>0.435</v>
      </c>
    </row>
    <row r="2776" spans="1:7" ht="13">
      <c r="A2776" s="4" t="s">
        <v>121</v>
      </c>
      <c r="B2776" s="1">
        <v>3.44</v>
      </c>
      <c r="C2776" s="1">
        <v>219</v>
      </c>
      <c r="D2776" s="1" t="s">
        <v>39</v>
      </c>
      <c r="E2776" s="1" t="s">
        <v>15</v>
      </c>
      <c r="F2776" s="1">
        <f t="shared" si="86"/>
        <v>344</v>
      </c>
      <c r="G2776" s="5">
        <f t="shared" si="87"/>
        <v>0.63662790697674421</v>
      </c>
    </row>
    <row r="2777" spans="1:7" ht="13">
      <c r="A2777" s="4" t="s">
        <v>121</v>
      </c>
      <c r="B2777" s="1">
        <v>5</v>
      </c>
      <c r="C2777" s="1">
        <v>278</v>
      </c>
      <c r="D2777" s="1" t="s">
        <v>35</v>
      </c>
      <c r="E2777" s="1" t="s">
        <v>17</v>
      </c>
      <c r="F2777" s="1">
        <f t="shared" si="86"/>
        <v>500</v>
      </c>
      <c r="G2777" s="5">
        <f t="shared" si="87"/>
        <v>0.55600000000000005</v>
      </c>
    </row>
    <row r="2778" spans="1:7" ht="13">
      <c r="A2778" s="4" t="s">
        <v>121</v>
      </c>
      <c r="B2778" s="1">
        <v>9.5</v>
      </c>
      <c r="C2778" s="1">
        <v>356</v>
      </c>
      <c r="D2778" s="1" t="s">
        <v>58</v>
      </c>
      <c r="E2778" s="1" t="s">
        <v>18</v>
      </c>
      <c r="F2778" s="1">
        <f t="shared" si="86"/>
        <v>950</v>
      </c>
      <c r="G2778" s="5">
        <f t="shared" si="87"/>
        <v>0.37473684210526315</v>
      </c>
    </row>
    <row r="2779" spans="1:7" ht="13">
      <c r="A2779" s="4" t="s">
        <v>121</v>
      </c>
      <c r="B2779" s="1">
        <v>4.9000000000000004</v>
      </c>
      <c r="C2779" s="1">
        <v>237.49</v>
      </c>
      <c r="D2779" s="1" t="s">
        <v>35</v>
      </c>
      <c r="E2779" s="1" t="s">
        <v>19</v>
      </c>
      <c r="F2779" s="1">
        <f t="shared" si="86"/>
        <v>490.00000000000006</v>
      </c>
      <c r="G2779" s="5">
        <f t="shared" si="87"/>
        <v>0.48467346938775507</v>
      </c>
    </row>
    <row r="2780" spans="1:7" ht="13">
      <c r="A2780" s="4" t="s">
        <v>121</v>
      </c>
      <c r="B2780" s="1">
        <v>8.8000000000000007</v>
      </c>
      <c r="C2780" s="1">
        <v>418</v>
      </c>
      <c r="D2780" s="1" t="s">
        <v>42</v>
      </c>
      <c r="E2780" s="1" t="s">
        <v>32</v>
      </c>
      <c r="F2780" s="1">
        <f t="shared" si="86"/>
        <v>880.00000000000011</v>
      </c>
      <c r="G2780" s="5">
        <f t="shared" si="87"/>
        <v>0.47499999999999992</v>
      </c>
    </row>
    <row r="2781" spans="1:7" ht="13">
      <c r="A2781" s="4" t="s">
        <v>121</v>
      </c>
      <c r="B2781" s="1">
        <v>6.4</v>
      </c>
      <c r="C2781" s="1">
        <v>382</v>
      </c>
      <c r="D2781" s="1" t="s">
        <v>11</v>
      </c>
      <c r="E2781" s="1" t="s">
        <v>32</v>
      </c>
      <c r="F2781" s="1">
        <f t="shared" si="86"/>
        <v>640</v>
      </c>
      <c r="G2781" s="5">
        <f t="shared" si="87"/>
        <v>0.59687500000000004</v>
      </c>
    </row>
    <row r="2782" spans="1:7" ht="13">
      <c r="A2782" s="4" t="s">
        <v>121</v>
      </c>
      <c r="B2782" s="1">
        <v>7.2</v>
      </c>
      <c r="C2782" s="1">
        <v>422</v>
      </c>
      <c r="D2782" s="1" t="s">
        <v>11</v>
      </c>
      <c r="E2782" s="1" t="s">
        <v>7</v>
      </c>
      <c r="F2782" s="1">
        <f t="shared" si="86"/>
        <v>720</v>
      </c>
      <c r="G2782" s="5">
        <f t="shared" si="87"/>
        <v>0.58611111111111114</v>
      </c>
    </row>
    <row r="2783" spans="1:7" ht="13">
      <c r="A2783" s="4" t="s">
        <v>121</v>
      </c>
      <c r="B2783" s="1">
        <v>5.6</v>
      </c>
      <c r="C2783" s="1">
        <v>164</v>
      </c>
      <c r="D2783" s="1" t="s">
        <v>102</v>
      </c>
      <c r="E2783" s="1" t="s">
        <v>26</v>
      </c>
      <c r="F2783" s="1">
        <f t="shared" si="86"/>
        <v>560</v>
      </c>
      <c r="G2783" s="5">
        <f t="shared" si="87"/>
        <v>0.29285714285714287</v>
      </c>
    </row>
    <row r="2784" spans="1:7" ht="13">
      <c r="A2784" s="4" t="s">
        <v>121</v>
      </c>
      <c r="B2784" s="1">
        <v>5.2</v>
      </c>
      <c r="C2784" s="1">
        <v>266</v>
      </c>
      <c r="D2784" s="1" t="s">
        <v>50</v>
      </c>
      <c r="E2784" s="1" t="s">
        <v>15</v>
      </c>
      <c r="F2784" s="1">
        <f t="shared" ref="F2784:F2847" si="88">B2784*100</f>
        <v>520</v>
      </c>
      <c r="G2784" s="5">
        <f t="shared" si="87"/>
        <v>0.5115384615384615</v>
      </c>
    </row>
    <row r="2785" spans="1:7" ht="13">
      <c r="A2785" s="4" t="s">
        <v>121</v>
      </c>
      <c r="B2785" s="1">
        <v>6.88</v>
      </c>
      <c r="C2785" s="1">
        <v>374</v>
      </c>
      <c r="D2785" s="1" t="s">
        <v>11</v>
      </c>
      <c r="E2785" s="1" t="s">
        <v>8</v>
      </c>
      <c r="F2785" s="1">
        <f t="shared" si="88"/>
        <v>688</v>
      </c>
      <c r="G2785" s="5">
        <f t="shared" si="87"/>
        <v>0.54360465116279066</v>
      </c>
    </row>
    <row r="2786" spans="1:7" ht="13">
      <c r="A2786" s="4" t="s">
        <v>121</v>
      </c>
      <c r="B2786" s="1">
        <v>9.6</v>
      </c>
      <c r="C2786" s="1">
        <v>670</v>
      </c>
      <c r="D2786" s="1" t="s">
        <v>11</v>
      </c>
      <c r="E2786" s="1" t="s">
        <v>29</v>
      </c>
      <c r="F2786" s="1">
        <f t="shared" si="88"/>
        <v>960</v>
      </c>
      <c r="G2786" s="5">
        <f t="shared" si="87"/>
        <v>0.69791666666666663</v>
      </c>
    </row>
    <row r="2787" spans="1:7" ht="13">
      <c r="A2787" s="4" t="s">
        <v>121</v>
      </c>
      <c r="B2787" s="1">
        <v>7.4</v>
      </c>
      <c r="C2787" s="1">
        <v>373</v>
      </c>
      <c r="D2787" s="1" t="s">
        <v>11</v>
      </c>
      <c r="E2787" s="1" t="s">
        <v>10</v>
      </c>
      <c r="F2787" s="1">
        <f t="shared" si="88"/>
        <v>740</v>
      </c>
      <c r="G2787" s="5">
        <f t="shared" si="87"/>
        <v>0.50405405405405401</v>
      </c>
    </row>
    <row r="2788" spans="1:7" ht="13">
      <c r="A2788" s="4" t="s">
        <v>121</v>
      </c>
      <c r="B2788" s="1">
        <v>5.2</v>
      </c>
      <c r="C2788" s="1">
        <v>335</v>
      </c>
      <c r="D2788" s="1" t="s">
        <v>38</v>
      </c>
      <c r="E2788" s="1" t="s">
        <v>9</v>
      </c>
      <c r="F2788" s="1">
        <f t="shared" si="88"/>
        <v>520</v>
      </c>
      <c r="G2788" s="5">
        <f t="shared" si="87"/>
        <v>0.64423076923076927</v>
      </c>
    </row>
    <row r="2789" spans="1:7" ht="13">
      <c r="A2789" s="4" t="s">
        <v>121</v>
      </c>
      <c r="B2789" s="1">
        <v>7.83</v>
      </c>
      <c r="C2789" s="1">
        <v>395</v>
      </c>
      <c r="D2789" s="1" t="s">
        <v>11</v>
      </c>
      <c r="E2789" s="1" t="s">
        <v>17</v>
      </c>
      <c r="F2789" s="1">
        <f t="shared" si="88"/>
        <v>783</v>
      </c>
      <c r="G2789" s="5">
        <f t="shared" si="87"/>
        <v>0.50446998722860792</v>
      </c>
    </row>
    <row r="2790" spans="1:7" ht="13">
      <c r="A2790" s="4" t="s">
        <v>121</v>
      </c>
      <c r="B2790" s="1">
        <v>7.8</v>
      </c>
      <c r="C2790" s="1">
        <v>477</v>
      </c>
      <c r="D2790" s="1" t="s">
        <v>11</v>
      </c>
      <c r="E2790" s="1" t="s">
        <v>26</v>
      </c>
      <c r="F2790" s="1">
        <f t="shared" si="88"/>
        <v>780</v>
      </c>
      <c r="G2790" s="5">
        <f t="shared" si="87"/>
        <v>0.61153846153846159</v>
      </c>
    </row>
    <row r="2791" spans="1:7" ht="13">
      <c r="A2791" s="4" t="s">
        <v>121</v>
      </c>
      <c r="B2791" s="1">
        <v>4</v>
      </c>
      <c r="C2791" s="1">
        <v>245</v>
      </c>
      <c r="D2791" s="1" t="s">
        <v>38</v>
      </c>
      <c r="E2791" s="1" t="s">
        <v>31</v>
      </c>
      <c r="F2791" s="1">
        <f t="shared" si="88"/>
        <v>400</v>
      </c>
      <c r="G2791" s="5">
        <f t="shared" si="87"/>
        <v>0.61250000000000004</v>
      </c>
    </row>
    <row r="2792" spans="1:7" ht="13">
      <c r="A2792" s="4" t="s">
        <v>121</v>
      </c>
      <c r="B2792" s="1">
        <v>2.87</v>
      </c>
      <c r="C2792" s="1">
        <v>165</v>
      </c>
      <c r="D2792" s="1" t="s">
        <v>11</v>
      </c>
      <c r="E2792" s="1" t="s">
        <v>8</v>
      </c>
      <c r="F2792" s="1">
        <f t="shared" si="88"/>
        <v>287</v>
      </c>
      <c r="G2792" s="5">
        <f t="shared" si="87"/>
        <v>0.57491289198606277</v>
      </c>
    </row>
    <row r="2793" spans="1:7" ht="13">
      <c r="A2793" s="4" t="s">
        <v>121</v>
      </c>
      <c r="B2793" s="1">
        <v>7.6</v>
      </c>
      <c r="C2793" s="1">
        <v>240</v>
      </c>
      <c r="D2793" s="1" t="s">
        <v>33</v>
      </c>
      <c r="E2793" s="1" t="s">
        <v>17</v>
      </c>
      <c r="F2793" s="1">
        <f t="shared" si="88"/>
        <v>760</v>
      </c>
      <c r="G2793" s="5">
        <f t="shared" si="87"/>
        <v>0.31578947368421051</v>
      </c>
    </row>
    <row r="2794" spans="1:7" ht="13">
      <c r="A2794" s="4" t="s">
        <v>121</v>
      </c>
      <c r="B2794" s="1">
        <v>7.3949999999999996</v>
      </c>
      <c r="C2794" s="1">
        <v>334</v>
      </c>
      <c r="D2794" s="1" t="s">
        <v>11</v>
      </c>
      <c r="E2794" s="1" t="s">
        <v>20</v>
      </c>
      <c r="F2794" s="1">
        <f t="shared" si="88"/>
        <v>739.5</v>
      </c>
      <c r="G2794" s="5">
        <f t="shared" si="87"/>
        <v>0.45165652467883705</v>
      </c>
    </row>
    <row r="2795" spans="1:7" ht="13">
      <c r="A2795" s="4" t="s">
        <v>121</v>
      </c>
      <c r="B2795" s="1">
        <v>5.81</v>
      </c>
      <c r="C2795" s="1">
        <v>338</v>
      </c>
      <c r="D2795" s="1" t="s">
        <v>38</v>
      </c>
      <c r="E2795" s="1" t="s">
        <v>8</v>
      </c>
      <c r="F2795" s="1">
        <f t="shared" si="88"/>
        <v>581</v>
      </c>
      <c r="G2795" s="5">
        <f t="shared" si="87"/>
        <v>0.58175559380378661</v>
      </c>
    </row>
    <row r="2796" spans="1:7" ht="13">
      <c r="A2796" s="4" t="s">
        <v>121</v>
      </c>
      <c r="B2796" s="1">
        <v>6.4</v>
      </c>
      <c r="C2796" s="1">
        <v>381</v>
      </c>
      <c r="D2796" s="1" t="s">
        <v>11</v>
      </c>
      <c r="E2796" s="1" t="s">
        <v>16</v>
      </c>
      <c r="F2796" s="1">
        <f t="shared" si="88"/>
        <v>640</v>
      </c>
      <c r="G2796" s="5">
        <f t="shared" si="87"/>
        <v>0.59531250000000002</v>
      </c>
    </row>
    <row r="2797" spans="1:7" ht="13">
      <c r="A2797" s="4" t="s">
        <v>121</v>
      </c>
      <c r="B2797" s="1">
        <v>4</v>
      </c>
      <c r="C2797" s="1">
        <v>300</v>
      </c>
      <c r="D2797" s="1" t="s">
        <v>11</v>
      </c>
      <c r="E2797" s="1" t="s">
        <v>24</v>
      </c>
      <c r="F2797" s="1">
        <f t="shared" si="88"/>
        <v>400</v>
      </c>
      <c r="G2797" s="5">
        <f t="shared" si="87"/>
        <v>0.75</v>
      </c>
    </row>
    <row r="2798" spans="1:7" ht="13">
      <c r="A2798" s="4" t="s">
        <v>121</v>
      </c>
      <c r="B2798" s="1">
        <v>5.4</v>
      </c>
      <c r="C2798" s="1">
        <v>364</v>
      </c>
      <c r="D2798" s="1" t="s">
        <v>39</v>
      </c>
      <c r="E2798" s="1" t="s">
        <v>8</v>
      </c>
      <c r="F2798" s="1">
        <f t="shared" si="88"/>
        <v>540</v>
      </c>
      <c r="G2798" s="5">
        <f t="shared" si="87"/>
        <v>0.67407407407407405</v>
      </c>
    </row>
    <row r="2799" spans="1:7" ht="13">
      <c r="A2799" s="4" t="s">
        <v>121</v>
      </c>
      <c r="B2799" s="1">
        <v>3.85</v>
      </c>
      <c r="C2799" s="1">
        <v>270</v>
      </c>
      <c r="D2799" s="1" t="s">
        <v>55</v>
      </c>
      <c r="E2799" s="1" t="s">
        <v>15</v>
      </c>
      <c r="F2799" s="1">
        <f t="shared" si="88"/>
        <v>385</v>
      </c>
      <c r="G2799" s="5">
        <f t="shared" si="87"/>
        <v>0.70129870129870131</v>
      </c>
    </row>
    <row r="2800" spans="1:7" ht="13">
      <c r="A2800" s="4" t="s">
        <v>121</v>
      </c>
      <c r="B2800" s="1">
        <v>6.24</v>
      </c>
      <c r="C2800" s="1">
        <v>465</v>
      </c>
      <c r="D2800" s="1" t="s">
        <v>11</v>
      </c>
      <c r="E2800" s="1" t="s">
        <v>17</v>
      </c>
      <c r="F2800" s="1">
        <f t="shared" si="88"/>
        <v>624</v>
      </c>
      <c r="G2800" s="5">
        <f t="shared" si="87"/>
        <v>0.74519230769230771</v>
      </c>
    </row>
    <row r="2801" spans="1:7" ht="13">
      <c r="A2801" s="4" t="s">
        <v>121</v>
      </c>
      <c r="B2801" s="1">
        <v>7.7</v>
      </c>
      <c r="C2801" s="1">
        <v>378</v>
      </c>
      <c r="D2801" s="1" t="s">
        <v>11</v>
      </c>
      <c r="E2801" s="1" t="s">
        <v>25</v>
      </c>
      <c r="F2801" s="1">
        <f t="shared" si="88"/>
        <v>770</v>
      </c>
      <c r="G2801" s="5">
        <f t="shared" si="87"/>
        <v>0.49090909090909091</v>
      </c>
    </row>
    <row r="2802" spans="1:7" ht="13">
      <c r="A2802" s="4" t="s">
        <v>121</v>
      </c>
      <c r="B2802" s="1">
        <v>5.16</v>
      </c>
      <c r="C2802" s="1">
        <v>191</v>
      </c>
      <c r="D2802" s="1" t="s">
        <v>42</v>
      </c>
      <c r="E2802" s="1" t="s">
        <v>22</v>
      </c>
      <c r="F2802" s="1">
        <f t="shared" si="88"/>
        <v>516</v>
      </c>
      <c r="G2802" s="5">
        <f t="shared" si="87"/>
        <v>0.37015503875968991</v>
      </c>
    </row>
    <row r="2803" spans="1:7" ht="13">
      <c r="A2803" s="4" t="s">
        <v>121</v>
      </c>
      <c r="B2803" s="1">
        <v>7.5</v>
      </c>
      <c r="C2803" s="1">
        <v>294</v>
      </c>
      <c r="D2803" s="1" t="s">
        <v>11</v>
      </c>
      <c r="E2803" s="1" t="s">
        <v>16</v>
      </c>
      <c r="F2803" s="1">
        <f t="shared" si="88"/>
        <v>750</v>
      </c>
      <c r="G2803" s="5">
        <f t="shared" si="87"/>
        <v>0.39200000000000002</v>
      </c>
    </row>
    <row r="2804" spans="1:7" ht="13">
      <c r="A2804" s="4" t="s">
        <v>121</v>
      </c>
      <c r="B2804" s="1">
        <v>7</v>
      </c>
      <c r="C2804" s="1">
        <v>272</v>
      </c>
      <c r="D2804" s="1" t="s">
        <v>33</v>
      </c>
      <c r="E2804" s="1" t="s">
        <v>20</v>
      </c>
      <c r="F2804" s="1">
        <f t="shared" si="88"/>
        <v>700</v>
      </c>
      <c r="G2804" s="5">
        <f t="shared" si="87"/>
        <v>0.38857142857142857</v>
      </c>
    </row>
    <row r="2805" spans="1:7" ht="13">
      <c r="A2805" s="4" t="s">
        <v>121</v>
      </c>
      <c r="B2805" s="1">
        <v>4.4000000000000004</v>
      </c>
      <c r="C2805" s="1">
        <v>280</v>
      </c>
      <c r="D2805" s="1" t="s">
        <v>11</v>
      </c>
      <c r="E2805" s="1" t="s">
        <v>15</v>
      </c>
      <c r="F2805" s="1">
        <f t="shared" si="88"/>
        <v>440.00000000000006</v>
      </c>
      <c r="G2805" s="5">
        <f t="shared" si="87"/>
        <v>0.63636363636363624</v>
      </c>
    </row>
    <row r="2806" spans="1:7" ht="13">
      <c r="A2806" s="4" t="s">
        <v>121</v>
      </c>
      <c r="B2806" s="1">
        <v>8</v>
      </c>
      <c r="C2806" s="1">
        <v>392</v>
      </c>
      <c r="D2806" s="1" t="s">
        <v>11</v>
      </c>
      <c r="E2806" s="1" t="s">
        <v>22</v>
      </c>
      <c r="F2806" s="1">
        <f t="shared" si="88"/>
        <v>800</v>
      </c>
      <c r="G2806" s="5">
        <f t="shared" si="87"/>
        <v>0.49</v>
      </c>
    </row>
    <row r="2807" spans="1:7" ht="13">
      <c r="A2807" s="4" t="s">
        <v>121</v>
      </c>
      <c r="B2807" s="1">
        <v>9</v>
      </c>
      <c r="C2807" s="1">
        <v>404</v>
      </c>
      <c r="D2807" s="1" t="s">
        <v>44</v>
      </c>
      <c r="E2807" s="1" t="s">
        <v>25</v>
      </c>
      <c r="F2807" s="1">
        <f t="shared" si="88"/>
        <v>900</v>
      </c>
      <c r="G2807" s="5">
        <f t="shared" si="87"/>
        <v>0.44888888888888889</v>
      </c>
    </row>
    <row r="2808" spans="1:7" ht="13">
      <c r="A2808" s="4" t="s">
        <v>121</v>
      </c>
      <c r="B2808" s="1">
        <v>6.3</v>
      </c>
      <c r="C2808" s="1">
        <v>282</v>
      </c>
      <c r="D2808" s="1" t="s">
        <v>43</v>
      </c>
      <c r="E2808" s="1" t="s">
        <v>29</v>
      </c>
      <c r="F2808" s="1">
        <f t="shared" si="88"/>
        <v>630</v>
      </c>
      <c r="G2808" s="5">
        <f t="shared" si="87"/>
        <v>0.44761904761904764</v>
      </c>
    </row>
    <row r="2809" spans="1:7" ht="13">
      <c r="A2809" s="4" t="s">
        <v>121</v>
      </c>
      <c r="B2809" s="1">
        <v>6.6</v>
      </c>
      <c r="C2809" s="1">
        <v>324</v>
      </c>
      <c r="D2809" s="1" t="s">
        <v>43</v>
      </c>
      <c r="E2809" s="1" t="s">
        <v>17</v>
      </c>
      <c r="F2809" s="1">
        <f t="shared" si="88"/>
        <v>660</v>
      </c>
      <c r="G2809" s="5">
        <f t="shared" si="87"/>
        <v>0.49090909090909091</v>
      </c>
    </row>
    <row r="2810" spans="1:7" ht="13">
      <c r="A2810" s="4" t="s">
        <v>121</v>
      </c>
      <c r="B2810" s="1">
        <v>8.1999999999999993</v>
      </c>
      <c r="C2810" s="1">
        <v>436</v>
      </c>
      <c r="D2810" s="1" t="s">
        <v>11</v>
      </c>
      <c r="E2810" s="1" t="s">
        <v>12</v>
      </c>
      <c r="F2810" s="1">
        <f t="shared" si="88"/>
        <v>819.99999999999989</v>
      </c>
      <c r="G2810" s="5">
        <f t="shared" si="87"/>
        <v>0.53170731707317076</v>
      </c>
    </row>
    <row r="2811" spans="1:7" ht="13">
      <c r="A2811" s="4" t="s">
        <v>121</v>
      </c>
      <c r="B2811" s="1">
        <v>8.5</v>
      </c>
      <c r="C2811" s="1">
        <v>284</v>
      </c>
      <c r="D2811" s="1" t="s">
        <v>33</v>
      </c>
      <c r="E2811" s="1" t="s">
        <v>46</v>
      </c>
      <c r="F2811" s="1">
        <f t="shared" si="88"/>
        <v>850</v>
      </c>
      <c r="G2811" s="5">
        <f t="shared" si="87"/>
        <v>0.33411764705882352</v>
      </c>
    </row>
    <row r="2812" spans="1:7" ht="13">
      <c r="A2812" s="4" t="s">
        <v>121</v>
      </c>
      <c r="B2812" s="1">
        <v>8.6</v>
      </c>
      <c r="C2812" s="1">
        <v>483</v>
      </c>
      <c r="D2812" s="1" t="s">
        <v>11</v>
      </c>
      <c r="E2812" s="1" t="s">
        <v>9</v>
      </c>
      <c r="F2812" s="1">
        <f t="shared" si="88"/>
        <v>860</v>
      </c>
      <c r="G2812" s="5">
        <f t="shared" si="87"/>
        <v>0.56162790697674414</v>
      </c>
    </row>
    <row r="2813" spans="1:7" ht="13">
      <c r="A2813" s="4" t="s">
        <v>121</v>
      </c>
      <c r="B2813" s="1">
        <v>3.44</v>
      </c>
      <c r="C2813" s="1">
        <v>212</v>
      </c>
      <c r="D2813" s="1" t="s">
        <v>43</v>
      </c>
      <c r="E2813" s="1" t="s">
        <v>8</v>
      </c>
      <c r="F2813" s="1">
        <f t="shared" si="88"/>
        <v>344</v>
      </c>
      <c r="G2813" s="5">
        <f t="shared" si="87"/>
        <v>0.61627906976744184</v>
      </c>
    </row>
    <row r="2814" spans="1:7" ht="13">
      <c r="A2814" s="4" t="s">
        <v>121</v>
      </c>
      <c r="B2814" s="1">
        <v>6.9</v>
      </c>
      <c r="C2814" s="1">
        <v>395</v>
      </c>
      <c r="D2814" s="1" t="s">
        <v>11</v>
      </c>
      <c r="E2814" s="1" t="s">
        <v>26</v>
      </c>
      <c r="F2814" s="1">
        <f t="shared" si="88"/>
        <v>690</v>
      </c>
      <c r="G2814" s="5">
        <f t="shared" si="87"/>
        <v>0.57246376811594202</v>
      </c>
    </row>
    <row r="2815" spans="1:7" ht="13">
      <c r="A2815" s="4" t="s">
        <v>121</v>
      </c>
      <c r="B2815" s="1">
        <v>4.0999999999999996</v>
      </c>
      <c r="C2815" s="1">
        <v>210</v>
      </c>
      <c r="D2815" s="1" t="s">
        <v>11</v>
      </c>
      <c r="E2815" s="1" t="s">
        <v>18</v>
      </c>
      <c r="F2815" s="1">
        <f t="shared" si="88"/>
        <v>409.99999999999994</v>
      </c>
      <c r="G2815" s="5">
        <f t="shared" si="87"/>
        <v>0.51219512195121963</v>
      </c>
    </row>
    <row r="2816" spans="1:7" ht="13">
      <c r="A2816" s="4" t="s">
        <v>121</v>
      </c>
      <c r="B2816" s="1">
        <v>6.2</v>
      </c>
      <c r="C2816" s="1">
        <v>313</v>
      </c>
      <c r="D2816" s="1" t="s">
        <v>11</v>
      </c>
      <c r="E2816" s="1" t="s">
        <v>7</v>
      </c>
      <c r="F2816" s="1">
        <f t="shared" si="88"/>
        <v>620</v>
      </c>
      <c r="G2816" s="5">
        <f t="shared" si="87"/>
        <v>0.50483870967741939</v>
      </c>
    </row>
    <row r="2817" spans="1:7" ht="13">
      <c r="A2817" s="4" t="s">
        <v>121</v>
      </c>
      <c r="B2817" s="1">
        <v>5.0999999999999996</v>
      </c>
      <c r="C2817" s="1">
        <v>227</v>
      </c>
      <c r="D2817" s="1" t="s">
        <v>11</v>
      </c>
      <c r="E2817" s="1" t="s">
        <v>8</v>
      </c>
      <c r="F2817" s="1">
        <f t="shared" si="88"/>
        <v>509.99999999999994</v>
      </c>
      <c r="G2817" s="5">
        <f t="shared" si="87"/>
        <v>0.4450980392156863</v>
      </c>
    </row>
    <row r="2818" spans="1:7" ht="13">
      <c r="A2818" s="4" t="s">
        <v>121</v>
      </c>
      <c r="B2818" s="1">
        <v>5.88</v>
      </c>
      <c r="C2818" s="1">
        <v>238</v>
      </c>
      <c r="D2818" s="1" t="s">
        <v>39</v>
      </c>
      <c r="E2818" s="1" t="s">
        <v>19</v>
      </c>
      <c r="F2818" s="1">
        <f t="shared" si="88"/>
        <v>588</v>
      </c>
      <c r="G2818" s="5">
        <f t="shared" ref="G2818:G2881" si="89">C2818/F2818</f>
        <v>0.40476190476190477</v>
      </c>
    </row>
    <row r="2819" spans="1:7" ht="13">
      <c r="A2819" s="4" t="s">
        <v>121</v>
      </c>
      <c r="B2819" s="1">
        <v>7.4</v>
      </c>
      <c r="C2819" s="1">
        <v>384</v>
      </c>
      <c r="D2819" s="1" t="s">
        <v>39</v>
      </c>
      <c r="E2819" s="1" t="s">
        <v>10</v>
      </c>
      <c r="F2819" s="1">
        <f t="shared" si="88"/>
        <v>740</v>
      </c>
      <c r="G2819" s="5">
        <f t="shared" si="89"/>
        <v>0.51891891891891895</v>
      </c>
    </row>
    <row r="2820" spans="1:7" ht="13">
      <c r="A2820" s="4" t="s">
        <v>121</v>
      </c>
      <c r="B2820" s="1">
        <v>7.9</v>
      </c>
      <c r="C2820" s="1">
        <v>491</v>
      </c>
      <c r="D2820" s="1" t="s">
        <v>11</v>
      </c>
      <c r="E2820" s="1" t="s">
        <v>30</v>
      </c>
      <c r="F2820" s="1">
        <f t="shared" si="88"/>
        <v>790</v>
      </c>
      <c r="G2820" s="5">
        <f t="shared" si="89"/>
        <v>0.62151898734177213</v>
      </c>
    </row>
    <row r="2821" spans="1:7" ht="13">
      <c r="A2821" s="4" t="s">
        <v>121</v>
      </c>
      <c r="B2821" s="1">
        <v>6.96</v>
      </c>
      <c r="C2821" s="1">
        <v>363</v>
      </c>
      <c r="D2821" s="1" t="s">
        <v>11</v>
      </c>
      <c r="E2821" s="1" t="s">
        <v>8</v>
      </c>
      <c r="F2821" s="1">
        <f t="shared" si="88"/>
        <v>696</v>
      </c>
      <c r="G2821" s="5">
        <f t="shared" si="89"/>
        <v>0.52155172413793105</v>
      </c>
    </row>
    <row r="2822" spans="1:7" ht="13">
      <c r="A2822" s="4" t="s">
        <v>121</v>
      </c>
      <c r="B2822" s="1">
        <v>8.1999999999999993</v>
      </c>
      <c r="C2822" s="1">
        <v>431</v>
      </c>
      <c r="D2822" s="1" t="s">
        <v>39</v>
      </c>
      <c r="E2822" s="1" t="s">
        <v>16</v>
      </c>
      <c r="F2822" s="1">
        <f t="shared" si="88"/>
        <v>819.99999999999989</v>
      </c>
      <c r="G2822" s="5">
        <f t="shared" si="89"/>
        <v>0.525609756097561</v>
      </c>
    </row>
    <row r="2823" spans="1:7" ht="13">
      <c r="A2823" s="4" t="s">
        <v>121</v>
      </c>
      <c r="B2823" s="1">
        <v>6.8</v>
      </c>
      <c r="C2823" s="1">
        <v>247</v>
      </c>
      <c r="D2823" s="1" t="s">
        <v>33</v>
      </c>
      <c r="E2823" s="1" t="s">
        <v>20</v>
      </c>
      <c r="F2823" s="1">
        <f t="shared" si="88"/>
        <v>680</v>
      </c>
      <c r="G2823" s="5">
        <f t="shared" si="89"/>
        <v>0.36323529411764705</v>
      </c>
    </row>
    <row r="2824" spans="1:7" ht="13">
      <c r="A2824" s="4" t="s">
        <v>121</v>
      </c>
      <c r="B2824" s="1">
        <v>7.6</v>
      </c>
      <c r="C2824" s="1">
        <v>319</v>
      </c>
      <c r="D2824" s="1" t="s">
        <v>59</v>
      </c>
      <c r="E2824" s="1" t="s">
        <v>49</v>
      </c>
      <c r="F2824" s="1">
        <f t="shared" si="88"/>
        <v>760</v>
      </c>
      <c r="G2824" s="5">
        <f t="shared" si="89"/>
        <v>0.41973684210526313</v>
      </c>
    </row>
    <row r="2825" spans="1:7" ht="13">
      <c r="A2825" s="4" t="s">
        <v>121</v>
      </c>
      <c r="B2825" s="1">
        <v>7.9</v>
      </c>
      <c r="C2825" s="1">
        <v>283</v>
      </c>
      <c r="D2825" s="1" t="s">
        <v>53</v>
      </c>
      <c r="E2825" s="1" t="s">
        <v>9</v>
      </c>
      <c r="F2825" s="1">
        <f t="shared" si="88"/>
        <v>790</v>
      </c>
      <c r="G2825" s="5">
        <f t="shared" si="89"/>
        <v>0.35822784810126584</v>
      </c>
    </row>
    <row r="2826" spans="1:7" ht="13">
      <c r="A2826" s="4" t="s">
        <v>121</v>
      </c>
      <c r="B2826" s="1">
        <v>5.6</v>
      </c>
      <c r="C2826" s="1">
        <v>200</v>
      </c>
      <c r="D2826" s="1" t="s">
        <v>33</v>
      </c>
      <c r="E2826" s="1" t="s">
        <v>9</v>
      </c>
      <c r="F2826" s="1">
        <f t="shared" si="88"/>
        <v>560</v>
      </c>
      <c r="G2826" s="5">
        <f t="shared" si="89"/>
        <v>0.35714285714285715</v>
      </c>
    </row>
    <row r="2827" spans="1:7" ht="13">
      <c r="A2827" s="4" t="s">
        <v>121</v>
      </c>
      <c r="B2827" s="1">
        <v>5.6</v>
      </c>
      <c r="C2827" s="1">
        <v>210</v>
      </c>
      <c r="D2827" s="1" t="s">
        <v>33</v>
      </c>
      <c r="E2827" s="1" t="s">
        <v>8</v>
      </c>
      <c r="F2827" s="1">
        <f t="shared" si="88"/>
        <v>560</v>
      </c>
      <c r="G2827" s="5">
        <f t="shared" si="89"/>
        <v>0.375</v>
      </c>
    </row>
    <row r="2828" spans="1:7" ht="13">
      <c r="A2828" s="4" t="s">
        <v>121</v>
      </c>
      <c r="B2828" s="1">
        <v>5.6</v>
      </c>
      <c r="C2828" s="1">
        <v>328</v>
      </c>
      <c r="D2828" s="1" t="s">
        <v>33</v>
      </c>
      <c r="E2828" s="1" t="s">
        <v>12</v>
      </c>
      <c r="F2828" s="1">
        <f t="shared" si="88"/>
        <v>560</v>
      </c>
      <c r="G2828" s="5">
        <f t="shared" si="89"/>
        <v>0.58571428571428574</v>
      </c>
    </row>
    <row r="2829" spans="1:7" ht="13">
      <c r="A2829" s="4" t="s">
        <v>121</v>
      </c>
      <c r="B2829" s="1">
        <v>8.5</v>
      </c>
      <c r="C2829" s="1">
        <v>314</v>
      </c>
      <c r="D2829" s="1" t="s">
        <v>88</v>
      </c>
      <c r="E2829" s="1" t="s">
        <v>17</v>
      </c>
      <c r="F2829" s="1">
        <f t="shared" si="88"/>
        <v>850</v>
      </c>
      <c r="G2829" s="5">
        <f t="shared" si="89"/>
        <v>0.36941176470588233</v>
      </c>
    </row>
    <row r="2830" spans="1:7" ht="13">
      <c r="A2830" s="4" t="s">
        <v>121</v>
      </c>
      <c r="B2830" s="1">
        <v>6.96</v>
      </c>
      <c r="C2830" s="1">
        <v>429</v>
      </c>
      <c r="D2830" s="1" t="s">
        <v>11</v>
      </c>
      <c r="E2830" s="1" t="s">
        <v>8</v>
      </c>
      <c r="F2830" s="1">
        <f t="shared" si="88"/>
        <v>696</v>
      </c>
      <c r="G2830" s="5">
        <f t="shared" si="89"/>
        <v>0.61637931034482762</v>
      </c>
    </row>
    <row r="2831" spans="1:7" ht="13">
      <c r="A2831" s="4" t="s">
        <v>121</v>
      </c>
      <c r="B2831" s="1">
        <v>6.45</v>
      </c>
      <c r="C2831" s="1">
        <v>310</v>
      </c>
      <c r="D2831" s="1" t="s">
        <v>42</v>
      </c>
      <c r="E2831" s="1" t="s">
        <v>18</v>
      </c>
      <c r="F2831" s="1">
        <f t="shared" si="88"/>
        <v>645</v>
      </c>
      <c r="G2831" s="5">
        <f t="shared" si="89"/>
        <v>0.48062015503875971</v>
      </c>
    </row>
    <row r="2832" spans="1:7" ht="13">
      <c r="A2832" s="4" t="s">
        <v>121</v>
      </c>
      <c r="B2832" s="1">
        <v>5.2</v>
      </c>
      <c r="C2832" s="1">
        <v>278</v>
      </c>
      <c r="D2832" s="1" t="s">
        <v>39</v>
      </c>
      <c r="E2832" s="1" t="s">
        <v>15</v>
      </c>
      <c r="F2832" s="1">
        <f t="shared" si="88"/>
        <v>520</v>
      </c>
      <c r="G2832" s="5">
        <f t="shared" si="89"/>
        <v>0.5346153846153846</v>
      </c>
    </row>
    <row r="2833" spans="1:7" ht="13">
      <c r="A2833" s="4" t="s">
        <v>121</v>
      </c>
      <c r="B2833" s="1">
        <v>8.33</v>
      </c>
      <c r="C2833" s="1">
        <v>376</v>
      </c>
      <c r="D2833" s="1" t="s">
        <v>47</v>
      </c>
      <c r="E2833" s="1" t="s">
        <v>7</v>
      </c>
      <c r="F2833" s="1">
        <f t="shared" si="88"/>
        <v>833</v>
      </c>
      <c r="G2833" s="5">
        <f t="shared" si="89"/>
        <v>0.45138055222088835</v>
      </c>
    </row>
    <row r="2834" spans="1:7" ht="13">
      <c r="A2834" s="4" t="s">
        <v>121</v>
      </c>
      <c r="B2834" s="1">
        <v>7.7</v>
      </c>
      <c r="C2834" s="1">
        <v>498</v>
      </c>
      <c r="D2834" s="1" t="s">
        <v>11</v>
      </c>
      <c r="E2834" s="1" t="s">
        <v>49</v>
      </c>
      <c r="F2834" s="1">
        <f t="shared" si="88"/>
        <v>770</v>
      </c>
      <c r="G2834" s="5">
        <f t="shared" si="89"/>
        <v>0.64675324675324675</v>
      </c>
    </row>
    <row r="2835" spans="1:7" ht="13">
      <c r="A2835" s="4" t="s">
        <v>121</v>
      </c>
      <c r="B2835" s="1">
        <v>6.96</v>
      </c>
      <c r="C2835" s="1">
        <v>244</v>
      </c>
      <c r="D2835" s="1" t="s">
        <v>33</v>
      </c>
      <c r="E2835" s="1" t="s">
        <v>12</v>
      </c>
      <c r="F2835" s="1">
        <f t="shared" si="88"/>
        <v>696</v>
      </c>
      <c r="G2835" s="5">
        <f t="shared" si="89"/>
        <v>0.35057471264367818</v>
      </c>
    </row>
    <row r="2836" spans="1:7" ht="13">
      <c r="A2836" s="4" t="s">
        <v>121</v>
      </c>
      <c r="B2836" s="1">
        <v>5</v>
      </c>
      <c r="C2836" s="1">
        <v>277</v>
      </c>
      <c r="D2836" s="1" t="s">
        <v>39</v>
      </c>
      <c r="E2836" s="1" t="s">
        <v>8</v>
      </c>
      <c r="F2836" s="1">
        <f t="shared" si="88"/>
        <v>500</v>
      </c>
      <c r="G2836" s="5">
        <f t="shared" si="89"/>
        <v>0.55400000000000005</v>
      </c>
    </row>
    <row r="2837" spans="1:7" ht="13">
      <c r="A2837" s="4" t="s">
        <v>121</v>
      </c>
      <c r="B2837" s="1">
        <v>5.28</v>
      </c>
      <c r="C2837" s="1">
        <v>207</v>
      </c>
      <c r="D2837" s="1" t="s">
        <v>33</v>
      </c>
      <c r="E2837" s="1" t="s">
        <v>21</v>
      </c>
      <c r="F2837" s="1">
        <f t="shared" si="88"/>
        <v>528</v>
      </c>
      <c r="G2837" s="5">
        <f t="shared" si="89"/>
        <v>0.39204545454545453</v>
      </c>
    </row>
    <row r="2838" spans="1:7" ht="13">
      <c r="A2838" s="4" t="s">
        <v>121</v>
      </c>
      <c r="B2838" s="1">
        <v>7.83</v>
      </c>
      <c r="C2838" s="1">
        <v>359</v>
      </c>
      <c r="D2838" s="1" t="s">
        <v>11</v>
      </c>
      <c r="E2838" s="1" t="s">
        <v>32</v>
      </c>
      <c r="F2838" s="1">
        <f t="shared" si="88"/>
        <v>783</v>
      </c>
      <c r="G2838" s="5">
        <f t="shared" si="89"/>
        <v>0.45849297573435505</v>
      </c>
    </row>
    <row r="2839" spans="1:7" ht="13">
      <c r="A2839" s="4" t="s">
        <v>121</v>
      </c>
      <c r="B2839" s="1">
        <v>7.7</v>
      </c>
      <c r="C2839" s="1">
        <v>223</v>
      </c>
      <c r="D2839" s="1" t="s">
        <v>33</v>
      </c>
      <c r="E2839" s="1" t="s">
        <v>16</v>
      </c>
      <c r="F2839" s="1">
        <f t="shared" si="88"/>
        <v>770</v>
      </c>
      <c r="G2839" s="5">
        <f t="shared" si="89"/>
        <v>0.2896103896103896</v>
      </c>
    </row>
    <row r="2840" spans="1:7" ht="13">
      <c r="A2840" s="4" t="s">
        <v>121</v>
      </c>
      <c r="B2840" s="1">
        <v>10</v>
      </c>
      <c r="C2840" s="1">
        <v>492</v>
      </c>
      <c r="D2840" s="1" t="s">
        <v>45</v>
      </c>
      <c r="E2840" s="1" t="s">
        <v>15</v>
      </c>
      <c r="F2840" s="1">
        <f t="shared" si="88"/>
        <v>1000</v>
      </c>
      <c r="G2840" s="5">
        <f t="shared" si="89"/>
        <v>0.49199999999999999</v>
      </c>
    </row>
    <row r="2841" spans="1:7" ht="13">
      <c r="A2841" s="4" t="s">
        <v>121</v>
      </c>
      <c r="B2841" s="1">
        <v>9.57</v>
      </c>
      <c r="C2841" s="1">
        <v>483</v>
      </c>
      <c r="D2841" s="1" t="s">
        <v>11</v>
      </c>
      <c r="E2841" s="1" t="s">
        <v>7</v>
      </c>
      <c r="F2841" s="1">
        <f t="shared" si="88"/>
        <v>957</v>
      </c>
      <c r="G2841" s="5">
        <f t="shared" si="89"/>
        <v>0.50470219435736674</v>
      </c>
    </row>
    <row r="2842" spans="1:7" ht="13">
      <c r="A2842" s="4" t="s">
        <v>121</v>
      </c>
      <c r="B2842" s="1">
        <v>7.4</v>
      </c>
      <c r="C2842" s="1">
        <v>100</v>
      </c>
      <c r="D2842" s="1" t="s">
        <v>33</v>
      </c>
      <c r="E2842" s="1" t="s">
        <v>15</v>
      </c>
      <c r="F2842" s="1">
        <f t="shared" si="88"/>
        <v>740</v>
      </c>
      <c r="G2842" s="5">
        <f t="shared" si="89"/>
        <v>0.13513513513513514</v>
      </c>
    </row>
    <row r="2843" spans="1:7" ht="13">
      <c r="A2843" s="4" t="s">
        <v>121</v>
      </c>
      <c r="B2843" s="1">
        <v>8.1999999999999993</v>
      </c>
      <c r="C2843" s="1">
        <v>374</v>
      </c>
      <c r="D2843" s="1" t="s">
        <v>11</v>
      </c>
      <c r="E2843" s="1" t="s">
        <v>12</v>
      </c>
      <c r="F2843" s="1">
        <f t="shared" si="88"/>
        <v>819.99999999999989</v>
      </c>
      <c r="G2843" s="5">
        <f t="shared" si="89"/>
        <v>0.45609756097560983</v>
      </c>
    </row>
    <row r="2844" spans="1:7" ht="13">
      <c r="A2844" s="4" t="s">
        <v>121</v>
      </c>
      <c r="B2844" s="1">
        <v>8.5</v>
      </c>
      <c r="C2844" s="1">
        <v>462</v>
      </c>
      <c r="D2844" s="1" t="s">
        <v>11</v>
      </c>
      <c r="E2844" s="1" t="s">
        <v>68</v>
      </c>
      <c r="F2844" s="1">
        <f t="shared" si="88"/>
        <v>850</v>
      </c>
      <c r="G2844" s="5">
        <f t="shared" si="89"/>
        <v>0.54352941176470593</v>
      </c>
    </row>
    <row r="2845" spans="1:7" ht="13">
      <c r="A2845" s="4" t="s">
        <v>121</v>
      </c>
      <c r="B2845" s="1">
        <v>7.3</v>
      </c>
      <c r="C2845" s="1">
        <v>334</v>
      </c>
      <c r="D2845" s="1" t="s">
        <v>40</v>
      </c>
      <c r="E2845" s="1" t="s">
        <v>12</v>
      </c>
      <c r="F2845" s="1">
        <f t="shared" si="88"/>
        <v>730</v>
      </c>
      <c r="G2845" s="5">
        <f t="shared" si="89"/>
        <v>0.45753424657534247</v>
      </c>
    </row>
    <row r="2846" spans="1:7" ht="13">
      <c r="A2846" s="4" t="s">
        <v>121</v>
      </c>
      <c r="B2846" s="1">
        <v>9.4600000000000009</v>
      </c>
      <c r="C2846" s="1">
        <v>418</v>
      </c>
      <c r="D2846" s="1" t="s">
        <v>52</v>
      </c>
      <c r="E2846" s="1" t="s">
        <v>18</v>
      </c>
      <c r="F2846" s="1">
        <f t="shared" si="88"/>
        <v>946.00000000000011</v>
      </c>
      <c r="G2846" s="5">
        <f t="shared" si="89"/>
        <v>0.44186046511627902</v>
      </c>
    </row>
    <row r="2847" spans="1:7" ht="13">
      <c r="A2847" s="4" t="s">
        <v>121</v>
      </c>
      <c r="B2847" s="1">
        <v>6.09</v>
      </c>
      <c r="C2847" s="1">
        <v>215.05</v>
      </c>
      <c r="D2847" s="1" t="s">
        <v>42</v>
      </c>
      <c r="E2847" s="1" t="s">
        <v>15</v>
      </c>
      <c r="F2847" s="1">
        <f t="shared" si="88"/>
        <v>609</v>
      </c>
      <c r="G2847" s="5">
        <f t="shared" si="89"/>
        <v>0.35311986863711003</v>
      </c>
    </row>
    <row r="2848" spans="1:7" ht="13">
      <c r="A2848" s="4" t="s">
        <v>121</v>
      </c>
      <c r="B2848" s="1">
        <v>4.9000000000000004</v>
      </c>
      <c r="C2848" s="1">
        <v>308</v>
      </c>
      <c r="D2848" s="1" t="s">
        <v>44</v>
      </c>
      <c r="E2848" s="1" t="s">
        <v>15</v>
      </c>
      <c r="F2848" s="1">
        <f t="shared" ref="F2848:F2911" si="90">B2848*100</f>
        <v>490.00000000000006</v>
      </c>
      <c r="G2848" s="5">
        <f t="shared" si="89"/>
        <v>0.62857142857142845</v>
      </c>
    </row>
    <row r="2849" spans="1:7" ht="13">
      <c r="A2849" s="4" t="s">
        <v>121</v>
      </c>
      <c r="B2849" s="1">
        <v>4.8600000000000003</v>
      </c>
      <c r="C2849" s="1">
        <v>301</v>
      </c>
      <c r="D2849" s="1" t="s">
        <v>38</v>
      </c>
      <c r="E2849" s="1" t="s">
        <v>15</v>
      </c>
      <c r="F2849" s="1">
        <f t="shared" si="90"/>
        <v>486.00000000000006</v>
      </c>
      <c r="G2849" s="5">
        <f t="shared" si="89"/>
        <v>0.61934156378600813</v>
      </c>
    </row>
    <row r="2850" spans="1:7" ht="13">
      <c r="A2850" s="4" t="s">
        <v>121</v>
      </c>
      <c r="B2850" s="1">
        <v>5</v>
      </c>
      <c r="C2850" s="1">
        <v>304</v>
      </c>
      <c r="D2850" s="1" t="s">
        <v>39</v>
      </c>
      <c r="E2850" s="1" t="s">
        <v>22</v>
      </c>
      <c r="F2850" s="1">
        <f t="shared" si="90"/>
        <v>500</v>
      </c>
      <c r="G2850" s="5">
        <f t="shared" si="89"/>
        <v>0.60799999999999998</v>
      </c>
    </row>
    <row r="2851" spans="1:7" ht="13">
      <c r="A2851" s="4" t="s">
        <v>121</v>
      </c>
      <c r="B2851" s="1">
        <v>8.8000000000000007</v>
      </c>
      <c r="C2851" s="1">
        <v>254</v>
      </c>
      <c r="D2851" s="1" t="s">
        <v>53</v>
      </c>
      <c r="E2851" s="1" t="s">
        <v>8</v>
      </c>
      <c r="F2851" s="1">
        <f t="shared" si="90"/>
        <v>880.00000000000011</v>
      </c>
      <c r="G2851" s="5">
        <f t="shared" si="89"/>
        <v>0.28863636363636358</v>
      </c>
    </row>
    <row r="2852" spans="1:7" ht="13">
      <c r="A2852" s="4" t="s">
        <v>121</v>
      </c>
      <c r="B2852" s="1">
        <v>5.0999999999999996</v>
      </c>
      <c r="C2852" s="1">
        <v>285</v>
      </c>
      <c r="D2852" s="1" t="s">
        <v>42</v>
      </c>
      <c r="E2852" s="1" t="s">
        <v>30</v>
      </c>
      <c r="F2852" s="1">
        <f t="shared" si="90"/>
        <v>509.99999999999994</v>
      </c>
      <c r="G2852" s="5">
        <f t="shared" si="89"/>
        <v>0.55882352941176472</v>
      </c>
    </row>
    <row r="2853" spans="1:7" ht="13">
      <c r="A2853" s="4" t="s">
        <v>121</v>
      </c>
      <c r="B2853" s="1">
        <v>6.2</v>
      </c>
      <c r="C2853" s="1">
        <v>286</v>
      </c>
      <c r="D2853" s="1" t="s">
        <v>72</v>
      </c>
      <c r="E2853" s="1" t="s">
        <v>8</v>
      </c>
      <c r="F2853" s="1">
        <f t="shared" si="90"/>
        <v>620</v>
      </c>
      <c r="G2853" s="5">
        <f t="shared" si="89"/>
        <v>0.46129032258064517</v>
      </c>
    </row>
    <row r="2854" spans="1:7" ht="13">
      <c r="A2854" s="4" t="s">
        <v>121</v>
      </c>
      <c r="B2854" s="1">
        <v>6.6</v>
      </c>
      <c r="C2854" s="1">
        <v>280</v>
      </c>
      <c r="D2854" s="1" t="s">
        <v>34</v>
      </c>
      <c r="E2854" s="1" t="s">
        <v>16</v>
      </c>
      <c r="F2854" s="1">
        <f t="shared" si="90"/>
        <v>660</v>
      </c>
      <c r="G2854" s="5">
        <f t="shared" si="89"/>
        <v>0.42424242424242425</v>
      </c>
    </row>
    <row r="2855" spans="1:7" ht="13">
      <c r="A2855" s="4" t="s">
        <v>121</v>
      </c>
      <c r="B2855" s="1">
        <v>8</v>
      </c>
      <c r="C2855" s="1">
        <v>483</v>
      </c>
      <c r="D2855" s="1" t="s">
        <v>11</v>
      </c>
      <c r="E2855" s="1" t="s">
        <v>28</v>
      </c>
      <c r="F2855" s="1">
        <f t="shared" si="90"/>
        <v>800</v>
      </c>
      <c r="G2855" s="5">
        <f t="shared" si="89"/>
        <v>0.60375000000000001</v>
      </c>
    </row>
    <row r="2856" spans="1:7" ht="13">
      <c r="A2856" s="4" t="s">
        <v>121</v>
      </c>
      <c r="B2856" s="1">
        <v>3.4</v>
      </c>
      <c r="C2856" s="1">
        <v>213</v>
      </c>
      <c r="D2856" s="1" t="s">
        <v>11</v>
      </c>
      <c r="E2856" s="1" t="s">
        <v>15</v>
      </c>
      <c r="F2856" s="1">
        <f t="shared" si="90"/>
        <v>340</v>
      </c>
      <c r="G2856" s="5">
        <f t="shared" si="89"/>
        <v>0.62647058823529411</v>
      </c>
    </row>
    <row r="2857" spans="1:7" ht="13">
      <c r="A2857" s="4" t="s">
        <v>121</v>
      </c>
      <c r="B2857" s="1">
        <v>5</v>
      </c>
      <c r="C2857" s="1">
        <v>173</v>
      </c>
      <c r="D2857" s="1" t="s">
        <v>33</v>
      </c>
      <c r="E2857" s="1" t="s">
        <v>15</v>
      </c>
      <c r="F2857" s="1">
        <f t="shared" si="90"/>
        <v>500</v>
      </c>
      <c r="G2857" s="5">
        <f t="shared" si="89"/>
        <v>0.34599999999999997</v>
      </c>
    </row>
    <row r="2858" spans="1:7" ht="13">
      <c r="A2858" s="4" t="s">
        <v>121</v>
      </c>
      <c r="B2858" s="1">
        <v>6</v>
      </c>
      <c r="C2858" s="1">
        <v>233</v>
      </c>
      <c r="D2858" s="1" t="s">
        <v>33</v>
      </c>
      <c r="E2858" s="1" t="s">
        <v>9</v>
      </c>
      <c r="F2858" s="1">
        <f t="shared" si="90"/>
        <v>600</v>
      </c>
      <c r="G2858" s="5">
        <f t="shared" si="89"/>
        <v>0.38833333333333331</v>
      </c>
    </row>
    <row r="2859" spans="1:7" ht="13">
      <c r="A2859" s="4" t="s">
        <v>121</v>
      </c>
      <c r="B2859" s="1">
        <v>4.9800000000000004</v>
      </c>
      <c r="C2859" s="1">
        <v>194</v>
      </c>
      <c r="D2859" s="1" t="s">
        <v>11</v>
      </c>
      <c r="E2859" s="1" t="s">
        <v>25</v>
      </c>
      <c r="F2859" s="1">
        <f t="shared" si="90"/>
        <v>498.00000000000006</v>
      </c>
      <c r="G2859" s="5">
        <f t="shared" si="89"/>
        <v>0.38955823293172687</v>
      </c>
    </row>
    <row r="2860" spans="1:7" ht="13">
      <c r="A2860" s="4" t="s">
        <v>121</v>
      </c>
      <c r="B2860" s="1">
        <v>7.36</v>
      </c>
      <c r="C2860" s="1">
        <v>317</v>
      </c>
      <c r="D2860" s="1" t="s">
        <v>37</v>
      </c>
      <c r="E2860" s="1" t="s">
        <v>15</v>
      </c>
      <c r="F2860" s="1">
        <f t="shared" si="90"/>
        <v>736</v>
      </c>
      <c r="G2860" s="5">
        <f t="shared" si="89"/>
        <v>0.43070652173913043</v>
      </c>
    </row>
    <row r="2861" spans="1:7" ht="13">
      <c r="A2861" s="4" t="s">
        <v>121</v>
      </c>
      <c r="B2861" s="1">
        <v>9</v>
      </c>
      <c r="C2861" s="1">
        <v>432</v>
      </c>
      <c r="D2861" s="1" t="s">
        <v>11</v>
      </c>
      <c r="E2861" s="1" t="s">
        <v>7</v>
      </c>
      <c r="F2861" s="1">
        <f t="shared" si="90"/>
        <v>900</v>
      </c>
      <c r="G2861" s="5">
        <f t="shared" si="89"/>
        <v>0.48</v>
      </c>
    </row>
    <row r="2862" spans="1:7" ht="13">
      <c r="A2862" s="4" t="s">
        <v>121</v>
      </c>
      <c r="B2862" s="1">
        <v>7.2</v>
      </c>
      <c r="C2862" s="1">
        <v>434</v>
      </c>
      <c r="D2862" s="1" t="s">
        <v>39</v>
      </c>
      <c r="E2862" s="1" t="s">
        <v>26</v>
      </c>
      <c r="F2862" s="1">
        <f t="shared" si="90"/>
        <v>720</v>
      </c>
      <c r="G2862" s="5">
        <f t="shared" si="89"/>
        <v>0.60277777777777775</v>
      </c>
    </row>
    <row r="2863" spans="1:7" ht="13">
      <c r="A2863" s="4" t="s">
        <v>121</v>
      </c>
      <c r="B2863" s="1">
        <v>8.5</v>
      </c>
      <c r="C2863" s="1">
        <v>386</v>
      </c>
      <c r="D2863" s="1" t="s">
        <v>39</v>
      </c>
      <c r="E2863" s="1" t="s">
        <v>20</v>
      </c>
      <c r="F2863" s="1">
        <f t="shared" si="90"/>
        <v>850</v>
      </c>
      <c r="G2863" s="5">
        <f t="shared" si="89"/>
        <v>0.45411764705882351</v>
      </c>
    </row>
    <row r="2864" spans="1:7" ht="13">
      <c r="A2864" s="4" t="s">
        <v>121</v>
      </c>
      <c r="B2864" s="1">
        <v>5.2</v>
      </c>
      <c r="C2864" s="1">
        <v>235</v>
      </c>
      <c r="D2864" s="1" t="s">
        <v>67</v>
      </c>
      <c r="E2864" s="1" t="s">
        <v>8</v>
      </c>
      <c r="F2864" s="1">
        <f t="shared" si="90"/>
        <v>520</v>
      </c>
      <c r="G2864" s="5">
        <f t="shared" si="89"/>
        <v>0.45192307692307693</v>
      </c>
    </row>
    <row r="2865" spans="1:7" ht="13">
      <c r="A2865" s="4" t="s">
        <v>121</v>
      </c>
      <c r="B2865" s="1">
        <v>7.74</v>
      </c>
      <c r="C2865" s="1">
        <v>366</v>
      </c>
      <c r="D2865" s="1" t="s">
        <v>39</v>
      </c>
      <c r="E2865" s="1" t="s">
        <v>16</v>
      </c>
      <c r="F2865" s="1">
        <f t="shared" si="90"/>
        <v>774</v>
      </c>
      <c r="G2865" s="5">
        <f t="shared" si="89"/>
        <v>0.47286821705426357</v>
      </c>
    </row>
    <row r="2866" spans="1:7" ht="13">
      <c r="A2866" s="4" t="s">
        <v>121</v>
      </c>
      <c r="B2866" s="1">
        <v>7.5</v>
      </c>
      <c r="C2866" s="1">
        <v>312.7</v>
      </c>
      <c r="D2866" s="1" t="s">
        <v>40</v>
      </c>
      <c r="E2866" s="1" t="s">
        <v>16</v>
      </c>
      <c r="F2866" s="1">
        <f t="shared" si="90"/>
        <v>750</v>
      </c>
      <c r="G2866" s="5">
        <f t="shared" si="89"/>
        <v>0.41693333333333332</v>
      </c>
    </row>
    <row r="2867" spans="1:7" ht="13">
      <c r="A2867" s="4" t="s">
        <v>121</v>
      </c>
      <c r="B2867" s="1">
        <v>7</v>
      </c>
      <c r="C2867" s="1">
        <v>5</v>
      </c>
      <c r="D2867" s="1" t="s">
        <v>109</v>
      </c>
      <c r="E2867" s="1" t="s">
        <v>27</v>
      </c>
      <c r="F2867" s="1">
        <f t="shared" si="90"/>
        <v>700</v>
      </c>
      <c r="G2867" s="5">
        <f t="shared" si="89"/>
        <v>7.1428571428571426E-3</v>
      </c>
    </row>
    <row r="2868" spans="1:7" ht="13">
      <c r="A2868" s="4" t="s">
        <v>121</v>
      </c>
      <c r="B2868" s="1">
        <v>8.43</v>
      </c>
      <c r="C2868" s="1">
        <v>311</v>
      </c>
      <c r="D2868" s="1" t="s">
        <v>33</v>
      </c>
      <c r="E2868" s="1" t="s">
        <v>26</v>
      </c>
      <c r="F2868" s="1">
        <f t="shared" si="90"/>
        <v>843</v>
      </c>
      <c r="G2868" s="5">
        <f t="shared" si="89"/>
        <v>0.36892052194543296</v>
      </c>
    </row>
    <row r="2869" spans="1:7" ht="13">
      <c r="A2869" s="4" t="s">
        <v>121</v>
      </c>
      <c r="B2869" s="1">
        <v>9.1999999999999993</v>
      </c>
      <c r="C2869" s="1">
        <v>272</v>
      </c>
      <c r="D2869" s="1" t="s">
        <v>33</v>
      </c>
      <c r="E2869" s="1" t="s">
        <v>20</v>
      </c>
      <c r="F2869" s="1">
        <f t="shared" si="90"/>
        <v>919.99999999999989</v>
      </c>
      <c r="G2869" s="5">
        <f t="shared" si="89"/>
        <v>0.29565217391304349</v>
      </c>
    </row>
    <row r="2870" spans="1:7" ht="13">
      <c r="A2870" s="4" t="s">
        <v>121</v>
      </c>
      <c r="B2870" s="1">
        <v>5.2</v>
      </c>
      <c r="C2870" s="1">
        <v>291</v>
      </c>
      <c r="D2870" s="1" t="s">
        <v>11</v>
      </c>
      <c r="E2870" s="1" t="s">
        <v>27</v>
      </c>
      <c r="F2870" s="1">
        <f t="shared" si="90"/>
        <v>520</v>
      </c>
      <c r="G2870" s="5">
        <f t="shared" si="89"/>
        <v>0.55961538461538463</v>
      </c>
    </row>
    <row r="2871" spans="1:7" ht="13">
      <c r="A2871" s="4" t="s">
        <v>121</v>
      </c>
      <c r="B2871" s="1">
        <v>7.8</v>
      </c>
      <c r="C2871" s="1">
        <v>422</v>
      </c>
      <c r="D2871" s="1" t="s">
        <v>35</v>
      </c>
      <c r="E2871" s="1" t="s">
        <v>23</v>
      </c>
      <c r="F2871" s="1">
        <f t="shared" si="90"/>
        <v>780</v>
      </c>
      <c r="G2871" s="5">
        <f t="shared" si="89"/>
        <v>0.54102564102564099</v>
      </c>
    </row>
    <row r="2872" spans="1:7" ht="15.75" customHeight="1">
      <c r="A2872" s="4" t="s">
        <v>121</v>
      </c>
      <c r="B2872" s="1">
        <v>6.08</v>
      </c>
      <c r="C2872" s="1">
        <v>339</v>
      </c>
      <c r="D2872" s="1" t="s">
        <v>38</v>
      </c>
      <c r="E2872" s="1" t="s">
        <v>8</v>
      </c>
      <c r="F2872" s="1">
        <f t="shared" si="90"/>
        <v>608</v>
      </c>
      <c r="G2872" s="5">
        <f t="shared" si="89"/>
        <v>0.55756578947368418</v>
      </c>
    </row>
    <row r="2873" spans="1:7" ht="15.75" customHeight="1">
      <c r="A2873" s="4" t="s">
        <v>121</v>
      </c>
      <c r="B2873" s="1">
        <v>7.3</v>
      </c>
      <c r="C2873" s="1">
        <v>391</v>
      </c>
      <c r="D2873" s="1" t="s">
        <v>47</v>
      </c>
      <c r="E2873" s="1" t="s">
        <v>28</v>
      </c>
      <c r="F2873" s="1">
        <f t="shared" si="90"/>
        <v>730</v>
      </c>
      <c r="G2873" s="5">
        <f t="shared" si="89"/>
        <v>0.53561643835616435</v>
      </c>
    </row>
    <row r="2874" spans="1:7" ht="15.75" customHeight="1">
      <c r="A2874" s="4" t="s">
        <v>121</v>
      </c>
      <c r="B2874" s="1">
        <v>6.8849999999999998</v>
      </c>
      <c r="C2874" s="1">
        <v>312</v>
      </c>
      <c r="D2874" s="1" t="s">
        <v>44</v>
      </c>
      <c r="E2874" s="1" t="s">
        <v>22</v>
      </c>
      <c r="F2874" s="1">
        <f t="shared" si="90"/>
        <v>688.5</v>
      </c>
      <c r="G2874" s="5">
        <f t="shared" si="89"/>
        <v>0.45315904139433549</v>
      </c>
    </row>
    <row r="2875" spans="1:7" ht="15.75" customHeight="1">
      <c r="A2875" s="4" t="s">
        <v>121</v>
      </c>
      <c r="B2875" s="1">
        <v>6</v>
      </c>
      <c r="C2875" s="1">
        <v>404</v>
      </c>
      <c r="D2875" s="1" t="s">
        <v>11</v>
      </c>
      <c r="E2875" s="1" t="s">
        <v>16</v>
      </c>
      <c r="F2875" s="1">
        <f t="shared" si="90"/>
        <v>600</v>
      </c>
      <c r="G2875" s="5">
        <f t="shared" si="89"/>
        <v>0.67333333333333334</v>
      </c>
    </row>
    <row r="2876" spans="1:7" ht="15.75" customHeight="1">
      <c r="A2876" s="4" t="s">
        <v>121</v>
      </c>
      <c r="B2876" s="1">
        <v>8.6</v>
      </c>
      <c r="C2876" s="1">
        <v>440</v>
      </c>
      <c r="D2876" s="1" t="s">
        <v>11</v>
      </c>
      <c r="E2876" s="1" t="s">
        <v>10</v>
      </c>
      <c r="F2876" s="1">
        <f t="shared" si="90"/>
        <v>860</v>
      </c>
      <c r="G2876" s="5">
        <f t="shared" si="89"/>
        <v>0.51162790697674421</v>
      </c>
    </row>
    <row r="2877" spans="1:7" ht="15.75" customHeight="1">
      <c r="A2877" s="4" t="s">
        <v>121</v>
      </c>
      <c r="B2877" s="1">
        <v>6</v>
      </c>
      <c r="C2877" s="1">
        <v>297</v>
      </c>
      <c r="D2877" s="1" t="s">
        <v>43</v>
      </c>
      <c r="E2877" s="1" t="s">
        <v>25</v>
      </c>
      <c r="F2877" s="1">
        <f t="shared" si="90"/>
        <v>600</v>
      </c>
      <c r="G2877" s="5">
        <f t="shared" si="89"/>
        <v>0.495</v>
      </c>
    </row>
    <row r="2878" spans="1:7" ht="15.75" customHeight="1">
      <c r="A2878" s="4" t="s">
        <v>121</v>
      </c>
      <c r="B2878" s="1">
        <v>6.1</v>
      </c>
      <c r="C2878" s="1">
        <v>266</v>
      </c>
      <c r="D2878" s="1" t="s">
        <v>11</v>
      </c>
      <c r="E2878" s="1" t="s">
        <v>17</v>
      </c>
      <c r="F2878" s="1">
        <f t="shared" si="90"/>
        <v>610</v>
      </c>
      <c r="G2878" s="5">
        <f t="shared" si="89"/>
        <v>0.43606557377049182</v>
      </c>
    </row>
    <row r="2879" spans="1:7" ht="15.75" customHeight="1">
      <c r="A2879" s="4" t="s">
        <v>121</v>
      </c>
      <c r="B2879" s="1">
        <v>8.6999999999999993</v>
      </c>
      <c r="C2879" s="1">
        <v>558</v>
      </c>
      <c r="D2879" s="1" t="s">
        <v>11</v>
      </c>
      <c r="E2879" s="1" t="s">
        <v>24</v>
      </c>
      <c r="F2879" s="1">
        <f t="shared" si="90"/>
        <v>869.99999999999989</v>
      </c>
      <c r="G2879" s="5">
        <f t="shared" si="89"/>
        <v>0.64137931034482765</v>
      </c>
    </row>
    <row r="2880" spans="1:7" ht="15.75" customHeight="1">
      <c r="A2880" s="4" t="s">
        <v>121</v>
      </c>
      <c r="B2880" s="1">
        <v>6.09</v>
      </c>
      <c r="C2880" s="1">
        <v>283</v>
      </c>
      <c r="D2880" s="1" t="s">
        <v>36</v>
      </c>
      <c r="E2880" s="1" t="s">
        <v>15</v>
      </c>
      <c r="F2880" s="1">
        <f t="shared" si="90"/>
        <v>609</v>
      </c>
      <c r="G2880" s="5">
        <f t="shared" si="89"/>
        <v>0.46469622331691296</v>
      </c>
    </row>
    <row r="2881" spans="1:7" ht="15.75" customHeight="1">
      <c r="A2881" s="4" t="s">
        <v>121</v>
      </c>
      <c r="B2881" s="1">
        <v>8.6999999999999993</v>
      </c>
      <c r="C2881" s="1">
        <v>502</v>
      </c>
      <c r="D2881" s="1" t="s">
        <v>11</v>
      </c>
      <c r="E2881" s="1" t="s">
        <v>27</v>
      </c>
      <c r="F2881" s="1">
        <f t="shared" si="90"/>
        <v>869.99999999999989</v>
      </c>
      <c r="G2881" s="5">
        <f t="shared" si="89"/>
        <v>0.57701149425287368</v>
      </c>
    </row>
    <row r="2882" spans="1:7" ht="15.75" customHeight="1">
      <c r="A2882" s="4" t="s">
        <v>121</v>
      </c>
      <c r="B2882" s="1">
        <v>5.88</v>
      </c>
      <c r="C2882" s="1">
        <v>423.7</v>
      </c>
      <c r="D2882" s="1" t="s">
        <v>39</v>
      </c>
      <c r="E2882" s="1" t="s">
        <v>15</v>
      </c>
      <c r="F2882" s="1">
        <f t="shared" si="90"/>
        <v>588</v>
      </c>
      <c r="G2882" s="5">
        <f t="shared" ref="G2882:G2945" si="91">C2882/F2882</f>
        <v>0.72057823129251697</v>
      </c>
    </row>
    <row r="2883" spans="1:7" ht="15.75" customHeight="1">
      <c r="A2883" s="4" t="s">
        <v>121</v>
      </c>
      <c r="B2883" s="1">
        <v>6</v>
      </c>
      <c r="C2883" s="1">
        <v>285</v>
      </c>
      <c r="D2883" s="1" t="s">
        <v>47</v>
      </c>
      <c r="E2883" s="1" t="s">
        <v>19</v>
      </c>
      <c r="F2883" s="1">
        <f t="shared" si="90"/>
        <v>600</v>
      </c>
      <c r="G2883" s="5">
        <f t="shared" si="91"/>
        <v>0.47499999999999998</v>
      </c>
    </row>
    <row r="2884" spans="1:7" ht="15.75" customHeight="1">
      <c r="A2884" s="4" t="s">
        <v>121</v>
      </c>
      <c r="B2884" s="1">
        <v>8.6999999999999993</v>
      </c>
      <c r="C2884" s="1">
        <v>495</v>
      </c>
      <c r="D2884" s="1" t="s">
        <v>47</v>
      </c>
      <c r="E2884" s="1" t="s">
        <v>12</v>
      </c>
      <c r="F2884" s="1">
        <f t="shared" si="90"/>
        <v>869.99999999999989</v>
      </c>
      <c r="G2884" s="5">
        <f t="shared" si="91"/>
        <v>0.56896551724137934</v>
      </c>
    </row>
    <row r="2885" spans="1:7" ht="15.75" customHeight="1">
      <c r="A2885" s="4" t="s">
        <v>121</v>
      </c>
      <c r="B2885" s="1">
        <v>3.8</v>
      </c>
      <c r="C2885" s="1">
        <v>139</v>
      </c>
      <c r="D2885" s="1" t="s">
        <v>42</v>
      </c>
      <c r="E2885" s="1" t="s">
        <v>10</v>
      </c>
      <c r="F2885" s="1">
        <f t="shared" si="90"/>
        <v>380</v>
      </c>
      <c r="G2885" s="5">
        <f t="shared" si="91"/>
        <v>0.36578947368421055</v>
      </c>
    </row>
    <row r="2886" spans="1:7" ht="15.75" customHeight="1">
      <c r="A2886" s="4" t="s">
        <v>121</v>
      </c>
      <c r="B2886" s="1">
        <v>6.09</v>
      </c>
      <c r="C2886" s="1">
        <v>261</v>
      </c>
      <c r="D2886" s="1" t="s">
        <v>42</v>
      </c>
      <c r="E2886" s="1" t="s">
        <v>8</v>
      </c>
      <c r="F2886" s="1">
        <f t="shared" si="90"/>
        <v>609</v>
      </c>
      <c r="G2886" s="5">
        <f t="shared" si="91"/>
        <v>0.42857142857142855</v>
      </c>
    </row>
    <row r="2887" spans="1:7" ht="15.75" customHeight="1">
      <c r="A2887" s="4" t="s">
        <v>121</v>
      </c>
      <c r="B2887" s="1">
        <v>6.72</v>
      </c>
      <c r="C2887" s="1">
        <v>426</v>
      </c>
      <c r="D2887" s="1" t="s">
        <v>11</v>
      </c>
      <c r="E2887" s="1" t="s">
        <v>24</v>
      </c>
      <c r="F2887" s="1">
        <f t="shared" si="90"/>
        <v>672</v>
      </c>
      <c r="G2887" s="5">
        <f t="shared" si="91"/>
        <v>0.6339285714285714</v>
      </c>
    </row>
    <row r="2888" spans="1:7" ht="15.75" customHeight="1">
      <c r="A2888" s="4" t="s">
        <v>121</v>
      </c>
      <c r="B2888" s="1">
        <v>8.75</v>
      </c>
      <c r="C2888" s="1">
        <v>498</v>
      </c>
      <c r="D2888" s="1" t="s">
        <v>38</v>
      </c>
      <c r="E2888" s="1" t="s">
        <v>31</v>
      </c>
      <c r="F2888" s="1">
        <f t="shared" si="90"/>
        <v>875</v>
      </c>
      <c r="G2888" s="5">
        <f t="shared" si="91"/>
        <v>0.56914285714285717</v>
      </c>
    </row>
    <row r="2889" spans="1:7" ht="15.75" customHeight="1">
      <c r="A2889" s="4" t="s">
        <v>121</v>
      </c>
      <c r="B2889" s="1">
        <v>7.2</v>
      </c>
      <c r="C2889" s="1">
        <v>383</v>
      </c>
      <c r="D2889" s="1" t="s">
        <v>47</v>
      </c>
      <c r="E2889" s="1" t="s">
        <v>17</v>
      </c>
      <c r="F2889" s="1">
        <f t="shared" si="90"/>
        <v>720</v>
      </c>
      <c r="G2889" s="5">
        <f t="shared" si="91"/>
        <v>0.53194444444444444</v>
      </c>
    </row>
    <row r="2890" spans="1:7" ht="15.75" customHeight="1">
      <c r="A2890" s="4" t="s">
        <v>121</v>
      </c>
      <c r="B2890" s="1">
        <v>8.6999999999999993</v>
      </c>
      <c r="C2890" s="1">
        <v>534</v>
      </c>
      <c r="D2890" s="1" t="s">
        <v>11</v>
      </c>
      <c r="E2890" s="1" t="s">
        <v>10</v>
      </c>
      <c r="F2890" s="1">
        <f t="shared" si="90"/>
        <v>869.99999999999989</v>
      </c>
      <c r="G2890" s="5">
        <f t="shared" si="91"/>
        <v>0.61379310344827598</v>
      </c>
    </row>
    <row r="2891" spans="1:7" ht="15.75" customHeight="1">
      <c r="A2891" s="4" t="s">
        <v>121</v>
      </c>
      <c r="B2891" s="1">
        <v>8.6999999999999993</v>
      </c>
      <c r="C2891" s="1">
        <v>534</v>
      </c>
      <c r="D2891" s="1" t="s">
        <v>11</v>
      </c>
      <c r="E2891" s="1" t="s">
        <v>10</v>
      </c>
      <c r="F2891" s="1">
        <f t="shared" si="90"/>
        <v>869.99999999999989</v>
      </c>
      <c r="G2891" s="5">
        <f t="shared" si="91"/>
        <v>0.61379310344827598</v>
      </c>
    </row>
    <row r="2892" spans="1:7" ht="15.75" customHeight="1">
      <c r="A2892" s="4" t="s">
        <v>121</v>
      </c>
      <c r="B2892" s="1">
        <v>5.2</v>
      </c>
      <c r="C2892" s="1">
        <v>256</v>
      </c>
      <c r="D2892" s="1" t="s">
        <v>11</v>
      </c>
      <c r="E2892" s="1" t="s">
        <v>15</v>
      </c>
      <c r="F2892" s="1">
        <f t="shared" si="90"/>
        <v>520</v>
      </c>
      <c r="G2892" s="5">
        <f t="shared" si="91"/>
        <v>0.49230769230769234</v>
      </c>
    </row>
    <row r="2893" spans="1:7" ht="15.75" customHeight="1">
      <c r="A2893" s="4" t="s">
        <v>121</v>
      </c>
      <c r="B2893" s="1">
        <v>6.8</v>
      </c>
      <c r="C2893" s="1">
        <v>403</v>
      </c>
      <c r="D2893" s="1" t="s">
        <v>11</v>
      </c>
      <c r="E2893" s="1" t="s">
        <v>26</v>
      </c>
      <c r="F2893" s="1">
        <f t="shared" si="90"/>
        <v>680</v>
      </c>
      <c r="G2893" s="5">
        <f t="shared" si="91"/>
        <v>0.59264705882352942</v>
      </c>
    </row>
    <row r="2894" spans="1:7" ht="15.75" customHeight="1">
      <c r="A2894" s="4" t="s">
        <v>121</v>
      </c>
      <c r="B2894" s="1">
        <v>4.5</v>
      </c>
      <c r="C2894" s="1">
        <v>157</v>
      </c>
      <c r="D2894" s="1" t="s">
        <v>39</v>
      </c>
      <c r="E2894" s="1" t="s">
        <v>9</v>
      </c>
      <c r="F2894" s="1">
        <f t="shared" si="90"/>
        <v>450</v>
      </c>
      <c r="G2894" s="5">
        <f t="shared" si="91"/>
        <v>0.34888888888888892</v>
      </c>
    </row>
    <row r="2895" spans="1:7" ht="15.75" customHeight="1">
      <c r="A2895" s="4" t="s">
        <v>121</v>
      </c>
      <c r="B2895" s="1">
        <v>6</v>
      </c>
      <c r="C2895" s="1">
        <v>325</v>
      </c>
      <c r="D2895" s="1" t="s">
        <v>11</v>
      </c>
      <c r="E2895" s="1" t="s">
        <v>30</v>
      </c>
      <c r="F2895" s="1">
        <f t="shared" si="90"/>
        <v>600</v>
      </c>
      <c r="G2895" s="5">
        <f t="shared" si="91"/>
        <v>0.54166666666666663</v>
      </c>
    </row>
    <row r="2896" spans="1:7" ht="15.75" customHeight="1">
      <c r="A2896" s="4" t="s">
        <v>121</v>
      </c>
      <c r="B2896" s="1">
        <v>5.4</v>
      </c>
      <c r="C2896" s="1">
        <v>197</v>
      </c>
      <c r="D2896" s="1" t="s">
        <v>33</v>
      </c>
      <c r="E2896" s="1" t="s">
        <v>25</v>
      </c>
      <c r="F2896" s="1">
        <f t="shared" si="90"/>
        <v>540</v>
      </c>
      <c r="G2896" s="5">
        <f t="shared" si="91"/>
        <v>0.36481481481481481</v>
      </c>
    </row>
    <row r="2897" spans="1:7" ht="15.75" customHeight="1">
      <c r="A2897" s="4" t="s">
        <v>121</v>
      </c>
      <c r="B2897" s="1">
        <v>6.72</v>
      </c>
      <c r="C2897" s="1">
        <v>434</v>
      </c>
      <c r="D2897" s="1" t="s">
        <v>11</v>
      </c>
      <c r="E2897" s="1" t="s">
        <v>15</v>
      </c>
      <c r="F2897" s="1">
        <f t="shared" si="90"/>
        <v>672</v>
      </c>
      <c r="G2897" s="5">
        <f t="shared" si="91"/>
        <v>0.64583333333333337</v>
      </c>
    </row>
    <row r="2898" spans="1:7" ht="15.75" customHeight="1">
      <c r="A2898" s="4" t="s">
        <v>121</v>
      </c>
      <c r="B2898" s="1">
        <v>8.1</v>
      </c>
      <c r="C2898" s="1">
        <v>500</v>
      </c>
      <c r="D2898" s="1" t="s">
        <v>42</v>
      </c>
      <c r="E2898" s="1" t="s">
        <v>10</v>
      </c>
      <c r="F2898" s="1">
        <f t="shared" si="90"/>
        <v>810</v>
      </c>
      <c r="G2898" s="5">
        <f t="shared" si="91"/>
        <v>0.61728395061728392</v>
      </c>
    </row>
    <row r="2899" spans="1:7" ht="15.75" customHeight="1">
      <c r="A2899" s="4" t="s">
        <v>121</v>
      </c>
      <c r="B2899" s="1">
        <v>6.4</v>
      </c>
      <c r="C2899" s="1">
        <v>372</v>
      </c>
      <c r="D2899" s="1" t="s">
        <v>42</v>
      </c>
      <c r="E2899" s="1" t="s">
        <v>8</v>
      </c>
      <c r="F2899" s="1">
        <f t="shared" si="90"/>
        <v>640</v>
      </c>
      <c r="G2899" s="5">
        <f t="shared" si="91"/>
        <v>0.58125000000000004</v>
      </c>
    </row>
    <row r="2900" spans="1:7" ht="15.75" customHeight="1">
      <c r="A2900" s="4" t="s">
        <v>121</v>
      </c>
      <c r="B2900" s="1">
        <v>6.88</v>
      </c>
      <c r="C2900" s="1">
        <v>290</v>
      </c>
      <c r="D2900" s="1" t="s">
        <v>53</v>
      </c>
      <c r="E2900" s="1" t="s">
        <v>16</v>
      </c>
      <c r="F2900" s="1">
        <f t="shared" si="90"/>
        <v>688</v>
      </c>
      <c r="G2900" s="5">
        <f t="shared" si="91"/>
        <v>0.42151162790697677</v>
      </c>
    </row>
    <row r="2901" spans="1:7" ht="15.75" customHeight="1">
      <c r="A2901" s="4" t="s">
        <v>121</v>
      </c>
      <c r="B2901" s="1">
        <v>6</v>
      </c>
      <c r="C2901" s="1">
        <v>360</v>
      </c>
      <c r="D2901" s="1" t="s">
        <v>11</v>
      </c>
      <c r="E2901" s="1" t="s">
        <v>10</v>
      </c>
      <c r="F2901" s="1">
        <f t="shared" si="90"/>
        <v>600</v>
      </c>
      <c r="G2901" s="5">
        <f t="shared" si="91"/>
        <v>0.6</v>
      </c>
    </row>
    <row r="2902" spans="1:7" ht="15.75" customHeight="1">
      <c r="A2902" s="4" t="s">
        <v>121</v>
      </c>
      <c r="B2902" s="1">
        <v>6.88</v>
      </c>
      <c r="C2902" s="1">
        <v>325</v>
      </c>
      <c r="D2902" s="1" t="s">
        <v>43</v>
      </c>
      <c r="E2902" s="1" t="s">
        <v>8</v>
      </c>
      <c r="F2902" s="1">
        <f t="shared" si="90"/>
        <v>688</v>
      </c>
      <c r="G2902" s="5">
        <f t="shared" si="91"/>
        <v>0.47238372093023256</v>
      </c>
    </row>
    <row r="2903" spans="1:7" ht="15.75" customHeight="1">
      <c r="A2903" s="4" t="s">
        <v>121</v>
      </c>
      <c r="B2903" s="1">
        <v>7.3949999999999996</v>
      </c>
      <c r="C2903" s="1">
        <v>374</v>
      </c>
      <c r="D2903" s="1" t="s">
        <v>42</v>
      </c>
      <c r="E2903" s="1" t="s">
        <v>25</v>
      </c>
      <c r="F2903" s="1">
        <f t="shared" si="90"/>
        <v>739.5</v>
      </c>
      <c r="G2903" s="5">
        <f t="shared" si="91"/>
        <v>0.50574712643678166</v>
      </c>
    </row>
    <row r="2904" spans="1:7" ht="15.75" customHeight="1">
      <c r="A2904" s="4" t="s">
        <v>121</v>
      </c>
      <c r="B2904" s="1">
        <v>7.76</v>
      </c>
      <c r="C2904" s="1">
        <v>447</v>
      </c>
      <c r="D2904" s="1" t="s">
        <v>11</v>
      </c>
      <c r="E2904" s="1" t="s">
        <v>16</v>
      </c>
      <c r="F2904" s="1">
        <f t="shared" si="90"/>
        <v>776</v>
      </c>
      <c r="G2904" s="5">
        <f t="shared" si="91"/>
        <v>0.5760309278350515</v>
      </c>
    </row>
    <row r="2905" spans="1:7" ht="15.75" customHeight="1">
      <c r="A2905" s="4" t="s">
        <v>121</v>
      </c>
      <c r="B2905" s="1">
        <v>6.4</v>
      </c>
      <c r="C2905" s="1">
        <v>263</v>
      </c>
      <c r="D2905" s="1" t="s">
        <v>33</v>
      </c>
      <c r="E2905" s="1" t="s">
        <v>15</v>
      </c>
      <c r="F2905" s="1">
        <f t="shared" si="90"/>
        <v>640</v>
      </c>
      <c r="G2905" s="5">
        <f t="shared" si="91"/>
        <v>0.41093750000000001</v>
      </c>
    </row>
    <row r="2906" spans="1:7" ht="15.75" customHeight="1">
      <c r="A2906" s="4" t="s">
        <v>121</v>
      </c>
      <c r="B2906" s="1">
        <v>3.44</v>
      </c>
      <c r="C2906" s="1">
        <v>180</v>
      </c>
      <c r="D2906" s="1" t="s">
        <v>11</v>
      </c>
      <c r="E2906" s="1" t="s">
        <v>9</v>
      </c>
      <c r="F2906" s="1">
        <f t="shared" si="90"/>
        <v>344</v>
      </c>
      <c r="G2906" s="5">
        <f t="shared" si="91"/>
        <v>0.52325581395348841</v>
      </c>
    </row>
    <row r="2907" spans="1:7" ht="15.75" customHeight="1">
      <c r="A2907" s="4" t="s">
        <v>121</v>
      </c>
      <c r="B2907" s="1">
        <v>8.6</v>
      </c>
      <c r="C2907" s="1">
        <v>427</v>
      </c>
      <c r="D2907" s="1" t="s">
        <v>11</v>
      </c>
      <c r="E2907" s="1" t="s">
        <v>19</v>
      </c>
      <c r="F2907" s="1">
        <f t="shared" si="90"/>
        <v>860</v>
      </c>
      <c r="G2907" s="5">
        <f t="shared" si="91"/>
        <v>0.49651162790697673</v>
      </c>
    </row>
    <row r="2908" spans="1:7" ht="15.75" customHeight="1">
      <c r="A2908" s="4" t="s">
        <v>121</v>
      </c>
      <c r="B2908" s="1">
        <v>8</v>
      </c>
      <c r="C2908" s="1">
        <v>433</v>
      </c>
      <c r="D2908" s="1" t="s">
        <v>11</v>
      </c>
      <c r="E2908" s="1" t="s">
        <v>22</v>
      </c>
      <c r="F2908" s="1">
        <f t="shared" si="90"/>
        <v>800</v>
      </c>
      <c r="G2908" s="5">
        <f t="shared" si="91"/>
        <v>0.54125000000000001</v>
      </c>
    </row>
    <row r="2909" spans="1:7" ht="15.75" customHeight="1">
      <c r="A2909" s="4" t="s">
        <v>121</v>
      </c>
      <c r="B2909" s="1">
        <v>7.74</v>
      </c>
      <c r="C2909" s="1">
        <v>409.24</v>
      </c>
      <c r="D2909" s="1" t="s">
        <v>11</v>
      </c>
      <c r="E2909" s="1" t="s">
        <v>17</v>
      </c>
      <c r="F2909" s="1">
        <f t="shared" si="90"/>
        <v>774</v>
      </c>
      <c r="G2909" s="5">
        <f t="shared" si="91"/>
        <v>0.52873385012919893</v>
      </c>
    </row>
    <row r="2910" spans="1:7" ht="15.75" customHeight="1">
      <c r="A2910" s="4" t="s">
        <v>121</v>
      </c>
      <c r="B2910" s="1">
        <v>5.85</v>
      </c>
      <c r="C2910" s="1">
        <v>340</v>
      </c>
      <c r="D2910" s="1" t="s">
        <v>45</v>
      </c>
      <c r="E2910" s="1" t="s">
        <v>15</v>
      </c>
      <c r="F2910" s="1">
        <f t="shared" si="90"/>
        <v>585</v>
      </c>
      <c r="G2910" s="5">
        <f t="shared" si="91"/>
        <v>0.58119658119658124</v>
      </c>
    </row>
    <row r="2911" spans="1:7" ht="15.75" customHeight="1">
      <c r="A2911" s="4" t="s">
        <v>121</v>
      </c>
      <c r="B2911" s="1">
        <v>5.6</v>
      </c>
      <c r="C2911" s="1">
        <v>193</v>
      </c>
      <c r="D2911" s="1" t="s">
        <v>33</v>
      </c>
      <c r="E2911" s="1" t="s">
        <v>15</v>
      </c>
      <c r="F2911" s="1">
        <f t="shared" si="90"/>
        <v>560</v>
      </c>
      <c r="G2911" s="5">
        <f t="shared" si="91"/>
        <v>0.34464285714285714</v>
      </c>
    </row>
    <row r="2912" spans="1:7" ht="15.75" customHeight="1">
      <c r="A2912" s="4" t="s">
        <v>121</v>
      </c>
      <c r="B2912" s="1">
        <v>6.1</v>
      </c>
      <c r="C2912" s="1">
        <v>248</v>
      </c>
      <c r="D2912" s="1" t="s">
        <v>33</v>
      </c>
      <c r="E2912" s="1" t="s">
        <v>26</v>
      </c>
      <c r="F2912" s="1">
        <f t="shared" ref="F2912:F2975" si="92">B2912*100</f>
        <v>610</v>
      </c>
      <c r="G2912" s="5">
        <f t="shared" si="91"/>
        <v>0.40655737704918032</v>
      </c>
    </row>
    <row r="2913" spans="1:7" ht="15.75" customHeight="1">
      <c r="A2913" s="4" t="s">
        <v>121</v>
      </c>
      <c r="B2913" s="1">
        <v>5.22</v>
      </c>
      <c r="C2913" s="1">
        <v>245</v>
      </c>
      <c r="D2913" s="1" t="s">
        <v>43</v>
      </c>
      <c r="E2913" s="1" t="s">
        <v>25</v>
      </c>
      <c r="F2913" s="1">
        <f t="shared" si="92"/>
        <v>522</v>
      </c>
      <c r="G2913" s="5">
        <f t="shared" si="91"/>
        <v>0.46934865900383144</v>
      </c>
    </row>
    <row r="2914" spans="1:7" ht="15.75" customHeight="1">
      <c r="A2914" s="4" t="s">
        <v>121</v>
      </c>
      <c r="B2914" s="1">
        <v>8</v>
      </c>
      <c r="C2914" s="1">
        <v>359.74</v>
      </c>
      <c r="D2914" s="1" t="s">
        <v>33</v>
      </c>
      <c r="E2914" s="1" t="s">
        <v>22</v>
      </c>
      <c r="F2914" s="1">
        <f t="shared" si="92"/>
        <v>800</v>
      </c>
      <c r="G2914" s="5">
        <f t="shared" si="91"/>
        <v>0.44967499999999999</v>
      </c>
    </row>
    <row r="2915" spans="1:7" ht="15.75" customHeight="1">
      <c r="A2915" s="4" t="s">
        <v>121</v>
      </c>
      <c r="B2915" s="1">
        <v>5.0999999999999996</v>
      </c>
      <c r="C2915" s="1">
        <v>186</v>
      </c>
      <c r="D2915" s="1" t="s">
        <v>33</v>
      </c>
      <c r="E2915" s="1" t="s">
        <v>15</v>
      </c>
      <c r="F2915" s="1">
        <f t="shared" si="92"/>
        <v>509.99999999999994</v>
      </c>
      <c r="G2915" s="5">
        <f t="shared" si="91"/>
        <v>0.36470588235294121</v>
      </c>
    </row>
    <row r="2916" spans="1:7" ht="15.75" customHeight="1">
      <c r="A2916" s="4" t="s">
        <v>121</v>
      </c>
      <c r="B2916" s="1">
        <v>7.6</v>
      </c>
      <c r="C2916" s="1">
        <v>378</v>
      </c>
      <c r="D2916" s="1" t="s">
        <v>35</v>
      </c>
      <c r="E2916" s="1" t="s">
        <v>28</v>
      </c>
      <c r="F2916" s="1">
        <f t="shared" si="92"/>
        <v>760</v>
      </c>
      <c r="G2916" s="5">
        <f t="shared" si="91"/>
        <v>0.49736842105263157</v>
      </c>
    </row>
    <row r="2917" spans="1:7" ht="15.75" customHeight="1">
      <c r="A2917" s="4" t="s">
        <v>121</v>
      </c>
      <c r="B2917" s="1">
        <v>6.1</v>
      </c>
      <c r="C2917" s="1">
        <v>306</v>
      </c>
      <c r="D2917" s="1" t="s">
        <v>63</v>
      </c>
      <c r="E2917" s="1" t="s">
        <v>23</v>
      </c>
      <c r="F2917" s="1">
        <f t="shared" si="92"/>
        <v>610</v>
      </c>
      <c r="G2917" s="5">
        <f t="shared" si="91"/>
        <v>0.50163934426229506</v>
      </c>
    </row>
    <row r="2918" spans="1:7" ht="15.75" customHeight="1">
      <c r="A2918" s="4" t="s">
        <v>121</v>
      </c>
      <c r="B2918" s="1">
        <v>5.0999999999999996</v>
      </c>
      <c r="C2918" s="1">
        <v>212</v>
      </c>
      <c r="D2918" s="1" t="s">
        <v>40</v>
      </c>
      <c r="E2918" s="1" t="s">
        <v>15</v>
      </c>
      <c r="F2918" s="1">
        <f t="shared" si="92"/>
        <v>509.99999999999994</v>
      </c>
      <c r="G2918" s="5">
        <f t="shared" si="91"/>
        <v>0.41568627450980394</v>
      </c>
    </row>
    <row r="2919" spans="1:7" ht="15.75" customHeight="1">
      <c r="A2919" s="4" t="s">
        <v>121</v>
      </c>
      <c r="B2919" s="1">
        <v>6.72</v>
      </c>
      <c r="C2919" s="1">
        <v>257</v>
      </c>
      <c r="D2919" s="1" t="s">
        <v>55</v>
      </c>
      <c r="E2919" s="1" t="s">
        <v>27</v>
      </c>
      <c r="F2919" s="1">
        <f t="shared" si="92"/>
        <v>672</v>
      </c>
      <c r="G2919" s="5">
        <f t="shared" si="91"/>
        <v>0.38244047619047616</v>
      </c>
    </row>
    <row r="2920" spans="1:7" ht="15.75" customHeight="1">
      <c r="A2920" s="4" t="s">
        <v>121</v>
      </c>
      <c r="B2920" s="1">
        <v>5.92</v>
      </c>
      <c r="C2920" s="1">
        <v>364</v>
      </c>
      <c r="D2920" s="1" t="s">
        <v>11</v>
      </c>
      <c r="E2920" s="1" t="s">
        <v>17</v>
      </c>
      <c r="F2920" s="1">
        <f t="shared" si="92"/>
        <v>592</v>
      </c>
      <c r="G2920" s="5">
        <f t="shared" si="91"/>
        <v>0.61486486486486491</v>
      </c>
    </row>
    <row r="2921" spans="1:7" ht="15.75" customHeight="1">
      <c r="A2921" s="4" t="s">
        <v>121</v>
      </c>
      <c r="B2921" s="1">
        <v>7.38</v>
      </c>
      <c r="C2921" s="1">
        <v>291</v>
      </c>
      <c r="D2921" s="1" t="s">
        <v>33</v>
      </c>
      <c r="E2921" s="1" t="s">
        <v>22</v>
      </c>
      <c r="F2921" s="1">
        <f t="shared" si="92"/>
        <v>738</v>
      </c>
      <c r="G2921" s="5">
        <f t="shared" si="91"/>
        <v>0.39430894308943087</v>
      </c>
    </row>
    <row r="2922" spans="1:7" ht="15.75" customHeight="1">
      <c r="A2922" s="4" t="s">
        <v>121</v>
      </c>
      <c r="B2922" s="1">
        <v>9.1999999999999993</v>
      </c>
      <c r="C2922" s="1">
        <v>458</v>
      </c>
      <c r="D2922" s="1" t="s">
        <v>43</v>
      </c>
      <c r="E2922" s="1" t="s">
        <v>14</v>
      </c>
      <c r="F2922" s="1">
        <f t="shared" si="92"/>
        <v>919.99999999999989</v>
      </c>
      <c r="G2922" s="5">
        <f t="shared" si="91"/>
        <v>0.49782608695652181</v>
      </c>
    </row>
    <row r="2923" spans="1:7" ht="15.75" customHeight="1">
      <c r="A2923" s="4" t="s">
        <v>121</v>
      </c>
      <c r="B2923" s="1">
        <v>6.25</v>
      </c>
      <c r="C2923" s="1">
        <v>406</v>
      </c>
      <c r="D2923" s="1" t="s">
        <v>11</v>
      </c>
      <c r="E2923" s="1" t="s">
        <v>32</v>
      </c>
      <c r="F2923" s="1">
        <f t="shared" si="92"/>
        <v>625</v>
      </c>
      <c r="G2923" s="5">
        <f t="shared" si="91"/>
        <v>0.64959999999999996</v>
      </c>
    </row>
    <row r="2924" spans="1:7" ht="15.75" customHeight="1">
      <c r="A2924" s="4" t="s">
        <v>121</v>
      </c>
      <c r="B2924" s="1">
        <v>9.1</v>
      </c>
      <c r="C2924" s="1">
        <v>506</v>
      </c>
      <c r="D2924" s="1" t="s">
        <v>44</v>
      </c>
      <c r="E2924" s="1" t="s">
        <v>10</v>
      </c>
      <c r="F2924" s="1">
        <f t="shared" si="92"/>
        <v>910</v>
      </c>
      <c r="G2924" s="5">
        <f t="shared" si="91"/>
        <v>0.55604395604395607</v>
      </c>
    </row>
    <row r="2925" spans="1:7" ht="15.75" customHeight="1">
      <c r="A2925" s="4" t="s">
        <v>121</v>
      </c>
      <c r="B2925" s="1">
        <v>6.8</v>
      </c>
      <c r="C2925" s="1">
        <v>252</v>
      </c>
      <c r="D2925" s="1" t="s">
        <v>33</v>
      </c>
      <c r="E2925" s="1" t="s">
        <v>19</v>
      </c>
      <c r="F2925" s="1">
        <f t="shared" si="92"/>
        <v>680</v>
      </c>
      <c r="G2925" s="5">
        <f t="shared" si="91"/>
        <v>0.37058823529411766</v>
      </c>
    </row>
    <row r="2926" spans="1:7" ht="15.75" customHeight="1">
      <c r="A2926" s="4" t="s">
        <v>121</v>
      </c>
      <c r="B2926" s="1">
        <v>9</v>
      </c>
      <c r="C2926" s="1">
        <v>508</v>
      </c>
      <c r="D2926" s="1" t="s">
        <v>11</v>
      </c>
      <c r="E2926" s="1" t="s">
        <v>12</v>
      </c>
      <c r="F2926" s="1">
        <f t="shared" si="92"/>
        <v>900</v>
      </c>
      <c r="G2926" s="5">
        <f t="shared" si="91"/>
        <v>0.56444444444444442</v>
      </c>
    </row>
    <row r="2927" spans="1:7" ht="15.75" customHeight="1">
      <c r="A2927" s="4" t="s">
        <v>121</v>
      </c>
      <c r="B2927" s="1">
        <v>5.0999999999999996</v>
      </c>
      <c r="C2927" s="1">
        <v>225</v>
      </c>
      <c r="D2927" s="1" t="s">
        <v>59</v>
      </c>
      <c r="E2927" s="1" t="s">
        <v>18</v>
      </c>
      <c r="F2927" s="1">
        <f t="shared" si="92"/>
        <v>509.99999999999994</v>
      </c>
      <c r="G2927" s="5">
        <f t="shared" si="91"/>
        <v>0.44117647058823534</v>
      </c>
    </row>
    <row r="2928" spans="1:7" ht="15.75" customHeight="1">
      <c r="A2928" s="4" t="s">
        <v>121</v>
      </c>
      <c r="B2928" s="1">
        <v>4.5</v>
      </c>
      <c r="C2928" s="1">
        <v>1</v>
      </c>
      <c r="D2928" s="1" t="s">
        <v>11</v>
      </c>
      <c r="E2928" s="1" t="s">
        <v>15</v>
      </c>
      <c r="F2928" s="1">
        <f t="shared" si="92"/>
        <v>450</v>
      </c>
      <c r="G2928" s="5">
        <f t="shared" si="91"/>
        <v>2.2222222222222222E-3</v>
      </c>
    </row>
    <row r="2929" spans="1:7" ht="15.75" customHeight="1">
      <c r="A2929" s="4" t="s">
        <v>121</v>
      </c>
      <c r="B2929" s="1">
        <v>7.74</v>
      </c>
      <c r="C2929" s="1">
        <v>325</v>
      </c>
      <c r="D2929" s="1" t="s">
        <v>110</v>
      </c>
      <c r="E2929" s="1" t="s">
        <v>9</v>
      </c>
      <c r="F2929" s="1">
        <f t="shared" si="92"/>
        <v>774</v>
      </c>
      <c r="G2929" s="5">
        <f t="shared" si="91"/>
        <v>0.41989664082687339</v>
      </c>
    </row>
    <row r="2930" spans="1:7" ht="15.75" customHeight="1">
      <c r="A2930" s="4" t="s">
        <v>121</v>
      </c>
      <c r="B2930" s="1">
        <v>6</v>
      </c>
      <c r="C2930" s="1">
        <v>295</v>
      </c>
      <c r="D2930" s="1" t="s">
        <v>11</v>
      </c>
      <c r="E2930" s="1" t="s">
        <v>69</v>
      </c>
      <c r="F2930" s="1">
        <f t="shared" si="92"/>
        <v>600</v>
      </c>
      <c r="G2930" s="5">
        <f t="shared" si="91"/>
        <v>0.49166666666666664</v>
      </c>
    </row>
    <row r="2931" spans="1:7" ht="15.75" customHeight="1">
      <c r="A2931" s="4" t="s">
        <v>121</v>
      </c>
      <c r="B2931" s="1">
        <v>7.74</v>
      </c>
      <c r="C2931" s="1">
        <v>329</v>
      </c>
      <c r="D2931" s="1" t="s">
        <v>35</v>
      </c>
      <c r="E2931" s="1" t="s">
        <v>8</v>
      </c>
      <c r="F2931" s="1">
        <f t="shared" si="92"/>
        <v>774</v>
      </c>
      <c r="G2931" s="5">
        <f t="shared" si="91"/>
        <v>0.42506459948320413</v>
      </c>
    </row>
    <row r="2932" spans="1:7" ht="15.75" customHeight="1">
      <c r="A2932" s="4" t="s">
        <v>121</v>
      </c>
      <c r="B2932" s="1">
        <v>9.3000000000000007</v>
      </c>
      <c r="C2932" s="1">
        <v>309</v>
      </c>
      <c r="D2932" s="1" t="s">
        <v>33</v>
      </c>
      <c r="E2932" s="1" t="s">
        <v>18</v>
      </c>
      <c r="F2932" s="1">
        <f t="shared" si="92"/>
        <v>930.00000000000011</v>
      </c>
      <c r="G2932" s="5">
        <f t="shared" si="91"/>
        <v>0.33225806451612899</v>
      </c>
    </row>
    <row r="2933" spans="1:7" ht="15.75" customHeight="1">
      <c r="A2933" s="4" t="s">
        <v>121</v>
      </c>
      <c r="B2933" s="1">
        <v>8.6999999999999993</v>
      </c>
      <c r="C2933" s="1">
        <v>379</v>
      </c>
      <c r="D2933" s="1" t="s">
        <v>43</v>
      </c>
      <c r="E2933" s="1" t="s">
        <v>20</v>
      </c>
      <c r="F2933" s="1">
        <f t="shared" si="92"/>
        <v>869.99999999999989</v>
      </c>
      <c r="G2933" s="5">
        <f t="shared" si="91"/>
        <v>0.43563218390804603</v>
      </c>
    </row>
    <row r="2934" spans="1:7" ht="15.75" customHeight="1">
      <c r="A2934" s="4" t="s">
        <v>121</v>
      </c>
      <c r="B2934" s="1">
        <v>6.96</v>
      </c>
      <c r="C2934" s="1">
        <v>311</v>
      </c>
      <c r="D2934" s="1" t="s">
        <v>33</v>
      </c>
      <c r="E2934" s="1" t="s">
        <v>22</v>
      </c>
      <c r="F2934" s="1">
        <f t="shared" si="92"/>
        <v>696</v>
      </c>
      <c r="G2934" s="5">
        <f t="shared" si="91"/>
        <v>0.44683908045977011</v>
      </c>
    </row>
    <row r="2935" spans="1:7" ht="15.75" customHeight="1">
      <c r="A2935" s="4" t="s">
        <v>121</v>
      </c>
      <c r="B2935" s="1">
        <v>6.7</v>
      </c>
      <c r="C2935" s="1">
        <v>386</v>
      </c>
      <c r="D2935" s="1" t="s">
        <v>11</v>
      </c>
      <c r="E2935" s="1" t="s">
        <v>16</v>
      </c>
      <c r="F2935" s="1">
        <f t="shared" si="92"/>
        <v>670</v>
      </c>
      <c r="G2935" s="5">
        <f t="shared" si="91"/>
        <v>0.57611940298507458</v>
      </c>
    </row>
    <row r="2936" spans="1:7" ht="15.75" customHeight="1">
      <c r="A2936" s="4" t="s">
        <v>121</v>
      </c>
      <c r="B2936" s="1">
        <v>7.8</v>
      </c>
      <c r="C2936" s="1">
        <v>346</v>
      </c>
      <c r="D2936" s="1" t="s">
        <v>11</v>
      </c>
      <c r="E2936" s="1" t="s">
        <v>8</v>
      </c>
      <c r="F2936" s="1">
        <f t="shared" si="92"/>
        <v>780</v>
      </c>
      <c r="G2936" s="5">
        <f t="shared" si="91"/>
        <v>0.44358974358974357</v>
      </c>
    </row>
    <row r="2937" spans="1:7" ht="15.75" customHeight="1">
      <c r="A2937" s="4" t="s">
        <v>121</v>
      </c>
      <c r="B2937" s="1">
        <v>6</v>
      </c>
      <c r="C2937" s="1">
        <v>268</v>
      </c>
      <c r="D2937" s="1" t="s">
        <v>11</v>
      </c>
      <c r="E2937" s="1" t="s">
        <v>12</v>
      </c>
      <c r="F2937" s="1">
        <f t="shared" si="92"/>
        <v>600</v>
      </c>
      <c r="G2937" s="5">
        <f t="shared" si="91"/>
        <v>0.44666666666666666</v>
      </c>
    </row>
    <row r="2938" spans="1:7" ht="15.75" customHeight="1">
      <c r="A2938" s="4" t="s">
        <v>121</v>
      </c>
      <c r="B2938" s="1">
        <v>5.6</v>
      </c>
      <c r="C2938" s="1">
        <v>398</v>
      </c>
      <c r="D2938" s="1" t="s">
        <v>11</v>
      </c>
      <c r="E2938" s="1" t="s">
        <v>8</v>
      </c>
      <c r="F2938" s="1">
        <f t="shared" si="92"/>
        <v>560</v>
      </c>
      <c r="G2938" s="5">
        <f t="shared" si="91"/>
        <v>0.71071428571428574</v>
      </c>
    </row>
    <row r="2939" spans="1:7" ht="15.75" customHeight="1">
      <c r="A2939" s="4" t="s">
        <v>121</v>
      </c>
      <c r="B2939" s="1">
        <v>7.88</v>
      </c>
      <c r="C2939" s="1">
        <v>421</v>
      </c>
      <c r="D2939" s="1" t="s">
        <v>39</v>
      </c>
      <c r="E2939" s="1" t="s">
        <v>12</v>
      </c>
      <c r="F2939" s="1">
        <f t="shared" si="92"/>
        <v>788</v>
      </c>
      <c r="G2939" s="5">
        <f t="shared" si="91"/>
        <v>0.53426395939086291</v>
      </c>
    </row>
    <row r="2940" spans="1:7" ht="15.75" customHeight="1">
      <c r="A2940" s="4" t="s">
        <v>121</v>
      </c>
      <c r="B2940" s="1">
        <v>6.96</v>
      </c>
      <c r="C2940" s="1">
        <v>271</v>
      </c>
      <c r="D2940" s="1" t="s">
        <v>33</v>
      </c>
      <c r="E2940" s="1" t="s">
        <v>8</v>
      </c>
      <c r="F2940" s="1">
        <f t="shared" si="92"/>
        <v>696</v>
      </c>
      <c r="G2940" s="5">
        <f t="shared" si="91"/>
        <v>0.38936781609195403</v>
      </c>
    </row>
    <row r="2941" spans="1:7" ht="15.75" customHeight="1">
      <c r="A2941" s="4" t="s">
        <v>121</v>
      </c>
      <c r="B2941" s="1">
        <v>6.5</v>
      </c>
      <c r="C2941" s="1">
        <v>310</v>
      </c>
      <c r="D2941" s="1" t="s">
        <v>11</v>
      </c>
      <c r="E2941" s="1" t="s">
        <v>8</v>
      </c>
      <c r="F2941" s="1">
        <f t="shared" si="92"/>
        <v>650</v>
      </c>
      <c r="G2941" s="5">
        <f t="shared" si="91"/>
        <v>0.47692307692307695</v>
      </c>
    </row>
    <row r="2942" spans="1:7" ht="15.75" customHeight="1">
      <c r="A2942" s="4" t="s">
        <v>121</v>
      </c>
      <c r="B2942" s="1">
        <v>5.6</v>
      </c>
      <c r="C2942" s="1">
        <v>296</v>
      </c>
      <c r="D2942" s="1" t="s">
        <v>11</v>
      </c>
      <c r="E2942" s="1" t="s">
        <v>8</v>
      </c>
      <c r="F2942" s="1">
        <f t="shared" si="92"/>
        <v>560</v>
      </c>
      <c r="G2942" s="5">
        <f t="shared" si="91"/>
        <v>0.52857142857142858</v>
      </c>
    </row>
    <row r="2943" spans="1:7" ht="15.75" customHeight="1">
      <c r="A2943" s="4" t="s">
        <v>121</v>
      </c>
      <c r="B2943" s="1">
        <v>7.6</v>
      </c>
      <c r="C2943" s="1">
        <v>5</v>
      </c>
      <c r="D2943" s="1" t="s">
        <v>11</v>
      </c>
      <c r="E2943" s="1" t="s">
        <v>19</v>
      </c>
      <c r="F2943" s="1">
        <f t="shared" si="92"/>
        <v>760</v>
      </c>
      <c r="G2943" s="5">
        <f t="shared" si="91"/>
        <v>6.5789473684210523E-3</v>
      </c>
    </row>
    <row r="2944" spans="1:7" ht="15.75" customHeight="1">
      <c r="A2944" s="4" t="s">
        <v>121</v>
      </c>
      <c r="B2944" s="1">
        <v>6.88</v>
      </c>
      <c r="C2944" s="1">
        <v>276</v>
      </c>
      <c r="D2944" s="1" t="s">
        <v>47</v>
      </c>
      <c r="E2944" s="1" t="s">
        <v>7</v>
      </c>
      <c r="F2944" s="1">
        <f t="shared" si="92"/>
        <v>688</v>
      </c>
      <c r="G2944" s="5">
        <f t="shared" si="91"/>
        <v>0.40116279069767441</v>
      </c>
    </row>
    <row r="2945" spans="1:7" ht="15.75" customHeight="1">
      <c r="A2945" s="4" t="s">
        <v>121</v>
      </c>
      <c r="B2945" s="1">
        <v>6.8</v>
      </c>
      <c r="C2945" s="1">
        <v>389</v>
      </c>
      <c r="D2945" s="1" t="s">
        <v>11</v>
      </c>
      <c r="E2945" s="1" t="s">
        <v>26</v>
      </c>
      <c r="F2945" s="1">
        <f t="shared" si="92"/>
        <v>680</v>
      </c>
      <c r="G2945" s="5">
        <f t="shared" si="91"/>
        <v>0.57205882352941173</v>
      </c>
    </row>
    <row r="2946" spans="1:7" ht="15.75" customHeight="1">
      <c r="A2946" s="4" t="s">
        <v>121</v>
      </c>
      <c r="B2946" s="1">
        <v>8.2650000000000006</v>
      </c>
      <c r="C2946" s="1">
        <v>418</v>
      </c>
      <c r="D2946" s="1" t="s">
        <v>43</v>
      </c>
      <c r="E2946" s="1" t="s">
        <v>18</v>
      </c>
      <c r="F2946" s="1">
        <f t="shared" si="92"/>
        <v>826.5</v>
      </c>
      <c r="G2946" s="5">
        <f t="shared" ref="G2946:G3009" si="93">C2946/F2946</f>
        <v>0.50574712643678166</v>
      </c>
    </row>
    <row r="2947" spans="1:7" ht="15.75" customHeight="1">
      <c r="A2947" s="4" t="s">
        <v>121</v>
      </c>
      <c r="B2947" s="1">
        <v>7.1</v>
      </c>
      <c r="C2947" s="1">
        <v>304</v>
      </c>
      <c r="D2947" s="1" t="s">
        <v>92</v>
      </c>
      <c r="E2947" s="1" t="s">
        <v>26</v>
      </c>
      <c r="F2947" s="1">
        <f t="shared" si="92"/>
        <v>710</v>
      </c>
      <c r="G2947" s="5">
        <f t="shared" si="93"/>
        <v>0.42816901408450703</v>
      </c>
    </row>
    <row r="2948" spans="1:7" ht="15.75" customHeight="1">
      <c r="A2948" s="4" t="s">
        <v>121</v>
      </c>
      <c r="B2948" s="1">
        <v>5.5</v>
      </c>
      <c r="C2948" s="1">
        <v>266</v>
      </c>
      <c r="D2948" s="1" t="s">
        <v>35</v>
      </c>
      <c r="E2948" s="1" t="s">
        <v>8</v>
      </c>
      <c r="F2948" s="1">
        <f t="shared" si="92"/>
        <v>550</v>
      </c>
      <c r="G2948" s="5">
        <f t="shared" si="93"/>
        <v>0.48363636363636364</v>
      </c>
    </row>
    <row r="2949" spans="1:7" ht="15.75" customHeight="1">
      <c r="A2949" s="4" t="s">
        <v>121</v>
      </c>
      <c r="B2949" s="1">
        <v>7.4</v>
      </c>
      <c r="C2949" s="1">
        <v>253</v>
      </c>
      <c r="D2949" s="1" t="s">
        <v>55</v>
      </c>
      <c r="E2949" s="1" t="s">
        <v>17</v>
      </c>
      <c r="F2949" s="1">
        <f t="shared" si="92"/>
        <v>740</v>
      </c>
      <c r="G2949" s="5">
        <f t="shared" si="93"/>
        <v>0.3418918918918919</v>
      </c>
    </row>
    <row r="2950" spans="1:7" ht="15.75" customHeight="1">
      <c r="A2950" s="4" t="s">
        <v>121</v>
      </c>
      <c r="B2950" s="1">
        <v>9.36</v>
      </c>
      <c r="C2950" s="1">
        <v>319</v>
      </c>
      <c r="D2950" s="1" t="s">
        <v>11</v>
      </c>
      <c r="E2950" s="1" t="s">
        <v>18</v>
      </c>
      <c r="F2950" s="1">
        <f t="shared" si="92"/>
        <v>936</v>
      </c>
      <c r="G2950" s="5">
        <f t="shared" si="93"/>
        <v>0.34081196581196582</v>
      </c>
    </row>
    <row r="2951" spans="1:7" ht="15.75" customHeight="1">
      <c r="A2951" s="4" t="s">
        <v>121</v>
      </c>
      <c r="B2951" s="1">
        <v>6.1</v>
      </c>
      <c r="C2951" s="1">
        <v>338</v>
      </c>
      <c r="D2951" s="1" t="s">
        <v>11</v>
      </c>
      <c r="E2951" s="1" t="s">
        <v>17</v>
      </c>
      <c r="F2951" s="1">
        <f t="shared" si="92"/>
        <v>610</v>
      </c>
      <c r="G2951" s="5">
        <f t="shared" si="93"/>
        <v>0.5540983606557377</v>
      </c>
    </row>
    <row r="2952" spans="1:7" ht="15.75" customHeight="1">
      <c r="A2952" s="4" t="s">
        <v>121</v>
      </c>
      <c r="B2952" s="1">
        <v>6.7</v>
      </c>
      <c r="C2952" s="1">
        <v>269</v>
      </c>
      <c r="D2952" s="1" t="s">
        <v>33</v>
      </c>
      <c r="E2952" s="1" t="s">
        <v>21</v>
      </c>
      <c r="F2952" s="1">
        <f t="shared" si="92"/>
        <v>670</v>
      </c>
      <c r="G2952" s="5">
        <f t="shared" si="93"/>
        <v>0.40149253731343282</v>
      </c>
    </row>
    <row r="2953" spans="1:7" ht="15.75" customHeight="1">
      <c r="A2953" s="4" t="s">
        <v>121</v>
      </c>
      <c r="B2953" s="1">
        <v>3.48</v>
      </c>
      <c r="C2953" s="1">
        <v>193</v>
      </c>
      <c r="D2953" s="1" t="s">
        <v>11</v>
      </c>
      <c r="E2953" s="1" t="s">
        <v>7</v>
      </c>
      <c r="F2953" s="1">
        <f t="shared" si="92"/>
        <v>348</v>
      </c>
      <c r="G2953" s="5">
        <f t="shared" si="93"/>
        <v>0.5545977011494253</v>
      </c>
    </row>
    <row r="2954" spans="1:7" ht="15.75" customHeight="1">
      <c r="A2954" s="4" t="s">
        <v>121</v>
      </c>
      <c r="B2954" s="1">
        <v>7.83</v>
      </c>
      <c r="C2954" s="1">
        <v>306</v>
      </c>
      <c r="D2954" s="1" t="s">
        <v>52</v>
      </c>
      <c r="E2954" s="1" t="s">
        <v>17</v>
      </c>
      <c r="F2954" s="1">
        <f t="shared" si="92"/>
        <v>783</v>
      </c>
      <c r="G2954" s="5">
        <f t="shared" si="93"/>
        <v>0.39080459770114945</v>
      </c>
    </row>
    <row r="2955" spans="1:7" ht="15.75" customHeight="1">
      <c r="A2955" s="4" t="s">
        <v>121</v>
      </c>
      <c r="B2955" s="1">
        <v>5.5</v>
      </c>
      <c r="C2955" s="1">
        <v>421</v>
      </c>
      <c r="D2955" s="1" t="s">
        <v>11</v>
      </c>
      <c r="E2955" s="1" t="s">
        <v>15</v>
      </c>
      <c r="F2955" s="1">
        <f t="shared" si="92"/>
        <v>550</v>
      </c>
      <c r="G2955" s="5">
        <f t="shared" si="93"/>
        <v>0.7654545454545455</v>
      </c>
    </row>
    <row r="2956" spans="1:7" ht="15.75" customHeight="1">
      <c r="A2956" s="4" t="s">
        <v>121</v>
      </c>
      <c r="B2956" s="1">
        <v>4.8</v>
      </c>
      <c r="C2956" s="1">
        <v>257</v>
      </c>
      <c r="D2956" s="1" t="s">
        <v>42</v>
      </c>
      <c r="E2956" s="1" t="s">
        <v>22</v>
      </c>
      <c r="F2956" s="1">
        <f t="shared" si="92"/>
        <v>480</v>
      </c>
      <c r="G2956" s="5">
        <f t="shared" si="93"/>
        <v>0.53541666666666665</v>
      </c>
    </row>
    <row r="2957" spans="1:7" ht="15.75" customHeight="1">
      <c r="A2957" s="4" t="s">
        <v>121</v>
      </c>
      <c r="B2957" s="1">
        <v>4.5599999999999996</v>
      </c>
      <c r="C2957" s="1">
        <v>184</v>
      </c>
      <c r="D2957" s="1" t="s">
        <v>33</v>
      </c>
      <c r="E2957" s="1" t="s">
        <v>17</v>
      </c>
      <c r="F2957" s="1">
        <f t="shared" si="92"/>
        <v>455.99999999999994</v>
      </c>
      <c r="G2957" s="5">
        <f t="shared" si="93"/>
        <v>0.40350877192982459</v>
      </c>
    </row>
    <row r="2958" spans="1:7" ht="15.75" customHeight="1">
      <c r="A2958" s="4" t="s">
        <v>121</v>
      </c>
      <c r="B2958" s="1">
        <v>4.03</v>
      </c>
      <c r="C2958" s="1">
        <v>228</v>
      </c>
      <c r="D2958" s="1" t="s">
        <v>11</v>
      </c>
      <c r="E2958" s="1" t="s">
        <v>9</v>
      </c>
      <c r="F2958" s="1">
        <f t="shared" si="92"/>
        <v>403</v>
      </c>
      <c r="G2958" s="5">
        <f t="shared" si="93"/>
        <v>0.56575682382133996</v>
      </c>
    </row>
    <row r="2959" spans="1:7" ht="15.75" customHeight="1">
      <c r="A2959" s="4" t="s">
        <v>121</v>
      </c>
      <c r="B2959" s="1">
        <v>5.3949999999999996</v>
      </c>
      <c r="C2959" s="1">
        <v>284.8</v>
      </c>
      <c r="D2959" s="1" t="s">
        <v>35</v>
      </c>
      <c r="E2959" s="1" t="s">
        <v>15</v>
      </c>
      <c r="F2959" s="1">
        <f t="shared" si="92"/>
        <v>539.5</v>
      </c>
      <c r="G2959" s="5">
        <f t="shared" si="93"/>
        <v>0.52789620018535688</v>
      </c>
    </row>
    <row r="2960" spans="1:7" ht="15.75" customHeight="1">
      <c r="A2960" s="4" t="s">
        <v>121</v>
      </c>
      <c r="B2960" s="1">
        <v>6.5</v>
      </c>
      <c r="C2960" s="1">
        <v>294</v>
      </c>
      <c r="D2960" s="1" t="s">
        <v>55</v>
      </c>
      <c r="E2960" s="1" t="s">
        <v>15</v>
      </c>
      <c r="F2960" s="1">
        <f t="shared" si="92"/>
        <v>650</v>
      </c>
      <c r="G2960" s="5">
        <f t="shared" si="93"/>
        <v>0.4523076923076923</v>
      </c>
    </row>
    <row r="2961" spans="1:7" ht="15.75" customHeight="1">
      <c r="A2961" s="4" t="s">
        <v>121</v>
      </c>
      <c r="B2961" s="1">
        <v>9.68</v>
      </c>
      <c r="C2961" s="1">
        <v>368</v>
      </c>
      <c r="D2961" s="1" t="s">
        <v>36</v>
      </c>
      <c r="E2961" s="1" t="s">
        <v>7</v>
      </c>
      <c r="F2961" s="1">
        <f t="shared" si="92"/>
        <v>968</v>
      </c>
      <c r="G2961" s="5">
        <f t="shared" si="93"/>
        <v>0.38016528925619836</v>
      </c>
    </row>
    <row r="2962" spans="1:7" ht="15.75" customHeight="1">
      <c r="A2962" s="4" t="s">
        <v>121</v>
      </c>
      <c r="B2962" s="1">
        <v>9.4</v>
      </c>
      <c r="C2962" s="1">
        <v>196</v>
      </c>
      <c r="D2962" s="1" t="s">
        <v>11</v>
      </c>
      <c r="E2962" s="1" t="s">
        <v>19</v>
      </c>
      <c r="F2962" s="1">
        <f t="shared" si="92"/>
        <v>940</v>
      </c>
      <c r="G2962" s="5">
        <f t="shared" si="93"/>
        <v>0.20851063829787234</v>
      </c>
    </row>
    <row r="2963" spans="1:7" ht="15.75" customHeight="1">
      <c r="A2963" s="4" t="s">
        <v>121</v>
      </c>
      <c r="B2963" s="1">
        <v>8.375</v>
      </c>
      <c r="C2963" s="1">
        <v>474</v>
      </c>
      <c r="D2963" s="1" t="s">
        <v>11</v>
      </c>
      <c r="E2963" s="1" t="s">
        <v>15</v>
      </c>
      <c r="F2963" s="1">
        <f t="shared" si="92"/>
        <v>837.5</v>
      </c>
      <c r="G2963" s="5">
        <f t="shared" si="93"/>
        <v>0.56597014925373135</v>
      </c>
    </row>
    <row r="2964" spans="1:7" ht="15.75" customHeight="1">
      <c r="A2964" s="4" t="s">
        <v>121</v>
      </c>
      <c r="B2964" s="1">
        <v>4.3</v>
      </c>
      <c r="C2964" s="1">
        <v>146</v>
      </c>
      <c r="D2964" s="1" t="s">
        <v>33</v>
      </c>
      <c r="E2964" s="1" t="s">
        <v>30</v>
      </c>
      <c r="F2964" s="1">
        <f t="shared" si="92"/>
        <v>430</v>
      </c>
      <c r="G2964" s="5">
        <f t="shared" si="93"/>
        <v>0.33953488372093021</v>
      </c>
    </row>
    <row r="2965" spans="1:7" ht="15.75" customHeight="1">
      <c r="A2965" s="4" t="s">
        <v>121</v>
      </c>
      <c r="B2965" s="1">
        <v>5.2</v>
      </c>
      <c r="C2965" s="1">
        <v>319</v>
      </c>
      <c r="D2965" s="1" t="s">
        <v>11</v>
      </c>
      <c r="E2965" s="1" t="s">
        <v>16</v>
      </c>
      <c r="F2965" s="1">
        <f t="shared" si="92"/>
        <v>520</v>
      </c>
      <c r="G2965" s="5">
        <f t="shared" si="93"/>
        <v>0.6134615384615385</v>
      </c>
    </row>
    <row r="2966" spans="1:7" ht="15.75" customHeight="1">
      <c r="A2966" s="4" t="s">
        <v>121</v>
      </c>
      <c r="B2966" s="1">
        <v>6.88</v>
      </c>
      <c r="C2966" s="1">
        <v>329</v>
      </c>
      <c r="D2966" s="1" t="s">
        <v>11</v>
      </c>
      <c r="E2966" s="1" t="s">
        <v>10</v>
      </c>
      <c r="F2966" s="1">
        <f t="shared" si="92"/>
        <v>688</v>
      </c>
      <c r="G2966" s="5">
        <f t="shared" si="93"/>
        <v>0.47819767441860467</v>
      </c>
    </row>
    <row r="2967" spans="1:7" ht="15.75" customHeight="1">
      <c r="A2967" s="4" t="s">
        <v>121</v>
      </c>
      <c r="B2967" s="1">
        <v>5.46</v>
      </c>
      <c r="C2967" s="1">
        <v>348</v>
      </c>
      <c r="D2967" s="1" t="s">
        <v>43</v>
      </c>
      <c r="E2967" s="1" t="s">
        <v>15</v>
      </c>
      <c r="F2967" s="1">
        <f t="shared" si="92"/>
        <v>546</v>
      </c>
      <c r="G2967" s="5">
        <f t="shared" si="93"/>
        <v>0.63736263736263732</v>
      </c>
    </row>
    <row r="2968" spans="1:7" ht="15.75" customHeight="1">
      <c r="A2968" s="4" t="s">
        <v>121</v>
      </c>
      <c r="B2968" s="1">
        <v>5</v>
      </c>
      <c r="C2968" s="1">
        <v>455</v>
      </c>
      <c r="D2968" s="1" t="s">
        <v>11</v>
      </c>
      <c r="E2968" s="1" t="s">
        <v>26</v>
      </c>
      <c r="F2968" s="1">
        <f t="shared" si="92"/>
        <v>500</v>
      </c>
      <c r="G2968" s="5">
        <f t="shared" si="93"/>
        <v>0.91</v>
      </c>
    </row>
    <row r="2969" spans="1:7" ht="15.75" customHeight="1">
      <c r="A2969" s="4" t="s">
        <v>121</v>
      </c>
      <c r="B2969" s="1">
        <v>6.4</v>
      </c>
      <c r="C2969" s="1">
        <v>307</v>
      </c>
      <c r="D2969" s="1" t="s">
        <v>11</v>
      </c>
      <c r="E2969" s="1" t="s">
        <v>12</v>
      </c>
      <c r="F2969" s="1">
        <f t="shared" si="92"/>
        <v>640</v>
      </c>
      <c r="G2969" s="5">
        <f t="shared" si="93"/>
        <v>0.47968749999999999</v>
      </c>
    </row>
    <row r="2970" spans="1:7" ht="15.75" customHeight="1">
      <c r="A2970" s="4" t="s">
        <v>121</v>
      </c>
      <c r="B2970" s="1">
        <v>7.74</v>
      </c>
      <c r="C2970" s="1">
        <v>316</v>
      </c>
      <c r="D2970" s="1" t="s">
        <v>33</v>
      </c>
      <c r="E2970" s="1" t="s">
        <v>16</v>
      </c>
      <c r="F2970" s="1">
        <f t="shared" si="92"/>
        <v>774</v>
      </c>
      <c r="G2970" s="5">
        <f t="shared" si="93"/>
        <v>0.40826873385012918</v>
      </c>
    </row>
    <row r="2971" spans="1:7" ht="15.75" customHeight="1">
      <c r="A2971" s="4" t="s">
        <v>121</v>
      </c>
      <c r="B2971" s="1">
        <v>7.74</v>
      </c>
      <c r="C2971" s="1">
        <v>301</v>
      </c>
      <c r="D2971" s="1" t="s">
        <v>53</v>
      </c>
      <c r="E2971" s="1" t="s">
        <v>7</v>
      </c>
      <c r="F2971" s="1">
        <f t="shared" si="92"/>
        <v>774</v>
      </c>
      <c r="G2971" s="5">
        <f t="shared" si="93"/>
        <v>0.3888888888888889</v>
      </c>
    </row>
    <row r="2972" spans="1:7" ht="15.75" customHeight="1">
      <c r="A2972" s="4" t="s">
        <v>121</v>
      </c>
      <c r="B2972" s="1">
        <v>10</v>
      </c>
      <c r="C2972" s="1">
        <v>516</v>
      </c>
      <c r="D2972" s="1" t="s">
        <v>11</v>
      </c>
      <c r="E2972" s="1" t="s">
        <v>25</v>
      </c>
      <c r="F2972" s="1">
        <f t="shared" si="92"/>
        <v>1000</v>
      </c>
      <c r="G2972" s="5">
        <f t="shared" si="93"/>
        <v>0.51600000000000001</v>
      </c>
    </row>
    <row r="2973" spans="1:7" ht="15.75" customHeight="1">
      <c r="A2973" s="4" t="s">
        <v>121</v>
      </c>
      <c r="B2973" s="1">
        <v>7</v>
      </c>
      <c r="C2973" s="1">
        <v>356</v>
      </c>
      <c r="D2973" s="1" t="s">
        <v>36</v>
      </c>
      <c r="E2973" s="1" t="s">
        <v>15</v>
      </c>
      <c r="F2973" s="1">
        <f t="shared" si="92"/>
        <v>700</v>
      </c>
      <c r="G2973" s="5">
        <f t="shared" si="93"/>
        <v>0.50857142857142856</v>
      </c>
    </row>
    <row r="2974" spans="1:7" ht="15.75" customHeight="1">
      <c r="A2974" s="4" t="s">
        <v>121</v>
      </c>
      <c r="B2974" s="1">
        <v>7.56</v>
      </c>
      <c r="C2974" s="1">
        <v>407</v>
      </c>
      <c r="D2974" s="1" t="s">
        <v>11</v>
      </c>
      <c r="E2974" s="1" t="s">
        <v>25</v>
      </c>
      <c r="F2974" s="1">
        <f t="shared" si="92"/>
        <v>756</v>
      </c>
      <c r="G2974" s="5">
        <f t="shared" si="93"/>
        <v>0.53835978835978837</v>
      </c>
    </row>
    <row r="2975" spans="1:7" ht="15.75" customHeight="1">
      <c r="A2975" s="4" t="s">
        <v>121</v>
      </c>
      <c r="B2975" s="1">
        <v>6.9</v>
      </c>
      <c r="C2975" s="1">
        <v>332</v>
      </c>
      <c r="D2975" s="1" t="s">
        <v>38</v>
      </c>
      <c r="E2975" s="1" t="s">
        <v>8</v>
      </c>
      <c r="F2975" s="1">
        <f t="shared" si="92"/>
        <v>690</v>
      </c>
      <c r="G2975" s="5">
        <f t="shared" si="93"/>
        <v>0.48115942028985509</v>
      </c>
    </row>
    <row r="2976" spans="1:7" ht="15.75" customHeight="1">
      <c r="A2976" s="4" t="s">
        <v>121</v>
      </c>
      <c r="B2976" s="1">
        <v>3.8</v>
      </c>
      <c r="C2976" s="1">
        <v>207</v>
      </c>
      <c r="D2976" s="1" t="s">
        <v>11</v>
      </c>
      <c r="E2976" s="1" t="s">
        <v>31</v>
      </c>
      <c r="F2976" s="1">
        <f t="shared" ref="F2976:F3039" si="94">B2976*100</f>
        <v>380</v>
      </c>
      <c r="G2976" s="5">
        <f t="shared" si="93"/>
        <v>0.54473684210526319</v>
      </c>
    </row>
    <row r="2977" spans="1:7" ht="15.75" customHeight="1">
      <c r="A2977" s="4" t="s">
        <v>121</v>
      </c>
      <c r="B2977" s="1">
        <v>5.81</v>
      </c>
      <c r="C2977" s="1">
        <v>298</v>
      </c>
      <c r="D2977" s="1" t="s">
        <v>38</v>
      </c>
      <c r="E2977" s="1" t="s">
        <v>8</v>
      </c>
      <c r="F2977" s="1">
        <f t="shared" si="94"/>
        <v>581</v>
      </c>
      <c r="G2977" s="5">
        <f t="shared" si="93"/>
        <v>0.5129087779690189</v>
      </c>
    </row>
    <row r="2978" spans="1:7" ht="15.75" customHeight="1">
      <c r="A2978" s="4" t="s">
        <v>121</v>
      </c>
      <c r="B2978" s="1">
        <v>8.64</v>
      </c>
      <c r="C2978" s="1">
        <v>499.53</v>
      </c>
      <c r="D2978" s="1" t="s">
        <v>11</v>
      </c>
      <c r="E2978" s="1" t="s">
        <v>9</v>
      </c>
      <c r="F2978" s="1">
        <f t="shared" si="94"/>
        <v>864</v>
      </c>
      <c r="G2978" s="5">
        <f t="shared" si="93"/>
        <v>0.57815972222222223</v>
      </c>
    </row>
    <row r="2979" spans="1:7" ht="15.75" customHeight="1">
      <c r="A2979" s="4" t="s">
        <v>121</v>
      </c>
      <c r="B2979" s="1">
        <v>4</v>
      </c>
      <c r="C2979" s="1">
        <v>198</v>
      </c>
      <c r="D2979" s="1" t="s">
        <v>44</v>
      </c>
      <c r="E2979" s="1" t="s">
        <v>21</v>
      </c>
      <c r="F2979" s="1">
        <f t="shared" si="94"/>
        <v>400</v>
      </c>
      <c r="G2979" s="5">
        <f t="shared" si="93"/>
        <v>0.495</v>
      </c>
    </row>
    <row r="2980" spans="1:7" ht="15.75" customHeight="1">
      <c r="A2980" s="4" t="s">
        <v>121</v>
      </c>
      <c r="B2980" s="1">
        <v>7.3</v>
      </c>
      <c r="C2980" s="1">
        <v>259</v>
      </c>
      <c r="D2980" s="1" t="s">
        <v>33</v>
      </c>
      <c r="E2980" s="1" t="s">
        <v>20</v>
      </c>
      <c r="F2980" s="1">
        <f t="shared" si="94"/>
        <v>730</v>
      </c>
      <c r="G2980" s="5">
        <f t="shared" si="93"/>
        <v>0.35479452054794519</v>
      </c>
    </row>
    <row r="2981" spans="1:7" ht="15.75" customHeight="1">
      <c r="A2981" s="4" t="s">
        <v>121</v>
      </c>
      <c r="B2981" s="1">
        <v>6.5</v>
      </c>
      <c r="C2981" s="1">
        <v>288</v>
      </c>
      <c r="D2981" s="1" t="s">
        <v>33</v>
      </c>
      <c r="E2981" s="1" t="s">
        <v>21</v>
      </c>
      <c r="F2981" s="1">
        <f t="shared" si="94"/>
        <v>650</v>
      </c>
      <c r="G2981" s="5">
        <f t="shared" si="93"/>
        <v>0.44307692307692309</v>
      </c>
    </row>
    <row r="2982" spans="1:7" ht="15.75" customHeight="1">
      <c r="A2982" s="4" t="s">
        <v>121</v>
      </c>
      <c r="B2982" s="1">
        <v>8.6999999999999993</v>
      </c>
      <c r="C2982" s="1">
        <v>490</v>
      </c>
      <c r="D2982" s="1" t="s">
        <v>11</v>
      </c>
      <c r="E2982" s="1" t="s">
        <v>27</v>
      </c>
      <c r="F2982" s="1">
        <f t="shared" si="94"/>
        <v>869.99999999999989</v>
      </c>
      <c r="G2982" s="5">
        <f t="shared" si="93"/>
        <v>0.56321839080459779</v>
      </c>
    </row>
    <row r="2983" spans="1:7" ht="15.75" customHeight="1">
      <c r="A2983" s="4" t="s">
        <v>121</v>
      </c>
      <c r="B2983" s="1">
        <v>4.5</v>
      </c>
      <c r="C2983" s="1">
        <v>145</v>
      </c>
      <c r="D2983" s="1" t="s">
        <v>33</v>
      </c>
      <c r="E2983" s="1" t="s">
        <v>8</v>
      </c>
      <c r="F2983" s="1">
        <f t="shared" si="94"/>
        <v>450</v>
      </c>
      <c r="G2983" s="5">
        <f t="shared" si="93"/>
        <v>0.32222222222222224</v>
      </c>
    </row>
    <row r="2984" spans="1:7" ht="15.75" customHeight="1">
      <c r="A2984" s="4" t="s">
        <v>121</v>
      </c>
      <c r="B2984" s="1">
        <v>7.29</v>
      </c>
      <c r="C2984" s="1">
        <v>394</v>
      </c>
      <c r="D2984" s="1" t="s">
        <v>11</v>
      </c>
      <c r="E2984" s="1" t="s">
        <v>7</v>
      </c>
      <c r="F2984" s="1">
        <f t="shared" si="94"/>
        <v>729</v>
      </c>
      <c r="G2984" s="5">
        <f t="shared" si="93"/>
        <v>0.54046639231824412</v>
      </c>
    </row>
    <row r="2985" spans="1:7" ht="15.75" customHeight="1">
      <c r="A2985" s="4" t="s">
        <v>121</v>
      </c>
      <c r="B2985" s="1">
        <v>4</v>
      </c>
      <c r="C2985" s="1">
        <v>140</v>
      </c>
      <c r="D2985" s="1" t="s">
        <v>43</v>
      </c>
      <c r="E2985" s="1" t="s">
        <v>68</v>
      </c>
      <c r="F2985" s="1">
        <f t="shared" si="94"/>
        <v>400</v>
      </c>
      <c r="G2985" s="5">
        <f t="shared" si="93"/>
        <v>0.35</v>
      </c>
    </row>
    <row r="2986" spans="1:7" ht="15.75" customHeight="1">
      <c r="A2986" s="4" t="s">
        <v>121</v>
      </c>
      <c r="B2986" s="1">
        <v>6.2</v>
      </c>
      <c r="C2986" s="1">
        <v>240</v>
      </c>
      <c r="D2986" s="1" t="s">
        <v>33</v>
      </c>
      <c r="E2986" s="1" t="s">
        <v>14</v>
      </c>
      <c r="F2986" s="1">
        <f t="shared" si="94"/>
        <v>620</v>
      </c>
      <c r="G2986" s="5">
        <f t="shared" si="93"/>
        <v>0.38709677419354838</v>
      </c>
    </row>
    <row r="2987" spans="1:7" ht="15.75" customHeight="1">
      <c r="A2987" s="4" t="s">
        <v>121</v>
      </c>
      <c r="B2987" s="1">
        <v>7.2</v>
      </c>
      <c r="C2987" s="1">
        <v>319</v>
      </c>
      <c r="D2987" s="1" t="s">
        <v>43</v>
      </c>
      <c r="E2987" s="1" t="s">
        <v>17</v>
      </c>
      <c r="F2987" s="1">
        <f t="shared" si="94"/>
        <v>720</v>
      </c>
      <c r="G2987" s="5">
        <f t="shared" si="93"/>
        <v>0.44305555555555554</v>
      </c>
    </row>
    <row r="2988" spans="1:7" ht="15.75" customHeight="1">
      <c r="A2988" s="4" t="s">
        <v>121</v>
      </c>
      <c r="B2988" s="1">
        <v>8.6</v>
      </c>
      <c r="C2988" s="1">
        <v>559</v>
      </c>
      <c r="D2988" s="1" t="s">
        <v>42</v>
      </c>
      <c r="E2988" s="1" t="s">
        <v>8</v>
      </c>
      <c r="F2988" s="1">
        <f t="shared" si="94"/>
        <v>860</v>
      </c>
      <c r="G2988" s="5">
        <f t="shared" si="93"/>
        <v>0.65</v>
      </c>
    </row>
    <row r="2989" spans="1:7" ht="15.75" customHeight="1">
      <c r="A2989" s="4" t="s">
        <v>121</v>
      </c>
      <c r="B2989" s="1">
        <v>5.6</v>
      </c>
      <c r="C2989" s="1">
        <v>273</v>
      </c>
      <c r="D2989" s="1" t="s">
        <v>39</v>
      </c>
      <c r="E2989" s="1" t="s">
        <v>62</v>
      </c>
      <c r="F2989" s="1">
        <f t="shared" si="94"/>
        <v>560</v>
      </c>
      <c r="G2989" s="5">
        <f t="shared" si="93"/>
        <v>0.48749999999999999</v>
      </c>
    </row>
    <row r="2990" spans="1:7" ht="15.75" customHeight="1">
      <c r="A2990" s="4" t="s">
        <v>121</v>
      </c>
      <c r="B2990" s="1">
        <v>7.9</v>
      </c>
      <c r="C2990" s="1">
        <v>433</v>
      </c>
      <c r="D2990" s="1" t="s">
        <v>11</v>
      </c>
      <c r="E2990" s="1" t="s">
        <v>27</v>
      </c>
      <c r="F2990" s="1">
        <f t="shared" si="94"/>
        <v>790</v>
      </c>
      <c r="G2990" s="5">
        <f t="shared" si="93"/>
        <v>0.54810126582278484</v>
      </c>
    </row>
    <row r="2991" spans="1:7" ht="15.75" customHeight="1">
      <c r="A2991" s="4" t="s">
        <v>121</v>
      </c>
      <c r="B2991" s="1">
        <v>6.4</v>
      </c>
      <c r="C2991" s="1">
        <v>447</v>
      </c>
      <c r="D2991" s="1" t="s">
        <v>11</v>
      </c>
      <c r="E2991" s="1" t="s">
        <v>26</v>
      </c>
      <c r="F2991" s="1">
        <f t="shared" si="94"/>
        <v>640</v>
      </c>
      <c r="G2991" s="5">
        <f t="shared" si="93"/>
        <v>0.69843750000000004</v>
      </c>
    </row>
    <row r="2992" spans="1:7" ht="15.75" customHeight="1">
      <c r="A2992" s="4" t="s">
        <v>121</v>
      </c>
      <c r="B2992" s="1">
        <v>5.22</v>
      </c>
      <c r="C2992" s="1">
        <v>279</v>
      </c>
      <c r="D2992" s="1" t="s">
        <v>35</v>
      </c>
      <c r="E2992" s="1" t="s">
        <v>17</v>
      </c>
      <c r="F2992" s="1">
        <f t="shared" si="94"/>
        <v>522</v>
      </c>
      <c r="G2992" s="5">
        <f t="shared" si="93"/>
        <v>0.53448275862068961</v>
      </c>
    </row>
    <row r="2993" spans="1:7" ht="15.75" customHeight="1">
      <c r="A2993" s="4" t="s">
        <v>121</v>
      </c>
      <c r="B2993" s="1">
        <v>6.4</v>
      </c>
      <c r="C2993" s="1">
        <v>276.3</v>
      </c>
      <c r="D2993" s="1" t="s">
        <v>35</v>
      </c>
      <c r="E2993" s="1" t="s">
        <v>18</v>
      </c>
      <c r="F2993" s="1">
        <f t="shared" si="94"/>
        <v>640</v>
      </c>
      <c r="G2993" s="5">
        <f t="shared" si="93"/>
        <v>0.43171875000000004</v>
      </c>
    </row>
    <row r="2994" spans="1:7" ht="15.75" customHeight="1">
      <c r="A2994" s="4" t="s">
        <v>121</v>
      </c>
      <c r="B2994" s="1">
        <v>7.3</v>
      </c>
      <c r="C2994" s="1">
        <v>499</v>
      </c>
      <c r="D2994" s="1" t="s">
        <v>11</v>
      </c>
      <c r="E2994" s="1" t="s">
        <v>26</v>
      </c>
      <c r="F2994" s="1">
        <f t="shared" si="94"/>
        <v>730</v>
      </c>
      <c r="G2994" s="5">
        <f t="shared" si="93"/>
        <v>0.68356164383561646</v>
      </c>
    </row>
    <row r="2995" spans="1:7" ht="15.75" customHeight="1">
      <c r="A2995" s="4" t="s">
        <v>121</v>
      </c>
      <c r="B2995" s="1">
        <v>4.3600000000000003</v>
      </c>
      <c r="C2995" s="1">
        <v>242</v>
      </c>
      <c r="D2995" s="1" t="s">
        <v>33</v>
      </c>
      <c r="E2995" s="1" t="s">
        <v>15</v>
      </c>
      <c r="F2995" s="1">
        <f t="shared" si="94"/>
        <v>436.00000000000006</v>
      </c>
      <c r="G2995" s="5">
        <f t="shared" si="93"/>
        <v>0.55504587155963292</v>
      </c>
    </row>
    <row r="2996" spans="1:7" ht="15.75" customHeight="1">
      <c r="A2996" s="4" t="s">
        <v>121</v>
      </c>
      <c r="B2996" s="1">
        <v>8</v>
      </c>
      <c r="C2996" s="1">
        <v>401</v>
      </c>
      <c r="D2996" s="1" t="s">
        <v>11</v>
      </c>
      <c r="E2996" s="1" t="s">
        <v>12</v>
      </c>
      <c r="F2996" s="1">
        <f t="shared" si="94"/>
        <v>800</v>
      </c>
      <c r="G2996" s="5">
        <f t="shared" si="93"/>
        <v>0.50124999999999997</v>
      </c>
    </row>
    <row r="2997" spans="1:7" ht="15.75" customHeight="1">
      <c r="A2997" s="4" t="s">
        <v>121</v>
      </c>
      <c r="B2997" s="1">
        <v>6.09</v>
      </c>
      <c r="C2997" s="1">
        <v>356</v>
      </c>
      <c r="D2997" s="1" t="s">
        <v>11</v>
      </c>
      <c r="E2997" s="1" t="s">
        <v>26</v>
      </c>
      <c r="F2997" s="1">
        <f t="shared" si="94"/>
        <v>609</v>
      </c>
      <c r="G2997" s="5">
        <f t="shared" si="93"/>
        <v>0.58456486042692934</v>
      </c>
    </row>
    <row r="2998" spans="1:7" ht="15.75" customHeight="1">
      <c r="A2998" s="4" t="s">
        <v>121</v>
      </c>
      <c r="B2998" s="1">
        <v>5.0999999999999996</v>
      </c>
      <c r="C2998" s="1">
        <v>301</v>
      </c>
      <c r="D2998" s="1" t="s">
        <v>34</v>
      </c>
      <c r="E2998" s="1" t="s">
        <v>69</v>
      </c>
      <c r="F2998" s="1">
        <f t="shared" si="94"/>
        <v>509.99999999999994</v>
      </c>
      <c r="G2998" s="5">
        <f t="shared" si="93"/>
        <v>0.59019607843137256</v>
      </c>
    </row>
    <row r="2999" spans="1:7" ht="15.75" customHeight="1">
      <c r="A2999" s="4" t="s">
        <v>121</v>
      </c>
      <c r="B2999" s="1">
        <v>8.8000000000000007</v>
      </c>
      <c r="C2999" s="1">
        <v>508</v>
      </c>
      <c r="D2999" s="1" t="s">
        <v>47</v>
      </c>
      <c r="E2999" s="1" t="s">
        <v>30</v>
      </c>
      <c r="F2999" s="1">
        <f t="shared" si="94"/>
        <v>880.00000000000011</v>
      </c>
      <c r="G2999" s="5">
        <f t="shared" si="93"/>
        <v>0.57727272727272716</v>
      </c>
    </row>
    <row r="3000" spans="1:7" ht="15.75" customHeight="1">
      <c r="A3000" s="4" t="s">
        <v>121</v>
      </c>
      <c r="B3000" s="1">
        <v>4.0999999999999996</v>
      </c>
      <c r="C3000" s="1">
        <v>250</v>
      </c>
      <c r="D3000" s="1" t="s">
        <v>38</v>
      </c>
      <c r="E3000" s="1" t="s">
        <v>16</v>
      </c>
      <c r="F3000" s="1">
        <f t="shared" si="94"/>
        <v>409.99999999999994</v>
      </c>
      <c r="G3000" s="5">
        <f t="shared" si="93"/>
        <v>0.60975609756097571</v>
      </c>
    </row>
    <row r="3001" spans="1:7" ht="15.75" customHeight="1">
      <c r="A3001" s="4" t="s">
        <v>121</v>
      </c>
      <c r="B3001" s="1">
        <v>6.6</v>
      </c>
      <c r="C3001" s="1">
        <v>255</v>
      </c>
      <c r="D3001" s="1" t="s">
        <v>11</v>
      </c>
      <c r="E3001" s="1" t="s">
        <v>8</v>
      </c>
      <c r="F3001" s="1">
        <f t="shared" si="94"/>
        <v>660</v>
      </c>
      <c r="G3001" s="5">
        <f t="shared" si="93"/>
        <v>0.38636363636363635</v>
      </c>
    </row>
    <row r="3002" spans="1:7" ht="15.75" customHeight="1">
      <c r="A3002" s="4" t="s">
        <v>121</v>
      </c>
      <c r="B3002" s="1">
        <v>8.8000000000000007</v>
      </c>
      <c r="C3002" s="1">
        <v>411</v>
      </c>
      <c r="D3002" s="1" t="s">
        <v>50</v>
      </c>
      <c r="E3002" s="1" t="s">
        <v>8</v>
      </c>
      <c r="F3002" s="1">
        <f t="shared" si="94"/>
        <v>880.00000000000011</v>
      </c>
      <c r="G3002" s="5">
        <f t="shared" si="93"/>
        <v>0.46704545454545449</v>
      </c>
    </row>
    <row r="3003" spans="1:7" ht="15.75" customHeight="1">
      <c r="A3003" s="4" t="s">
        <v>121</v>
      </c>
      <c r="B3003" s="1">
        <v>6.8</v>
      </c>
      <c r="C3003" s="1">
        <v>361</v>
      </c>
      <c r="D3003" s="1" t="s">
        <v>44</v>
      </c>
      <c r="E3003" s="1" t="s">
        <v>26</v>
      </c>
      <c r="F3003" s="1">
        <f t="shared" si="94"/>
        <v>680</v>
      </c>
      <c r="G3003" s="5">
        <f t="shared" si="93"/>
        <v>0.53088235294117647</v>
      </c>
    </row>
    <row r="3004" spans="1:7" ht="15.75" customHeight="1">
      <c r="A3004" s="4" t="s">
        <v>121</v>
      </c>
      <c r="B3004" s="1">
        <v>7.5</v>
      </c>
      <c r="C3004" s="1">
        <v>320</v>
      </c>
      <c r="D3004" s="1" t="s">
        <v>33</v>
      </c>
      <c r="E3004" s="1" t="s">
        <v>8</v>
      </c>
      <c r="F3004" s="1">
        <f t="shared" si="94"/>
        <v>750</v>
      </c>
      <c r="G3004" s="5">
        <f t="shared" si="93"/>
        <v>0.42666666666666669</v>
      </c>
    </row>
    <row r="3005" spans="1:7" ht="15.75" customHeight="1">
      <c r="A3005" s="4" t="s">
        <v>121</v>
      </c>
      <c r="B3005" s="1">
        <v>5.2</v>
      </c>
      <c r="C3005" s="1">
        <v>260</v>
      </c>
      <c r="D3005" s="1" t="s">
        <v>53</v>
      </c>
      <c r="E3005" s="1" t="s">
        <v>15</v>
      </c>
      <c r="F3005" s="1">
        <f t="shared" si="94"/>
        <v>520</v>
      </c>
      <c r="G3005" s="5">
        <f t="shared" si="93"/>
        <v>0.5</v>
      </c>
    </row>
    <row r="3006" spans="1:7" ht="15.75" customHeight="1">
      <c r="A3006" s="4" t="s">
        <v>121</v>
      </c>
      <c r="B3006" s="1">
        <v>3.85</v>
      </c>
      <c r="C3006" s="1">
        <v>172</v>
      </c>
      <c r="D3006" s="1" t="s">
        <v>11</v>
      </c>
      <c r="E3006" s="1" t="s">
        <v>20</v>
      </c>
      <c r="F3006" s="1">
        <f t="shared" si="94"/>
        <v>385</v>
      </c>
      <c r="G3006" s="5">
        <f t="shared" si="93"/>
        <v>0.44675324675324674</v>
      </c>
    </row>
    <row r="3007" spans="1:7" ht="15.75" customHeight="1">
      <c r="A3007" s="4" t="s">
        <v>121</v>
      </c>
      <c r="B3007" s="1">
        <v>9.5</v>
      </c>
      <c r="C3007" s="1">
        <v>470</v>
      </c>
      <c r="D3007" s="1" t="s">
        <v>11</v>
      </c>
      <c r="E3007" s="1" t="s">
        <v>19</v>
      </c>
      <c r="F3007" s="1">
        <f t="shared" si="94"/>
        <v>950</v>
      </c>
      <c r="G3007" s="5">
        <f t="shared" si="93"/>
        <v>0.49473684210526314</v>
      </c>
    </row>
    <row r="3008" spans="1:7" ht="15.75" customHeight="1">
      <c r="A3008" s="4" t="s">
        <v>121</v>
      </c>
      <c r="B3008" s="1">
        <v>6.88</v>
      </c>
      <c r="C3008" s="1">
        <v>276.17</v>
      </c>
      <c r="D3008" s="1" t="s">
        <v>33</v>
      </c>
      <c r="E3008" s="1" t="s">
        <v>20</v>
      </c>
      <c r="F3008" s="1">
        <f t="shared" si="94"/>
        <v>688</v>
      </c>
      <c r="G3008" s="5">
        <f t="shared" si="93"/>
        <v>0.40140988372093028</v>
      </c>
    </row>
    <row r="3009" spans="1:7" ht="15.75" customHeight="1">
      <c r="A3009" s="4" t="s">
        <v>121</v>
      </c>
      <c r="B3009" s="1">
        <v>4.3499999999999996</v>
      </c>
      <c r="C3009" s="1">
        <v>326</v>
      </c>
      <c r="D3009" s="1" t="s">
        <v>11</v>
      </c>
      <c r="E3009" s="1" t="s">
        <v>15</v>
      </c>
      <c r="F3009" s="1">
        <f t="shared" si="94"/>
        <v>434.99999999999994</v>
      </c>
      <c r="G3009" s="5">
        <f t="shared" si="93"/>
        <v>0.74942528735632197</v>
      </c>
    </row>
    <row r="3010" spans="1:7" ht="15.75" customHeight="1">
      <c r="A3010" s="4" t="s">
        <v>121</v>
      </c>
      <c r="B3010" s="1">
        <v>9.57</v>
      </c>
      <c r="C3010" s="1">
        <v>542</v>
      </c>
      <c r="D3010" s="1" t="s">
        <v>11</v>
      </c>
      <c r="E3010" s="1" t="s">
        <v>10</v>
      </c>
      <c r="F3010" s="1">
        <f t="shared" si="94"/>
        <v>957</v>
      </c>
      <c r="G3010" s="5">
        <f t="shared" ref="G3010:G3073" si="95">C3010/F3010</f>
        <v>0.56635318704284221</v>
      </c>
    </row>
    <row r="3011" spans="1:7" ht="15.75" customHeight="1">
      <c r="A3011" s="4" t="s">
        <v>121</v>
      </c>
      <c r="B3011" s="1">
        <v>5.16</v>
      </c>
      <c r="C3011" s="1">
        <v>291</v>
      </c>
      <c r="D3011" s="1" t="s">
        <v>44</v>
      </c>
      <c r="E3011" s="1" t="s">
        <v>10</v>
      </c>
      <c r="F3011" s="1">
        <f t="shared" si="94"/>
        <v>516</v>
      </c>
      <c r="G3011" s="5">
        <f t="shared" si="95"/>
        <v>0.56395348837209303</v>
      </c>
    </row>
    <row r="3012" spans="1:7" ht="15.75" customHeight="1">
      <c r="A3012" s="4" t="s">
        <v>121</v>
      </c>
      <c r="B3012" s="1">
        <v>6.375</v>
      </c>
      <c r="C3012" s="1">
        <v>354</v>
      </c>
      <c r="D3012" s="1" t="s">
        <v>11</v>
      </c>
      <c r="E3012" s="1" t="s">
        <v>12</v>
      </c>
      <c r="F3012" s="1">
        <f t="shared" si="94"/>
        <v>637.5</v>
      </c>
      <c r="G3012" s="5">
        <f t="shared" si="95"/>
        <v>0.55529411764705883</v>
      </c>
    </row>
    <row r="3013" spans="1:7" ht="15.75" customHeight="1">
      <c r="A3013" s="4" t="s">
        <v>121</v>
      </c>
      <c r="B3013" s="1">
        <v>7.74</v>
      </c>
      <c r="C3013" s="1">
        <v>368</v>
      </c>
      <c r="D3013" s="1" t="s">
        <v>42</v>
      </c>
      <c r="E3013" s="1" t="s">
        <v>49</v>
      </c>
      <c r="F3013" s="1">
        <f t="shared" si="94"/>
        <v>774</v>
      </c>
      <c r="G3013" s="5">
        <f t="shared" si="95"/>
        <v>0.47545219638242892</v>
      </c>
    </row>
    <row r="3014" spans="1:7" ht="15.75" customHeight="1">
      <c r="A3014" s="4" t="s">
        <v>121</v>
      </c>
      <c r="B3014" s="1">
        <v>8.1</v>
      </c>
      <c r="C3014" s="1">
        <v>381</v>
      </c>
      <c r="D3014" s="1" t="s">
        <v>44</v>
      </c>
      <c r="E3014" s="1" t="s">
        <v>7</v>
      </c>
      <c r="F3014" s="1">
        <f t="shared" si="94"/>
        <v>810</v>
      </c>
      <c r="G3014" s="5">
        <f t="shared" si="95"/>
        <v>0.47037037037037038</v>
      </c>
    </row>
    <row r="3015" spans="1:7" ht="15.75" customHeight="1">
      <c r="A3015" s="4" t="s">
        <v>121</v>
      </c>
      <c r="B3015" s="1">
        <v>5</v>
      </c>
      <c r="C3015" s="1">
        <v>443.4</v>
      </c>
      <c r="D3015" s="1" t="s">
        <v>11</v>
      </c>
      <c r="E3015" s="1" t="s">
        <v>22</v>
      </c>
      <c r="F3015" s="1">
        <f t="shared" si="94"/>
        <v>500</v>
      </c>
      <c r="G3015" s="5">
        <f t="shared" si="95"/>
        <v>0.88679999999999992</v>
      </c>
    </row>
    <row r="3016" spans="1:7" ht="15.75" customHeight="1">
      <c r="A3016" s="4" t="s">
        <v>121</v>
      </c>
      <c r="B3016" s="1">
        <v>8.19</v>
      </c>
      <c r="C3016" s="1">
        <v>325</v>
      </c>
      <c r="D3016" s="1" t="s">
        <v>33</v>
      </c>
      <c r="E3016" s="1" t="s">
        <v>16</v>
      </c>
      <c r="F3016" s="1">
        <f t="shared" si="94"/>
        <v>819</v>
      </c>
      <c r="G3016" s="5">
        <f t="shared" si="95"/>
        <v>0.3968253968253968</v>
      </c>
    </row>
    <row r="3017" spans="1:7" ht="15.75" customHeight="1">
      <c r="A3017" s="4" t="s">
        <v>121</v>
      </c>
      <c r="B3017" s="1">
        <v>7.29</v>
      </c>
      <c r="C3017" s="1">
        <v>385</v>
      </c>
      <c r="D3017" s="1" t="s">
        <v>11</v>
      </c>
      <c r="E3017" s="1" t="s">
        <v>27</v>
      </c>
      <c r="F3017" s="1">
        <f t="shared" si="94"/>
        <v>729</v>
      </c>
      <c r="G3017" s="5">
        <f t="shared" si="95"/>
        <v>0.52812071330589849</v>
      </c>
    </row>
    <row r="3018" spans="1:7" ht="15.75" customHeight="1">
      <c r="A3018" s="4" t="s">
        <v>121</v>
      </c>
      <c r="B3018" s="1">
        <v>6.2</v>
      </c>
      <c r="C3018" s="1">
        <v>360</v>
      </c>
      <c r="D3018" s="1" t="s">
        <v>11</v>
      </c>
      <c r="E3018" s="1" t="s">
        <v>12</v>
      </c>
      <c r="F3018" s="1">
        <f t="shared" si="94"/>
        <v>620</v>
      </c>
      <c r="G3018" s="5">
        <f t="shared" si="95"/>
        <v>0.58064516129032262</v>
      </c>
    </row>
    <row r="3019" spans="1:7" ht="15.75" customHeight="1">
      <c r="A3019" s="4" t="s">
        <v>121</v>
      </c>
      <c r="B3019" s="1">
        <v>7.4</v>
      </c>
      <c r="C3019" s="1">
        <v>533</v>
      </c>
      <c r="D3019" s="1" t="s">
        <v>11</v>
      </c>
      <c r="E3019" s="1" t="s">
        <v>10</v>
      </c>
      <c r="F3019" s="1">
        <f t="shared" si="94"/>
        <v>740</v>
      </c>
      <c r="G3019" s="5">
        <f t="shared" si="95"/>
        <v>0.72027027027027024</v>
      </c>
    </row>
    <row r="3020" spans="1:7" ht="15.75" customHeight="1">
      <c r="A3020" s="4" t="s">
        <v>121</v>
      </c>
      <c r="B3020" s="1">
        <v>4.3499999999999996</v>
      </c>
      <c r="C3020" s="1">
        <v>262</v>
      </c>
      <c r="D3020" s="1" t="s">
        <v>11</v>
      </c>
      <c r="E3020" s="1" t="s">
        <v>16</v>
      </c>
      <c r="F3020" s="1">
        <f t="shared" si="94"/>
        <v>434.99999999999994</v>
      </c>
      <c r="G3020" s="5">
        <f t="shared" si="95"/>
        <v>0.60229885057471277</v>
      </c>
    </row>
    <row r="3021" spans="1:7" ht="15.75" customHeight="1">
      <c r="A3021" s="4" t="s">
        <v>121</v>
      </c>
      <c r="B3021" s="1">
        <v>8.6999999999999993</v>
      </c>
      <c r="C3021" s="1">
        <v>378</v>
      </c>
      <c r="D3021" s="1" t="s">
        <v>45</v>
      </c>
      <c r="E3021" s="1" t="s">
        <v>20</v>
      </c>
      <c r="F3021" s="1">
        <f t="shared" si="94"/>
        <v>869.99999999999989</v>
      </c>
      <c r="G3021" s="5">
        <f t="shared" si="95"/>
        <v>0.43448275862068969</v>
      </c>
    </row>
    <row r="3022" spans="1:7" ht="15.75" customHeight="1">
      <c r="A3022" s="4" t="s">
        <v>121</v>
      </c>
      <c r="B3022" s="1">
        <v>6.09</v>
      </c>
      <c r="C3022" s="1">
        <v>238</v>
      </c>
      <c r="D3022" s="1" t="s">
        <v>44</v>
      </c>
      <c r="E3022" s="1" t="s">
        <v>20</v>
      </c>
      <c r="F3022" s="1">
        <f t="shared" si="94"/>
        <v>609</v>
      </c>
      <c r="G3022" s="5">
        <f t="shared" si="95"/>
        <v>0.39080459770114945</v>
      </c>
    </row>
    <row r="3023" spans="1:7" ht="15.75" customHeight="1">
      <c r="A3023" s="4" t="s">
        <v>121</v>
      </c>
      <c r="B3023" s="1">
        <v>6.5</v>
      </c>
      <c r="C3023" s="1">
        <v>255</v>
      </c>
      <c r="D3023" s="1" t="s">
        <v>45</v>
      </c>
      <c r="E3023" s="1" t="s">
        <v>20</v>
      </c>
      <c r="F3023" s="1">
        <f t="shared" si="94"/>
        <v>650</v>
      </c>
      <c r="G3023" s="5">
        <f t="shared" si="95"/>
        <v>0.3923076923076923</v>
      </c>
    </row>
    <row r="3024" spans="1:7" ht="15.75" customHeight="1">
      <c r="A3024" s="4" t="s">
        <v>121</v>
      </c>
      <c r="B3024" s="1">
        <v>20</v>
      </c>
      <c r="C3024" s="1">
        <v>621</v>
      </c>
      <c r="D3024" s="1" t="s">
        <v>33</v>
      </c>
      <c r="E3024" s="1" t="s">
        <v>20</v>
      </c>
      <c r="F3024" s="1">
        <f t="shared" si="94"/>
        <v>2000</v>
      </c>
      <c r="G3024" s="5">
        <f t="shared" si="95"/>
        <v>0.3105</v>
      </c>
    </row>
    <row r="3025" spans="1:7" ht="15.75" customHeight="1">
      <c r="A3025" s="4" t="s">
        <v>121</v>
      </c>
      <c r="B3025" s="1">
        <v>4.38</v>
      </c>
      <c r="C3025" s="1">
        <v>239</v>
      </c>
      <c r="D3025" s="1" t="s">
        <v>43</v>
      </c>
      <c r="E3025" s="1" t="s">
        <v>24</v>
      </c>
      <c r="F3025" s="1">
        <f t="shared" si="94"/>
        <v>438</v>
      </c>
      <c r="G3025" s="5">
        <f t="shared" si="95"/>
        <v>0.545662100456621</v>
      </c>
    </row>
    <row r="3026" spans="1:7" ht="15.75" customHeight="1">
      <c r="A3026" s="4" t="s">
        <v>121</v>
      </c>
      <c r="B3026" s="1">
        <v>7.4</v>
      </c>
      <c r="C3026" s="1">
        <v>443</v>
      </c>
      <c r="D3026" s="1" t="s">
        <v>11</v>
      </c>
      <c r="E3026" s="1" t="s">
        <v>25</v>
      </c>
      <c r="F3026" s="1">
        <f t="shared" si="94"/>
        <v>740</v>
      </c>
      <c r="G3026" s="5">
        <f t="shared" si="95"/>
        <v>0.59864864864864864</v>
      </c>
    </row>
    <row r="3027" spans="1:7" ht="15.75" customHeight="1">
      <c r="A3027" s="4" t="s">
        <v>121</v>
      </c>
      <c r="B3027" s="1">
        <v>5.6</v>
      </c>
      <c r="C3027" s="1">
        <v>327</v>
      </c>
      <c r="D3027" s="1" t="s">
        <v>54</v>
      </c>
      <c r="E3027" s="1" t="s">
        <v>22</v>
      </c>
      <c r="F3027" s="1">
        <f t="shared" si="94"/>
        <v>560</v>
      </c>
      <c r="G3027" s="5">
        <f t="shared" si="95"/>
        <v>0.58392857142857146</v>
      </c>
    </row>
    <row r="3028" spans="1:7" ht="15.75" customHeight="1">
      <c r="A3028" s="4" t="s">
        <v>121</v>
      </c>
      <c r="B3028" s="1">
        <v>10.199999999999999</v>
      </c>
      <c r="C3028" s="1">
        <v>430</v>
      </c>
      <c r="D3028" s="1" t="s">
        <v>11</v>
      </c>
      <c r="E3028" s="1" t="s">
        <v>7</v>
      </c>
      <c r="F3028" s="1">
        <f t="shared" si="94"/>
        <v>1019.9999999999999</v>
      </c>
      <c r="G3028" s="5">
        <f t="shared" si="95"/>
        <v>0.42156862745098045</v>
      </c>
    </row>
    <row r="3029" spans="1:7" ht="15.75" customHeight="1">
      <c r="A3029" s="4" t="s">
        <v>121</v>
      </c>
      <c r="B3029" s="1">
        <v>6</v>
      </c>
      <c r="C3029" s="1">
        <v>375</v>
      </c>
      <c r="D3029" s="1" t="s">
        <v>39</v>
      </c>
      <c r="E3029" s="1" t="s">
        <v>26</v>
      </c>
      <c r="F3029" s="1">
        <f t="shared" si="94"/>
        <v>600</v>
      </c>
      <c r="G3029" s="5">
        <f t="shared" si="95"/>
        <v>0.625</v>
      </c>
    </row>
    <row r="3030" spans="1:7" ht="15.75" customHeight="1">
      <c r="A3030" s="4" t="s">
        <v>121</v>
      </c>
      <c r="B3030" s="1">
        <v>4.7300000000000004</v>
      </c>
      <c r="C3030" s="1">
        <v>250</v>
      </c>
      <c r="D3030" s="1" t="s">
        <v>39</v>
      </c>
      <c r="E3030" s="1" t="s">
        <v>9</v>
      </c>
      <c r="F3030" s="1">
        <f t="shared" si="94"/>
        <v>473.00000000000006</v>
      </c>
      <c r="G3030" s="5">
        <f t="shared" si="95"/>
        <v>0.52854122621564481</v>
      </c>
    </row>
    <row r="3031" spans="1:7" ht="15.75" customHeight="1">
      <c r="A3031" s="4" t="s">
        <v>121</v>
      </c>
      <c r="B3031" s="1">
        <v>7.83</v>
      </c>
      <c r="C3031" s="1">
        <v>357</v>
      </c>
      <c r="D3031" s="1" t="s">
        <v>11</v>
      </c>
      <c r="E3031" s="1" t="s">
        <v>12</v>
      </c>
      <c r="F3031" s="1">
        <f t="shared" si="94"/>
        <v>783</v>
      </c>
      <c r="G3031" s="5">
        <f t="shared" si="95"/>
        <v>0.45593869731800768</v>
      </c>
    </row>
    <row r="3032" spans="1:7" ht="15.75" customHeight="1">
      <c r="A3032" s="4" t="s">
        <v>121</v>
      </c>
      <c r="B3032" s="1">
        <v>5.16</v>
      </c>
      <c r="C3032" s="1">
        <v>249</v>
      </c>
      <c r="D3032" s="1" t="s">
        <v>48</v>
      </c>
      <c r="E3032" s="1" t="s">
        <v>30</v>
      </c>
      <c r="F3032" s="1">
        <f t="shared" si="94"/>
        <v>516</v>
      </c>
      <c r="G3032" s="5">
        <f t="shared" si="95"/>
        <v>0.48255813953488375</v>
      </c>
    </row>
    <row r="3033" spans="1:7" ht="15.75" customHeight="1">
      <c r="A3033" s="4" t="s">
        <v>121</v>
      </c>
      <c r="B3033" s="1">
        <v>6</v>
      </c>
      <c r="C3033" s="1">
        <v>256</v>
      </c>
      <c r="D3033" s="1" t="s">
        <v>33</v>
      </c>
      <c r="E3033" s="1" t="s">
        <v>15</v>
      </c>
      <c r="F3033" s="1">
        <f t="shared" si="94"/>
        <v>600</v>
      </c>
      <c r="G3033" s="5">
        <f t="shared" si="95"/>
        <v>0.42666666666666669</v>
      </c>
    </row>
    <row r="3034" spans="1:7" ht="15.75" customHeight="1">
      <c r="A3034" s="4" t="s">
        <v>121</v>
      </c>
      <c r="B3034" s="1">
        <v>6</v>
      </c>
      <c r="C3034" s="1">
        <v>330</v>
      </c>
      <c r="D3034" s="1" t="s">
        <v>53</v>
      </c>
      <c r="E3034" s="1" t="s">
        <v>15</v>
      </c>
      <c r="F3034" s="1">
        <f t="shared" si="94"/>
        <v>600</v>
      </c>
      <c r="G3034" s="5">
        <f t="shared" si="95"/>
        <v>0.55000000000000004</v>
      </c>
    </row>
    <row r="3035" spans="1:7" ht="15.75" customHeight="1">
      <c r="A3035" s="4" t="s">
        <v>121</v>
      </c>
      <c r="B3035" s="1">
        <v>6.5</v>
      </c>
      <c r="C3035" s="1">
        <v>361</v>
      </c>
      <c r="D3035" s="1" t="s">
        <v>39</v>
      </c>
      <c r="E3035" s="1" t="s">
        <v>16</v>
      </c>
      <c r="F3035" s="1">
        <f t="shared" si="94"/>
        <v>650</v>
      </c>
      <c r="G3035" s="5">
        <f t="shared" si="95"/>
        <v>0.55538461538461537</v>
      </c>
    </row>
    <row r="3036" spans="1:7" ht="15.75" customHeight="1">
      <c r="A3036" s="4" t="s">
        <v>121</v>
      </c>
      <c r="B3036" s="1">
        <v>3.96</v>
      </c>
      <c r="C3036" s="1">
        <v>208</v>
      </c>
      <c r="D3036" s="1" t="s">
        <v>39</v>
      </c>
      <c r="E3036" s="1" t="s">
        <v>21</v>
      </c>
      <c r="F3036" s="1">
        <f t="shared" si="94"/>
        <v>396</v>
      </c>
      <c r="G3036" s="5">
        <f t="shared" si="95"/>
        <v>0.5252525252525253</v>
      </c>
    </row>
    <row r="3037" spans="1:7" ht="15.75" customHeight="1">
      <c r="A3037" s="4" t="s">
        <v>121</v>
      </c>
      <c r="B3037" s="1">
        <v>6.02</v>
      </c>
      <c r="C3037" s="1">
        <v>282</v>
      </c>
      <c r="D3037" s="1" t="s">
        <v>47</v>
      </c>
      <c r="E3037" s="1" t="s">
        <v>19</v>
      </c>
      <c r="F3037" s="1">
        <f t="shared" si="94"/>
        <v>602</v>
      </c>
      <c r="G3037" s="5">
        <f t="shared" si="95"/>
        <v>0.46843853820598008</v>
      </c>
    </row>
    <row r="3038" spans="1:7" ht="15.75" customHeight="1">
      <c r="A3038" s="4" t="s">
        <v>121</v>
      </c>
      <c r="B3038" s="1">
        <v>4.3499999999999996</v>
      </c>
      <c r="C3038" s="1">
        <v>220</v>
      </c>
      <c r="D3038" s="1" t="s">
        <v>11</v>
      </c>
      <c r="E3038" s="1" t="s">
        <v>8</v>
      </c>
      <c r="F3038" s="1">
        <f t="shared" si="94"/>
        <v>434.99999999999994</v>
      </c>
      <c r="G3038" s="5">
        <f t="shared" si="95"/>
        <v>0.50574712643678166</v>
      </c>
    </row>
    <row r="3039" spans="1:7" ht="15.75" customHeight="1">
      <c r="A3039" s="4" t="s">
        <v>121</v>
      </c>
      <c r="B3039" s="1">
        <v>7.6</v>
      </c>
      <c r="C3039" s="1">
        <v>365</v>
      </c>
      <c r="D3039" s="1" t="s">
        <v>52</v>
      </c>
      <c r="E3039" s="1" t="s">
        <v>25</v>
      </c>
      <c r="F3039" s="1">
        <f t="shared" si="94"/>
        <v>760</v>
      </c>
      <c r="G3039" s="5">
        <f t="shared" si="95"/>
        <v>0.48026315789473684</v>
      </c>
    </row>
    <row r="3040" spans="1:7" ht="15.75" customHeight="1">
      <c r="A3040" s="4" t="s">
        <v>121</v>
      </c>
      <c r="B3040" s="1">
        <v>6.24</v>
      </c>
      <c r="C3040" s="1">
        <v>193</v>
      </c>
      <c r="D3040" s="1" t="s">
        <v>33</v>
      </c>
      <c r="E3040" s="1" t="s">
        <v>15</v>
      </c>
      <c r="F3040" s="1">
        <f t="shared" ref="F3040:F3103" si="96">B3040*100</f>
        <v>624</v>
      </c>
      <c r="G3040" s="5">
        <f t="shared" si="95"/>
        <v>0.30929487179487181</v>
      </c>
    </row>
    <row r="3041" spans="1:7" ht="15.75" customHeight="1">
      <c r="A3041" s="4" t="s">
        <v>121</v>
      </c>
      <c r="B3041" s="1">
        <v>4.9000000000000004</v>
      </c>
      <c r="C3041" s="1">
        <v>186</v>
      </c>
      <c r="D3041" s="1" t="s">
        <v>11</v>
      </c>
      <c r="E3041" s="1" t="s">
        <v>25</v>
      </c>
      <c r="F3041" s="1">
        <f t="shared" si="96"/>
        <v>490.00000000000006</v>
      </c>
      <c r="G3041" s="5">
        <f t="shared" si="95"/>
        <v>0.37959183673469382</v>
      </c>
    </row>
    <row r="3042" spans="1:7" ht="15.75" customHeight="1">
      <c r="A3042" s="4" t="s">
        <v>121</v>
      </c>
      <c r="B3042" s="1">
        <v>7.5</v>
      </c>
      <c r="C3042" s="1">
        <v>380</v>
      </c>
      <c r="D3042" s="1" t="s">
        <v>43</v>
      </c>
      <c r="E3042" s="1" t="s">
        <v>17</v>
      </c>
      <c r="F3042" s="1">
        <f t="shared" si="96"/>
        <v>750</v>
      </c>
      <c r="G3042" s="5">
        <f t="shared" si="95"/>
        <v>0.50666666666666671</v>
      </c>
    </row>
    <row r="3043" spans="1:7" ht="15.75" customHeight="1">
      <c r="A3043" s="4" t="s">
        <v>121</v>
      </c>
      <c r="B3043" s="1">
        <v>6.96</v>
      </c>
      <c r="C3043" s="1">
        <v>382</v>
      </c>
      <c r="D3043" s="1" t="s">
        <v>11</v>
      </c>
      <c r="E3043" s="1" t="s">
        <v>18</v>
      </c>
      <c r="F3043" s="1">
        <f t="shared" si="96"/>
        <v>696</v>
      </c>
      <c r="G3043" s="5">
        <f t="shared" si="95"/>
        <v>0.54885057471264365</v>
      </c>
    </row>
    <row r="3044" spans="1:7" ht="15.75" customHeight="1">
      <c r="A3044" s="4" t="s">
        <v>121</v>
      </c>
      <c r="B3044" s="1">
        <v>6.56</v>
      </c>
      <c r="C3044" s="1">
        <v>296</v>
      </c>
      <c r="D3044" s="1" t="s">
        <v>11</v>
      </c>
      <c r="E3044" s="1" t="s">
        <v>18</v>
      </c>
      <c r="F3044" s="1">
        <f t="shared" si="96"/>
        <v>656</v>
      </c>
      <c r="G3044" s="5">
        <f t="shared" si="95"/>
        <v>0.45121951219512196</v>
      </c>
    </row>
    <row r="3045" spans="1:7" ht="15.75" customHeight="1">
      <c r="A3045" s="4" t="s">
        <v>121</v>
      </c>
      <c r="B3045" s="1">
        <v>8.9</v>
      </c>
      <c r="C3045" s="1">
        <v>478</v>
      </c>
      <c r="D3045" s="1" t="s">
        <v>43</v>
      </c>
      <c r="E3045" s="1" t="s">
        <v>17</v>
      </c>
      <c r="F3045" s="1">
        <f t="shared" si="96"/>
        <v>890</v>
      </c>
      <c r="G3045" s="5">
        <f t="shared" si="95"/>
        <v>0.53707865168539326</v>
      </c>
    </row>
    <row r="3046" spans="1:7" ht="15.75" customHeight="1">
      <c r="A3046" s="4" t="s">
        <v>121</v>
      </c>
      <c r="B3046" s="1">
        <v>9.1</v>
      </c>
      <c r="C3046" s="1">
        <v>451</v>
      </c>
      <c r="D3046" s="1" t="s">
        <v>38</v>
      </c>
      <c r="E3046" s="1" t="s">
        <v>14</v>
      </c>
      <c r="F3046" s="1">
        <f t="shared" si="96"/>
        <v>910</v>
      </c>
      <c r="G3046" s="5">
        <f t="shared" si="95"/>
        <v>0.49560439560439562</v>
      </c>
    </row>
    <row r="3047" spans="1:7" ht="15.75" customHeight="1">
      <c r="A3047" s="4" t="s">
        <v>121</v>
      </c>
      <c r="B3047" s="1">
        <v>7.92</v>
      </c>
      <c r="C3047" s="1">
        <v>284</v>
      </c>
      <c r="D3047" s="1" t="s">
        <v>53</v>
      </c>
      <c r="E3047" s="1" t="s">
        <v>16</v>
      </c>
      <c r="F3047" s="1">
        <f t="shared" si="96"/>
        <v>792</v>
      </c>
      <c r="G3047" s="5">
        <f t="shared" si="95"/>
        <v>0.35858585858585856</v>
      </c>
    </row>
    <row r="3048" spans="1:7" ht="15.75" customHeight="1">
      <c r="A3048" s="4" t="s">
        <v>121</v>
      </c>
      <c r="B3048" s="1">
        <v>4.5999999999999996</v>
      </c>
      <c r="C3048" s="1">
        <v>239</v>
      </c>
      <c r="D3048" s="1" t="s">
        <v>11</v>
      </c>
      <c r="E3048" s="1" t="s">
        <v>9</v>
      </c>
      <c r="F3048" s="1">
        <f t="shared" si="96"/>
        <v>459.99999999999994</v>
      </c>
      <c r="G3048" s="5">
        <f t="shared" si="95"/>
        <v>0.51956521739130446</v>
      </c>
    </row>
    <row r="3049" spans="1:7" ht="15.75" customHeight="1">
      <c r="A3049" s="4" t="s">
        <v>121</v>
      </c>
      <c r="B3049" s="1">
        <v>8.6999999999999993</v>
      </c>
      <c r="C3049" s="1">
        <v>384</v>
      </c>
      <c r="D3049" s="1" t="s">
        <v>33</v>
      </c>
      <c r="E3049" s="1" t="s">
        <v>26</v>
      </c>
      <c r="F3049" s="1">
        <f t="shared" si="96"/>
        <v>869.99999999999989</v>
      </c>
      <c r="G3049" s="5">
        <f t="shared" si="95"/>
        <v>0.44137931034482764</v>
      </c>
    </row>
    <row r="3050" spans="1:7" ht="15.75" customHeight="1">
      <c r="A3050" s="4" t="s">
        <v>121</v>
      </c>
      <c r="B3050" s="1">
        <v>7.8</v>
      </c>
      <c r="C3050" s="1">
        <v>351</v>
      </c>
      <c r="D3050" s="1" t="s">
        <v>11</v>
      </c>
      <c r="E3050" s="1" t="s">
        <v>10</v>
      </c>
      <c r="F3050" s="1">
        <f t="shared" si="96"/>
        <v>780</v>
      </c>
      <c r="G3050" s="5">
        <f t="shared" si="95"/>
        <v>0.45</v>
      </c>
    </row>
    <row r="3051" spans="1:7" ht="15.75" customHeight="1">
      <c r="A3051" s="4" t="s">
        <v>121</v>
      </c>
      <c r="B3051" s="1">
        <v>6.8</v>
      </c>
      <c r="C3051" s="1">
        <v>282</v>
      </c>
      <c r="D3051" s="1" t="s">
        <v>11</v>
      </c>
      <c r="E3051" s="1" t="s">
        <v>7</v>
      </c>
      <c r="F3051" s="1">
        <f t="shared" si="96"/>
        <v>680</v>
      </c>
      <c r="G3051" s="5">
        <f t="shared" si="95"/>
        <v>0.4147058823529412</v>
      </c>
    </row>
    <row r="3052" spans="1:7" ht="15.75" customHeight="1">
      <c r="A3052" s="4" t="s">
        <v>121</v>
      </c>
      <c r="B3052" s="1">
        <v>6.96</v>
      </c>
      <c r="C3052" s="1">
        <v>428</v>
      </c>
      <c r="D3052" s="1" t="s">
        <v>38</v>
      </c>
      <c r="E3052" s="1" t="s">
        <v>15</v>
      </c>
      <c r="F3052" s="1">
        <f t="shared" si="96"/>
        <v>696</v>
      </c>
      <c r="G3052" s="5">
        <f t="shared" si="95"/>
        <v>0.61494252873563215</v>
      </c>
    </row>
    <row r="3053" spans="1:7" ht="15.75" customHeight="1">
      <c r="A3053" s="4" t="s">
        <v>121</v>
      </c>
      <c r="B3053" s="1">
        <v>6.66</v>
      </c>
      <c r="C3053" s="1">
        <v>5.2</v>
      </c>
      <c r="D3053" s="1" t="s">
        <v>11</v>
      </c>
      <c r="E3053" s="1" t="s">
        <v>41</v>
      </c>
      <c r="F3053" s="1">
        <f t="shared" si="96"/>
        <v>666</v>
      </c>
      <c r="G3053" s="5">
        <f t="shared" si="95"/>
        <v>7.8078078078078084E-3</v>
      </c>
    </row>
    <row r="3054" spans="1:7" ht="15.75" customHeight="1">
      <c r="A3054" s="4" t="s">
        <v>121</v>
      </c>
      <c r="B3054" s="1">
        <v>3.9</v>
      </c>
      <c r="C3054" s="1">
        <v>260</v>
      </c>
      <c r="D3054" s="1" t="s">
        <v>43</v>
      </c>
      <c r="E3054" s="1" t="s">
        <v>8</v>
      </c>
      <c r="F3054" s="1">
        <f t="shared" si="96"/>
        <v>390</v>
      </c>
      <c r="G3054" s="5">
        <f t="shared" si="95"/>
        <v>0.66666666666666663</v>
      </c>
    </row>
    <row r="3055" spans="1:7" ht="15.75" customHeight="1">
      <c r="A3055" s="4" t="s">
        <v>121</v>
      </c>
      <c r="B3055" s="1">
        <v>7</v>
      </c>
      <c r="C3055" s="1">
        <v>388</v>
      </c>
      <c r="D3055" s="1" t="s">
        <v>44</v>
      </c>
      <c r="E3055" s="1" t="s">
        <v>22</v>
      </c>
      <c r="F3055" s="1">
        <f t="shared" si="96"/>
        <v>700</v>
      </c>
      <c r="G3055" s="5">
        <f t="shared" si="95"/>
        <v>0.55428571428571427</v>
      </c>
    </row>
    <row r="3056" spans="1:7" ht="15.75" customHeight="1">
      <c r="A3056" s="4" t="s">
        <v>121</v>
      </c>
      <c r="B3056" s="1">
        <v>3.48</v>
      </c>
      <c r="C3056" s="1">
        <v>236</v>
      </c>
      <c r="D3056" s="1" t="s">
        <v>11</v>
      </c>
      <c r="E3056" s="1" t="s">
        <v>16</v>
      </c>
      <c r="F3056" s="1">
        <f t="shared" si="96"/>
        <v>348</v>
      </c>
      <c r="G3056" s="5">
        <f t="shared" si="95"/>
        <v>0.67816091954022983</v>
      </c>
    </row>
    <row r="3057" spans="1:9" ht="15.75" customHeight="1">
      <c r="A3057" s="4" t="s">
        <v>121</v>
      </c>
      <c r="B3057" s="1">
        <v>7.3949999999999996</v>
      </c>
      <c r="C3057" s="1">
        <v>211</v>
      </c>
      <c r="D3057" s="1" t="s">
        <v>33</v>
      </c>
      <c r="E3057" s="1" t="s">
        <v>14</v>
      </c>
      <c r="F3057" s="1">
        <f t="shared" si="96"/>
        <v>739.5</v>
      </c>
      <c r="G3057" s="5">
        <f t="shared" si="95"/>
        <v>0.28532792427315756</v>
      </c>
    </row>
    <row r="3058" spans="1:9" ht="15.75" customHeight="1">
      <c r="A3058" s="4" t="s">
        <v>121</v>
      </c>
      <c r="B3058" s="1">
        <v>5.9</v>
      </c>
      <c r="C3058" s="1">
        <v>318</v>
      </c>
      <c r="D3058" s="1" t="s">
        <v>11</v>
      </c>
      <c r="E3058" s="1" t="s">
        <v>32</v>
      </c>
      <c r="F3058" s="1">
        <f t="shared" si="96"/>
        <v>590</v>
      </c>
      <c r="G3058" s="5">
        <f t="shared" si="95"/>
        <v>0.53898305084745768</v>
      </c>
    </row>
    <row r="3059" spans="1:9" ht="15.75" customHeight="1">
      <c r="A3059" s="4" t="s">
        <v>121</v>
      </c>
      <c r="B3059" s="1">
        <v>6.9</v>
      </c>
      <c r="C3059" s="1">
        <v>331</v>
      </c>
      <c r="D3059" s="1" t="s">
        <v>38</v>
      </c>
      <c r="E3059" s="1" t="s">
        <v>8</v>
      </c>
      <c r="F3059" s="1">
        <f t="shared" si="96"/>
        <v>690</v>
      </c>
      <c r="G3059" s="5">
        <f t="shared" si="95"/>
        <v>0.47971014492753622</v>
      </c>
    </row>
    <row r="3060" spans="1:9" ht="15.75" customHeight="1">
      <c r="A3060" s="4" t="s">
        <v>121</v>
      </c>
      <c r="B3060" s="1">
        <v>5.2</v>
      </c>
      <c r="C3060" s="1">
        <v>356</v>
      </c>
      <c r="D3060" s="1" t="s">
        <v>11</v>
      </c>
      <c r="E3060" s="1" t="s">
        <v>16</v>
      </c>
      <c r="F3060" s="1">
        <f t="shared" si="96"/>
        <v>520</v>
      </c>
      <c r="G3060" s="5">
        <f t="shared" si="95"/>
        <v>0.68461538461538463</v>
      </c>
    </row>
    <row r="3061" spans="1:9" ht="15.75" customHeight="1">
      <c r="A3061" s="4" t="s">
        <v>121</v>
      </c>
      <c r="B3061" s="1">
        <v>6</v>
      </c>
      <c r="C3061" s="1">
        <v>189</v>
      </c>
      <c r="D3061" s="1" t="s">
        <v>70</v>
      </c>
      <c r="E3061" s="1" t="s">
        <v>18</v>
      </c>
      <c r="F3061" s="1">
        <f t="shared" si="96"/>
        <v>600</v>
      </c>
      <c r="G3061" s="5">
        <f t="shared" si="95"/>
        <v>0.315</v>
      </c>
    </row>
    <row r="3062" spans="1:9" ht="15.75" customHeight="1">
      <c r="A3062" s="4" t="s">
        <v>121</v>
      </c>
      <c r="B3062" s="1">
        <v>6.6</v>
      </c>
      <c r="C3062" s="1">
        <v>420</v>
      </c>
      <c r="D3062" s="1" t="s">
        <v>39</v>
      </c>
      <c r="E3062" s="1" t="s">
        <v>26</v>
      </c>
      <c r="F3062" s="1">
        <f t="shared" si="96"/>
        <v>660</v>
      </c>
      <c r="G3062" s="5">
        <f t="shared" si="95"/>
        <v>0.63636363636363635</v>
      </c>
    </row>
    <row r="3063" spans="1:9" ht="15.75" customHeight="1">
      <c r="A3063" s="4" t="s">
        <v>121</v>
      </c>
      <c r="B3063" s="1">
        <v>4.8</v>
      </c>
      <c r="C3063" s="1">
        <v>331</v>
      </c>
      <c r="D3063" s="1" t="s">
        <v>11</v>
      </c>
      <c r="E3063" s="1" t="s">
        <v>15</v>
      </c>
      <c r="F3063" s="1">
        <f t="shared" si="96"/>
        <v>480</v>
      </c>
      <c r="G3063" s="5">
        <f t="shared" si="95"/>
        <v>0.68958333333333333</v>
      </c>
    </row>
    <row r="3064" spans="1:9" ht="15.75" customHeight="1">
      <c r="A3064" s="4" t="s">
        <v>121</v>
      </c>
      <c r="B3064" s="1">
        <v>6.13</v>
      </c>
      <c r="C3064" s="1">
        <v>218.2</v>
      </c>
      <c r="D3064" s="1" t="s">
        <v>40</v>
      </c>
      <c r="E3064" s="1" t="s">
        <v>17</v>
      </c>
      <c r="F3064" s="1">
        <f t="shared" si="96"/>
        <v>613</v>
      </c>
      <c r="G3064" s="5">
        <f t="shared" si="95"/>
        <v>0.35595432300163132</v>
      </c>
    </row>
    <row r="3065" spans="1:9" ht="15.75" customHeight="1">
      <c r="A3065" s="4" t="s">
        <v>121</v>
      </c>
      <c r="B3065" s="1">
        <v>6.3</v>
      </c>
      <c r="C3065" s="1">
        <v>832</v>
      </c>
      <c r="D3065" s="1" t="s">
        <v>42</v>
      </c>
      <c r="E3065" s="1" t="s">
        <v>10</v>
      </c>
      <c r="F3065" s="1">
        <f t="shared" si="96"/>
        <v>630</v>
      </c>
      <c r="G3065" s="5">
        <f t="shared" si="95"/>
        <v>1.3206349206349206</v>
      </c>
    </row>
    <row r="3066" spans="1:9" ht="15.75" customHeight="1">
      <c r="A3066" s="4" t="s">
        <v>121</v>
      </c>
      <c r="B3066" s="1">
        <v>5.39</v>
      </c>
      <c r="C3066" s="1">
        <v>391</v>
      </c>
      <c r="D3066" s="1" t="s">
        <v>11</v>
      </c>
      <c r="E3066" s="1" t="s">
        <v>26</v>
      </c>
      <c r="F3066" s="1">
        <f t="shared" si="96"/>
        <v>539</v>
      </c>
      <c r="G3066" s="5">
        <f t="shared" si="95"/>
        <v>0.72541743970315398</v>
      </c>
    </row>
    <row r="3067" spans="1:9" ht="15.75" customHeight="1">
      <c r="A3067" s="4" t="s">
        <v>121</v>
      </c>
      <c r="B3067" s="1">
        <v>7.74</v>
      </c>
      <c r="C3067" s="1">
        <v>494</v>
      </c>
      <c r="D3067" s="1" t="s">
        <v>11</v>
      </c>
      <c r="E3067" s="1" t="s">
        <v>29</v>
      </c>
      <c r="F3067" s="1">
        <f t="shared" si="96"/>
        <v>774</v>
      </c>
      <c r="G3067" s="5">
        <f t="shared" si="95"/>
        <v>0.63824289405684753</v>
      </c>
    </row>
    <row r="3068" spans="1:9" ht="15.75" customHeight="1">
      <c r="A3068" s="4" t="s">
        <v>121</v>
      </c>
      <c r="B3068" s="1">
        <v>9.5</v>
      </c>
      <c r="C3068" s="1">
        <v>337</v>
      </c>
      <c r="D3068" s="1" t="s">
        <v>79</v>
      </c>
      <c r="E3068" s="1" t="s">
        <v>8</v>
      </c>
      <c r="F3068" s="1">
        <f t="shared" si="96"/>
        <v>950</v>
      </c>
      <c r="G3068" s="5">
        <f t="shared" si="95"/>
        <v>0.35473684210526318</v>
      </c>
      <c r="I3068">
        <f>AVERAGE(G2:G3068)</f>
        <v>0.85626920661720274</v>
      </c>
    </row>
    <row r="3069" spans="1:9" ht="15.75" customHeight="1">
      <c r="A3069" s="4" t="s">
        <v>121</v>
      </c>
      <c r="B3069" s="1">
        <v>5.6</v>
      </c>
      <c r="C3069" s="1">
        <v>150</v>
      </c>
      <c r="D3069" s="1" t="s">
        <v>33</v>
      </c>
      <c r="E3069" s="1" t="s">
        <v>29</v>
      </c>
      <c r="F3069" s="1">
        <f t="shared" si="96"/>
        <v>560</v>
      </c>
      <c r="G3069" s="5">
        <f t="shared" si="95"/>
        <v>0.26785714285714285</v>
      </c>
    </row>
    <row r="3070" spans="1:9" ht="15.75" customHeight="1">
      <c r="A3070" s="4" t="s">
        <v>121</v>
      </c>
      <c r="B3070" s="1">
        <v>3.48</v>
      </c>
      <c r="C3070" s="1">
        <v>162</v>
      </c>
      <c r="D3070" s="1" t="s">
        <v>47</v>
      </c>
      <c r="E3070" s="1" t="s">
        <v>7</v>
      </c>
      <c r="F3070" s="1">
        <f t="shared" si="96"/>
        <v>348</v>
      </c>
      <c r="G3070" s="5">
        <f t="shared" si="95"/>
        <v>0.46551724137931033</v>
      </c>
    </row>
    <row r="3071" spans="1:9" ht="15.75" customHeight="1">
      <c r="A3071" s="4" t="s">
        <v>121</v>
      </c>
      <c r="B3071" s="1">
        <v>7.5</v>
      </c>
      <c r="C3071" s="1">
        <v>393</v>
      </c>
      <c r="D3071" s="1" t="s">
        <v>42</v>
      </c>
      <c r="E3071" s="1" t="s">
        <v>8</v>
      </c>
      <c r="F3071" s="1">
        <f t="shared" si="96"/>
        <v>750</v>
      </c>
      <c r="G3071" s="5">
        <f t="shared" si="95"/>
        <v>0.52400000000000002</v>
      </c>
    </row>
    <row r="3072" spans="1:9" ht="15.75" customHeight="1">
      <c r="A3072" s="4" t="s">
        <v>122</v>
      </c>
      <c r="B3072" s="1">
        <v>5.39</v>
      </c>
      <c r="C3072" s="1">
        <v>134</v>
      </c>
      <c r="D3072" s="1" t="s">
        <v>44</v>
      </c>
      <c r="E3072" s="1" t="s">
        <v>15</v>
      </c>
      <c r="F3072" s="1">
        <f t="shared" si="96"/>
        <v>539</v>
      </c>
      <c r="G3072" s="5">
        <f t="shared" si="95"/>
        <v>0.24860853432282004</v>
      </c>
    </row>
    <row r="3073" spans="1:7" ht="15.75" customHeight="1">
      <c r="A3073" s="4" t="s">
        <v>122</v>
      </c>
      <c r="B3073" s="1">
        <v>6</v>
      </c>
      <c r="C3073" s="1">
        <v>107</v>
      </c>
      <c r="D3073" s="1" t="s">
        <v>33</v>
      </c>
      <c r="E3073" s="1" t="s">
        <v>16</v>
      </c>
      <c r="F3073" s="1">
        <f t="shared" si="96"/>
        <v>600</v>
      </c>
      <c r="G3073" s="5">
        <f t="shared" si="95"/>
        <v>0.17833333333333334</v>
      </c>
    </row>
    <row r="3074" spans="1:7" ht="15.75" customHeight="1">
      <c r="A3074" s="4" t="s">
        <v>122</v>
      </c>
      <c r="B3074" s="1">
        <v>7.56</v>
      </c>
      <c r="C3074" s="1">
        <v>77</v>
      </c>
      <c r="D3074" s="1" t="s">
        <v>11</v>
      </c>
      <c r="E3074" s="1" t="s">
        <v>7</v>
      </c>
      <c r="F3074" s="1">
        <f t="shared" si="96"/>
        <v>756</v>
      </c>
      <c r="G3074" s="5">
        <f t="shared" ref="G3074:G3137" si="97">C3074/F3074</f>
        <v>0.10185185185185185</v>
      </c>
    </row>
    <row r="3075" spans="1:7" ht="15.75" customHeight="1">
      <c r="A3075" s="4" t="s">
        <v>122</v>
      </c>
      <c r="B3075" s="1">
        <v>8.6999999999999993</v>
      </c>
      <c r="C3075" s="1">
        <v>285</v>
      </c>
      <c r="D3075" s="1" t="s">
        <v>11</v>
      </c>
      <c r="E3075" s="1" t="s">
        <v>10</v>
      </c>
      <c r="F3075" s="1">
        <f t="shared" si="96"/>
        <v>869.99999999999989</v>
      </c>
      <c r="G3075" s="5">
        <f t="shared" si="97"/>
        <v>0.32758620689655177</v>
      </c>
    </row>
    <row r="3076" spans="1:7" ht="15.75" customHeight="1">
      <c r="A3076" s="4" t="s">
        <v>122</v>
      </c>
      <c r="B3076" s="1">
        <v>6.88</v>
      </c>
      <c r="C3076" s="1">
        <v>78</v>
      </c>
      <c r="D3076" s="1" t="s">
        <v>33</v>
      </c>
      <c r="E3076" s="1" t="s">
        <v>10</v>
      </c>
      <c r="F3076" s="1">
        <f t="shared" si="96"/>
        <v>688</v>
      </c>
      <c r="G3076" s="5">
        <f t="shared" si="97"/>
        <v>0.11337209302325581</v>
      </c>
    </row>
    <row r="3077" spans="1:7" ht="15.75" customHeight="1">
      <c r="A3077" s="4" t="s">
        <v>122</v>
      </c>
      <c r="B3077" s="1">
        <v>4</v>
      </c>
      <c r="C3077" s="1">
        <v>67.19</v>
      </c>
      <c r="D3077" s="1" t="s">
        <v>43</v>
      </c>
      <c r="E3077" s="1" t="s">
        <v>22</v>
      </c>
      <c r="F3077" s="1">
        <f t="shared" si="96"/>
        <v>400</v>
      </c>
      <c r="G3077" s="5">
        <f t="shared" si="97"/>
        <v>0.16797499999999999</v>
      </c>
    </row>
    <row r="3078" spans="1:7" ht="15.75" customHeight="1">
      <c r="A3078" s="4" t="s">
        <v>122</v>
      </c>
      <c r="B3078" s="1">
        <v>6.8</v>
      </c>
      <c r="C3078" s="1">
        <v>140</v>
      </c>
      <c r="D3078" s="1" t="s">
        <v>11</v>
      </c>
      <c r="E3078" s="1" t="s">
        <v>23</v>
      </c>
      <c r="F3078" s="1">
        <f t="shared" si="96"/>
        <v>680</v>
      </c>
      <c r="G3078" s="5">
        <f t="shared" si="97"/>
        <v>0.20588235294117646</v>
      </c>
    </row>
    <row r="3079" spans="1:7" ht="15.75" customHeight="1">
      <c r="A3079" s="4" t="s">
        <v>122</v>
      </c>
      <c r="B3079" s="1">
        <v>6.5</v>
      </c>
      <c r="C3079" s="1">
        <v>160</v>
      </c>
      <c r="D3079" s="1" t="s">
        <v>39</v>
      </c>
      <c r="E3079" s="1" t="s">
        <v>16</v>
      </c>
      <c r="F3079" s="1">
        <f t="shared" si="96"/>
        <v>650</v>
      </c>
      <c r="G3079" s="5">
        <f t="shared" si="97"/>
        <v>0.24615384615384617</v>
      </c>
    </row>
    <row r="3080" spans="1:7" ht="15.75" customHeight="1">
      <c r="A3080" s="4" t="s">
        <v>122</v>
      </c>
      <c r="B3080" s="1">
        <v>8.8000000000000007</v>
      </c>
      <c r="C3080" s="1">
        <v>218</v>
      </c>
      <c r="D3080" s="1" t="s">
        <v>111</v>
      </c>
      <c r="E3080" s="1" t="s">
        <v>32</v>
      </c>
      <c r="F3080" s="1">
        <f t="shared" si="96"/>
        <v>880.00000000000011</v>
      </c>
      <c r="G3080" s="5">
        <f t="shared" si="97"/>
        <v>0.24772727272727268</v>
      </c>
    </row>
    <row r="3081" spans="1:7" ht="15.75" customHeight="1">
      <c r="A3081" s="4" t="s">
        <v>122</v>
      </c>
      <c r="B3081" s="1">
        <v>6.88</v>
      </c>
      <c r="C3081" s="1">
        <v>109</v>
      </c>
      <c r="D3081" s="1" t="s">
        <v>53</v>
      </c>
      <c r="E3081" s="1" t="s">
        <v>16</v>
      </c>
      <c r="F3081" s="1">
        <f t="shared" si="96"/>
        <v>688</v>
      </c>
      <c r="G3081" s="5">
        <f t="shared" si="97"/>
        <v>0.15843023255813954</v>
      </c>
    </row>
    <row r="3082" spans="1:7" ht="15.75" customHeight="1">
      <c r="A3082" s="4" t="s">
        <v>122</v>
      </c>
      <c r="B3082" s="1">
        <v>10</v>
      </c>
      <c r="C3082" s="1">
        <v>131</v>
      </c>
      <c r="D3082" s="1" t="s">
        <v>111</v>
      </c>
      <c r="E3082" s="1" t="s">
        <v>27</v>
      </c>
      <c r="F3082" s="1">
        <f t="shared" si="96"/>
        <v>1000</v>
      </c>
      <c r="G3082" s="5">
        <f t="shared" si="97"/>
        <v>0.13100000000000001</v>
      </c>
    </row>
    <row r="3083" spans="1:7" ht="15.75" customHeight="1">
      <c r="A3083" s="4" t="s">
        <v>122</v>
      </c>
      <c r="B3083" s="1">
        <v>7.4</v>
      </c>
      <c r="C3083" s="1">
        <v>44</v>
      </c>
      <c r="D3083" s="1" t="s">
        <v>55</v>
      </c>
      <c r="E3083" s="1" t="s">
        <v>17</v>
      </c>
      <c r="F3083" s="1">
        <f t="shared" si="96"/>
        <v>740</v>
      </c>
      <c r="G3083" s="5">
        <f t="shared" si="97"/>
        <v>5.9459459459459463E-2</v>
      </c>
    </row>
    <row r="3084" spans="1:7" ht="15.75" customHeight="1">
      <c r="A3084" s="4" t="s">
        <v>122</v>
      </c>
      <c r="B3084" s="1">
        <v>4.3</v>
      </c>
      <c r="C3084" s="1">
        <v>103</v>
      </c>
      <c r="D3084" s="1" t="s">
        <v>11</v>
      </c>
      <c r="E3084" s="1" t="s">
        <v>12</v>
      </c>
      <c r="F3084" s="1">
        <f t="shared" si="96"/>
        <v>430</v>
      </c>
      <c r="G3084" s="5">
        <f t="shared" si="97"/>
        <v>0.23953488372093024</v>
      </c>
    </row>
    <row r="3085" spans="1:7" ht="15.75" customHeight="1">
      <c r="A3085" s="4" t="s">
        <v>122</v>
      </c>
      <c r="B3085" s="1">
        <v>8</v>
      </c>
      <c r="C3085" s="1">
        <v>190</v>
      </c>
      <c r="D3085" s="1" t="s">
        <v>11</v>
      </c>
      <c r="E3085" s="1" t="s">
        <v>22</v>
      </c>
      <c r="F3085" s="1">
        <f t="shared" si="96"/>
        <v>800</v>
      </c>
      <c r="G3085" s="5">
        <f t="shared" si="97"/>
        <v>0.23749999999999999</v>
      </c>
    </row>
    <row r="3086" spans="1:7" ht="15.75" customHeight="1">
      <c r="A3086" s="4" t="s">
        <v>122</v>
      </c>
      <c r="B3086" s="1">
        <v>6.4</v>
      </c>
      <c r="C3086" s="1">
        <v>117.6</v>
      </c>
      <c r="D3086" s="1" t="s">
        <v>35</v>
      </c>
      <c r="E3086" s="1" t="s">
        <v>18</v>
      </c>
      <c r="F3086" s="1">
        <f t="shared" si="96"/>
        <v>640</v>
      </c>
      <c r="G3086" s="5">
        <f t="shared" si="97"/>
        <v>0.18375</v>
      </c>
    </row>
    <row r="3087" spans="1:7" ht="15.75" customHeight="1">
      <c r="A3087" s="4" t="s">
        <v>122</v>
      </c>
      <c r="B3087" s="1">
        <v>7.92</v>
      </c>
      <c r="C3087" s="1">
        <v>235</v>
      </c>
      <c r="D3087" s="1" t="s">
        <v>11</v>
      </c>
      <c r="E3087" s="1" t="s">
        <v>30</v>
      </c>
      <c r="F3087" s="1">
        <f t="shared" si="96"/>
        <v>792</v>
      </c>
      <c r="G3087" s="5">
        <f t="shared" si="97"/>
        <v>0.29671717171717171</v>
      </c>
    </row>
    <row r="3088" spans="1:7" ht="15.75" customHeight="1">
      <c r="A3088" s="4" t="s">
        <v>122</v>
      </c>
      <c r="B3088" s="1">
        <v>6</v>
      </c>
      <c r="C3088" s="1">
        <v>144</v>
      </c>
      <c r="D3088" s="1" t="s">
        <v>11</v>
      </c>
      <c r="E3088" s="1" t="s">
        <v>8</v>
      </c>
      <c r="F3088" s="1">
        <f t="shared" si="96"/>
        <v>600</v>
      </c>
      <c r="G3088" s="5">
        <f t="shared" si="97"/>
        <v>0.24</v>
      </c>
    </row>
    <row r="3089" spans="1:7" ht="15.75" customHeight="1">
      <c r="A3089" s="4" t="s">
        <v>122</v>
      </c>
      <c r="B3089" s="1">
        <v>7.9</v>
      </c>
      <c r="C3089" s="1">
        <v>170</v>
      </c>
      <c r="D3089" s="1" t="s">
        <v>11</v>
      </c>
      <c r="E3089" s="1" t="s">
        <v>27</v>
      </c>
      <c r="F3089" s="1">
        <f t="shared" si="96"/>
        <v>790</v>
      </c>
      <c r="G3089" s="5">
        <f t="shared" si="97"/>
        <v>0.21518987341772153</v>
      </c>
    </row>
    <row r="3090" spans="1:7" ht="15.75" customHeight="1">
      <c r="A3090" s="4" t="s">
        <v>122</v>
      </c>
      <c r="B3090" s="1">
        <v>6.09</v>
      </c>
      <c r="C3090" s="1">
        <v>152</v>
      </c>
      <c r="D3090" s="1" t="s">
        <v>11</v>
      </c>
      <c r="E3090" s="1" t="s">
        <v>26</v>
      </c>
      <c r="F3090" s="1">
        <f t="shared" si="96"/>
        <v>609</v>
      </c>
      <c r="G3090" s="5">
        <f t="shared" si="97"/>
        <v>0.24958949096880131</v>
      </c>
    </row>
    <row r="3091" spans="1:7" ht="15.75" customHeight="1">
      <c r="A3091" s="4" t="s">
        <v>122</v>
      </c>
      <c r="B3091" s="1">
        <v>8.8000000000000007</v>
      </c>
      <c r="C3091" s="1">
        <v>98</v>
      </c>
      <c r="D3091" s="1" t="s">
        <v>35</v>
      </c>
      <c r="E3091" s="1" t="s">
        <v>20</v>
      </c>
      <c r="F3091" s="1">
        <f t="shared" si="96"/>
        <v>880.00000000000011</v>
      </c>
      <c r="G3091" s="5">
        <f t="shared" si="97"/>
        <v>0.11136363636363635</v>
      </c>
    </row>
    <row r="3092" spans="1:7" ht="15.75" customHeight="1">
      <c r="A3092" s="4" t="s">
        <v>122</v>
      </c>
      <c r="B3092" s="1">
        <v>6</v>
      </c>
      <c r="C3092" s="1">
        <v>87</v>
      </c>
      <c r="D3092" s="1" t="s">
        <v>11</v>
      </c>
      <c r="E3092" s="1" t="s">
        <v>12</v>
      </c>
      <c r="F3092" s="1">
        <f t="shared" si="96"/>
        <v>600</v>
      </c>
      <c r="G3092" s="5">
        <f t="shared" si="97"/>
        <v>0.14499999999999999</v>
      </c>
    </row>
    <row r="3093" spans="1:7" ht="15.75" customHeight="1">
      <c r="A3093" s="4" t="s">
        <v>122</v>
      </c>
      <c r="B3093" s="1">
        <v>7.2</v>
      </c>
      <c r="C3093" s="1">
        <v>115</v>
      </c>
      <c r="D3093" s="1" t="s">
        <v>33</v>
      </c>
      <c r="E3093" s="1" t="s">
        <v>15</v>
      </c>
      <c r="F3093" s="1">
        <f t="shared" si="96"/>
        <v>720</v>
      </c>
      <c r="G3093" s="5">
        <f t="shared" si="97"/>
        <v>0.15972222222222221</v>
      </c>
    </row>
    <row r="3094" spans="1:7" ht="15.75" customHeight="1">
      <c r="A3094" s="4" t="s">
        <v>122</v>
      </c>
      <c r="B3094" s="1">
        <v>8.1</v>
      </c>
      <c r="C3094" s="1">
        <v>183</v>
      </c>
      <c r="D3094" s="1" t="s">
        <v>42</v>
      </c>
      <c r="E3094" s="1" t="s">
        <v>10</v>
      </c>
      <c r="F3094" s="1">
        <f t="shared" si="96"/>
        <v>810</v>
      </c>
      <c r="G3094" s="5">
        <f t="shared" si="97"/>
        <v>0.22592592592592592</v>
      </c>
    </row>
    <row r="3095" spans="1:7" ht="15.75" customHeight="1">
      <c r="A3095" s="4" t="s">
        <v>122</v>
      </c>
      <c r="B3095" s="1">
        <v>4.9000000000000004</v>
      </c>
      <c r="C3095" s="1">
        <v>126</v>
      </c>
      <c r="D3095" s="1" t="s">
        <v>44</v>
      </c>
      <c r="E3095" s="1" t="s">
        <v>15</v>
      </c>
      <c r="F3095" s="1">
        <f t="shared" si="96"/>
        <v>490.00000000000006</v>
      </c>
      <c r="G3095" s="5">
        <f t="shared" si="97"/>
        <v>0.25714285714285712</v>
      </c>
    </row>
    <row r="3096" spans="1:7" ht="15.75" customHeight="1">
      <c r="A3096" s="4" t="s">
        <v>122</v>
      </c>
      <c r="B3096" s="1">
        <v>8.6999999999999993</v>
      </c>
      <c r="C3096" s="1">
        <v>139</v>
      </c>
      <c r="D3096" s="1" t="s">
        <v>33</v>
      </c>
      <c r="E3096" s="1" t="s">
        <v>26</v>
      </c>
      <c r="F3096" s="1">
        <f t="shared" si="96"/>
        <v>869.99999999999989</v>
      </c>
      <c r="G3096" s="5">
        <f t="shared" si="97"/>
        <v>0.15977011494252877</v>
      </c>
    </row>
    <row r="3097" spans="1:7" ht="15.75" customHeight="1">
      <c r="A3097" s="4" t="s">
        <v>122</v>
      </c>
      <c r="B3097" s="1">
        <v>3.915</v>
      </c>
      <c r="C3097" s="1">
        <v>1.95</v>
      </c>
      <c r="D3097" s="1" t="s">
        <v>35</v>
      </c>
      <c r="E3097" s="1" t="s">
        <v>10</v>
      </c>
      <c r="F3097" s="1">
        <f t="shared" si="96"/>
        <v>391.5</v>
      </c>
      <c r="G3097" s="5">
        <f t="shared" si="97"/>
        <v>4.9808429118773949E-3</v>
      </c>
    </row>
    <row r="3098" spans="1:7" ht="15.75" customHeight="1">
      <c r="A3098" s="4" t="s">
        <v>122</v>
      </c>
      <c r="B3098" s="1">
        <v>7.74</v>
      </c>
      <c r="C3098" s="1">
        <v>115.4</v>
      </c>
      <c r="D3098" s="1" t="s">
        <v>37</v>
      </c>
      <c r="E3098" s="1" t="s">
        <v>7</v>
      </c>
      <c r="F3098" s="1">
        <f t="shared" si="96"/>
        <v>774</v>
      </c>
      <c r="G3098" s="5">
        <f t="shared" si="97"/>
        <v>0.14909560723514212</v>
      </c>
    </row>
    <row r="3099" spans="1:7" ht="15.75" customHeight="1">
      <c r="A3099" s="4" t="s">
        <v>122</v>
      </c>
      <c r="B3099" s="1">
        <v>5</v>
      </c>
      <c r="C3099" s="1">
        <v>212</v>
      </c>
      <c r="D3099" s="1" t="s">
        <v>39</v>
      </c>
      <c r="E3099" s="1" t="s">
        <v>22</v>
      </c>
      <c r="F3099" s="1">
        <f t="shared" si="96"/>
        <v>500</v>
      </c>
      <c r="G3099" s="5">
        <f t="shared" si="97"/>
        <v>0.42399999999999999</v>
      </c>
    </row>
    <row r="3100" spans="1:7" ht="15.75" customHeight="1">
      <c r="A3100" s="4" t="s">
        <v>122</v>
      </c>
      <c r="B3100" s="1">
        <v>6.2</v>
      </c>
      <c r="C3100" s="1">
        <v>157</v>
      </c>
      <c r="D3100" s="1" t="s">
        <v>11</v>
      </c>
      <c r="E3100" s="1" t="s">
        <v>7</v>
      </c>
      <c r="F3100" s="1">
        <f t="shared" si="96"/>
        <v>620</v>
      </c>
      <c r="G3100" s="5">
        <f t="shared" si="97"/>
        <v>0.25322580645161291</v>
      </c>
    </row>
    <row r="3101" spans="1:7" ht="15.75" customHeight="1">
      <c r="A3101" s="4" t="s">
        <v>122</v>
      </c>
      <c r="B3101" s="1">
        <v>8</v>
      </c>
      <c r="C3101" s="1">
        <v>153</v>
      </c>
      <c r="D3101" s="1" t="s">
        <v>52</v>
      </c>
      <c r="E3101" s="1" t="s">
        <v>29</v>
      </c>
      <c r="F3101" s="1">
        <f t="shared" si="96"/>
        <v>800</v>
      </c>
      <c r="G3101" s="5">
        <f t="shared" si="97"/>
        <v>0.19125</v>
      </c>
    </row>
    <row r="3102" spans="1:7" ht="15.75" customHeight="1">
      <c r="A3102" s="4" t="s">
        <v>122</v>
      </c>
      <c r="B3102" s="1">
        <v>3.44</v>
      </c>
      <c r="C3102" s="1">
        <v>103</v>
      </c>
      <c r="D3102" s="1" t="s">
        <v>43</v>
      </c>
      <c r="E3102" s="1" t="s">
        <v>8</v>
      </c>
      <c r="F3102" s="1">
        <f t="shared" si="96"/>
        <v>344</v>
      </c>
      <c r="G3102" s="5">
        <f t="shared" si="97"/>
        <v>0.29941860465116277</v>
      </c>
    </row>
    <row r="3103" spans="1:7" ht="15.75" customHeight="1">
      <c r="A3103" s="4" t="s">
        <v>122</v>
      </c>
      <c r="B3103" s="1">
        <v>6.8</v>
      </c>
      <c r="C3103" s="1">
        <v>110</v>
      </c>
      <c r="D3103" s="1" t="s">
        <v>33</v>
      </c>
      <c r="E3103" s="1" t="s">
        <v>20</v>
      </c>
      <c r="F3103" s="1">
        <f t="shared" si="96"/>
        <v>680</v>
      </c>
      <c r="G3103" s="5">
        <f t="shared" si="97"/>
        <v>0.16176470588235295</v>
      </c>
    </row>
    <row r="3104" spans="1:7" ht="15.75" customHeight="1">
      <c r="A3104" s="4" t="s">
        <v>122</v>
      </c>
      <c r="B3104" s="1">
        <v>5.5</v>
      </c>
      <c r="C3104" s="1">
        <v>59</v>
      </c>
      <c r="D3104" s="1" t="s">
        <v>102</v>
      </c>
      <c r="E3104" s="1" t="s">
        <v>26</v>
      </c>
      <c r="F3104" s="1">
        <f t="shared" ref="F3104:F3167" si="98">B3104*100</f>
        <v>550</v>
      </c>
      <c r="G3104" s="5">
        <f t="shared" si="97"/>
        <v>0.10727272727272727</v>
      </c>
    </row>
    <row r="3105" spans="1:7" ht="15.75" customHeight="1">
      <c r="A3105" s="4" t="s">
        <v>122</v>
      </c>
      <c r="B3105" s="1">
        <v>5.6</v>
      </c>
      <c r="C3105" s="1">
        <v>63</v>
      </c>
      <c r="D3105" s="1" t="s">
        <v>33</v>
      </c>
      <c r="E3105" s="1" t="s">
        <v>9</v>
      </c>
      <c r="F3105" s="1">
        <f t="shared" si="98"/>
        <v>560</v>
      </c>
      <c r="G3105" s="5">
        <f t="shared" si="97"/>
        <v>0.1125</v>
      </c>
    </row>
    <row r="3106" spans="1:7" ht="15.75" customHeight="1">
      <c r="A3106" s="4" t="s">
        <v>122</v>
      </c>
      <c r="B3106" s="1">
        <v>5.4</v>
      </c>
      <c r="C3106" s="1">
        <v>161</v>
      </c>
      <c r="D3106" s="1" t="s">
        <v>38</v>
      </c>
      <c r="E3106" s="1" t="s">
        <v>8</v>
      </c>
      <c r="F3106" s="1">
        <f t="shared" si="98"/>
        <v>540</v>
      </c>
      <c r="G3106" s="5">
        <f t="shared" si="97"/>
        <v>0.29814814814814816</v>
      </c>
    </row>
    <row r="3107" spans="1:7" ht="15.75" customHeight="1">
      <c r="A3107" s="4" t="s">
        <v>122</v>
      </c>
      <c r="B3107" s="1">
        <v>7.8</v>
      </c>
      <c r="C3107" s="1">
        <v>166</v>
      </c>
      <c r="D3107" s="1" t="s">
        <v>11</v>
      </c>
      <c r="E3107" s="1" t="s">
        <v>8</v>
      </c>
      <c r="F3107" s="1">
        <f t="shared" si="98"/>
        <v>780</v>
      </c>
      <c r="G3107" s="5">
        <f t="shared" si="97"/>
        <v>0.21282051282051281</v>
      </c>
    </row>
    <row r="3108" spans="1:7" ht="15.75" customHeight="1">
      <c r="A3108" s="4" t="s">
        <v>122</v>
      </c>
      <c r="B3108" s="1">
        <v>6.02</v>
      </c>
      <c r="C3108" s="1">
        <v>107</v>
      </c>
      <c r="D3108" s="1" t="s">
        <v>38</v>
      </c>
      <c r="E3108" s="1" t="s">
        <v>8</v>
      </c>
      <c r="F3108" s="1">
        <f t="shared" si="98"/>
        <v>602</v>
      </c>
      <c r="G3108" s="5">
        <f t="shared" si="97"/>
        <v>0.17774086378737541</v>
      </c>
    </row>
    <row r="3109" spans="1:7" ht="15.75" customHeight="1">
      <c r="A3109" s="4" t="s">
        <v>122</v>
      </c>
      <c r="B3109" s="1">
        <v>9.68</v>
      </c>
      <c r="C3109" s="1">
        <v>205</v>
      </c>
      <c r="D3109" s="1" t="s">
        <v>47</v>
      </c>
      <c r="E3109" s="1" t="s">
        <v>29</v>
      </c>
      <c r="F3109" s="1">
        <f t="shared" si="98"/>
        <v>968</v>
      </c>
      <c r="G3109" s="5">
        <f t="shared" si="97"/>
        <v>0.21177685950413222</v>
      </c>
    </row>
    <row r="3110" spans="1:7" ht="15.75" customHeight="1">
      <c r="A3110" s="4" t="s">
        <v>122</v>
      </c>
      <c r="B3110" s="1">
        <v>6.44</v>
      </c>
      <c r="C3110" s="1">
        <v>133</v>
      </c>
      <c r="D3110" s="1" t="s">
        <v>42</v>
      </c>
      <c r="E3110" s="1" t="s">
        <v>18</v>
      </c>
      <c r="F3110" s="1">
        <f t="shared" si="98"/>
        <v>644</v>
      </c>
      <c r="G3110" s="5">
        <f t="shared" si="97"/>
        <v>0.20652173913043478</v>
      </c>
    </row>
    <row r="3111" spans="1:7" ht="15.75" customHeight="1">
      <c r="A3111" s="4" t="s">
        <v>122</v>
      </c>
      <c r="B3111" s="1">
        <v>3.3</v>
      </c>
      <c r="C3111" s="1">
        <v>46</v>
      </c>
      <c r="D3111" s="1" t="s">
        <v>39</v>
      </c>
      <c r="E3111" s="1" t="s">
        <v>27</v>
      </c>
      <c r="F3111" s="1">
        <f t="shared" si="98"/>
        <v>330</v>
      </c>
      <c r="G3111" s="5">
        <f t="shared" si="97"/>
        <v>0.1393939393939394</v>
      </c>
    </row>
    <row r="3112" spans="1:7" ht="15.75" customHeight="1">
      <c r="A3112" s="4" t="s">
        <v>122</v>
      </c>
      <c r="B3112" s="1">
        <v>5.16</v>
      </c>
      <c r="C3112" s="1">
        <v>84</v>
      </c>
      <c r="D3112" s="1" t="s">
        <v>48</v>
      </c>
      <c r="E3112" s="1" t="s">
        <v>30</v>
      </c>
      <c r="F3112" s="1">
        <f t="shared" si="98"/>
        <v>516</v>
      </c>
      <c r="G3112" s="5">
        <f t="shared" si="97"/>
        <v>0.16279069767441862</v>
      </c>
    </row>
    <row r="3113" spans="1:7" ht="15.75" customHeight="1">
      <c r="A3113" s="4" t="s">
        <v>122</v>
      </c>
      <c r="B3113" s="1">
        <v>3</v>
      </c>
      <c r="C3113" s="1">
        <v>78</v>
      </c>
      <c r="D3113" s="1" t="s">
        <v>38</v>
      </c>
      <c r="E3113" s="1" t="s">
        <v>15</v>
      </c>
      <c r="F3113" s="1">
        <f t="shared" si="98"/>
        <v>300</v>
      </c>
      <c r="G3113" s="5">
        <f t="shared" si="97"/>
        <v>0.26</v>
      </c>
    </row>
    <row r="3114" spans="1:7" ht="15.75" customHeight="1">
      <c r="A3114" s="4" t="s">
        <v>122</v>
      </c>
      <c r="B3114" s="1">
        <v>10</v>
      </c>
      <c r="C3114" s="1">
        <v>3</v>
      </c>
      <c r="D3114" s="1" t="s">
        <v>33</v>
      </c>
      <c r="E3114" s="1" t="s">
        <v>28</v>
      </c>
      <c r="F3114" s="1">
        <f t="shared" si="98"/>
        <v>1000</v>
      </c>
      <c r="G3114" s="5">
        <f t="shared" si="97"/>
        <v>3.0000000000000001E-3</v>
      </c>
    </row>
    <row r="3115" spans="1:7" ht="15.75" customHeight="1">
      <c r="A3115" s="4" t="s">
        <v>122</v>
      </c>
      <c r="B3115" s="1">
        <v>8</v>
      </c>
      <c r="C3115" s="1">
        <v>220</v>
      </c>
      <c r="D3115" s="1" t="s">
        <v>47</v>
      </c>
      <c r="E3115" s="1" t="s">
        <v>22</v>
      </c>
      <c r="F3115" s="1">
        <f t="shared" si="98"/>
        <v>800</v>
      </c>
      <c r="G3115" s="5">
        <f t="shared" si="97"/>
        <v>0.27500000000000002</v>
      </c>
    </row>
    <row r="3116" spans="1:7" ht="15.75" customHeight="1">
      <c r="A3116" s="4" t="s">
        <v>122</v>
      </c>
      <c r="B3116" s="1">
        <v>5.2</v>
      </c>
      <c r="C3116" s="1">
        <v>147</v>
      </c>
      <c r="D3116" s="1" t="s">
        <v>38</v>
      </c>
      <c r="E3116" s="1" t="s">
        <v>9</v>
      </c>
      <c r="F3116" s="1">
        <f t="shared" si="98"/>
        <v>520</v>
      </c>
      <c r="G3116" s="5">
        <f t="shared" si="97"/>
        <v>0.28269230769230769</v>
      </c>
    </row>
    <row r="3117" spans="1:7" ht="15.75" customHeight="1">
      <c r="A3117" s="4" t="s">
        <v>122</v>
      </c>
      <c r="B3117" s="1">
        <v>7.36</v>
      </c>
      <c r="C3117" s="1">
        <v>129</v>
      </c>
      <c r="D3117" s="1" t="s">
        <v>37</v>
      </c>
      <c r="E3117" s="1" t="s">
        <v>15</v>
      </c>
      <c r="F3117" s="1">
        <f t="shared" si="98"/>
        <v>736</v>
      </c>
      <c r="G3117" s="5">
        <f t="shared" si="97"/>
        <v>0.17527173913043478</v>
      </c>
    </row>
    <row r="3118" spans="1:7" ht="15.75" customHeight="1">
      <c r="A3118" s="4" t="s">
        <v>122</v>
      </c>
      <c r="B3118" s="1">
        <v>3.44</v>
      </c>
      <c r="C3118" s="1">
        <v>83</v>
      </c>
      <c r="D3118" s="1" t="s">
        <v>11</v>
      </c>
      <c r="E3118" s="1" t="s">
        <v>9</v>
      </c>
      <c r="F3118" s="1">
        <f t="shared" si="98"/>
        <v>344</v>
      </c>
      <c r="G3118" s="5">
        <f t="shared" si="97"/>
        <v>0.24127906976744187</v>
      </c>
    </row>
    <row r="3119" spans="1:7" ht="15.75" customHeight="1">
      <c r="A3119" s="4" t="s">
        <v>122</v>
      </c>
      <c r="B3119" s="1">
        <v>6.1</v>
      </c>
      <c r="C3119" s="1">
        <v>157</v>
      </c>
      <c r="D3119" s="1" t="s">
        <v>11</v>
      </c>
      <c r="E3119" s="1" t="s">
        <v>69</v>
      </c>
      <c r="F3119" s="1">
        <f t="shared" si="98"/>
        <v>610</v>
      </c>
      <c r="G3119" s="5">
        <f t="shared" si="97"/>
        <v>0.25737704918032789</v>
      </c>
    </row>
    <row r="3120" spans="1:7" ht="15.75" customHeight="1">
      <c r="A3120" s="4" t="s">
        <v>122</v>
      </c>
      <c r="B3120" s="1">
        <v>6.88</v>
      </c>
      <c r="C3120" s="1">
        <v>162</v>
      </c>
      <c r="D3120" s="1" t="s">
        <v>11</v>
      </c>
      <c r="E3120" s="1" t="s">
        <v>8</v>
      </c>
      <c r="F3120" s="1">
        <f t="shared" si="98"/>
        <v>688</v>
      </c>
      <c r="G3120" s="5">
        <f t="shared" si="97"/>
        <v>0.23546511627906977</v>
      </c>
    </row>
    <row r="3121" spans="1:7" ht="15.75" customHeight="1">
      <c r="A3121" s="4" t="s">
        <v>122</v>
      </c>
      <c r="B3121" s="1">
        <v>6.6</v>
      </c>
      <c r="C3121" s="1">
        <v>114</v>
      </c>
      <c r="D3121" s="1" t="s">
        <v>11</v>
      </c>
      <c r="E3121" s="1" t="s">
        <v>8</v>
      </c>
      <c r="F3121" s="1">
        <f t="shared" si="98"/>
        <v>660</v>
      </c>
      <c r="G3121" s="5">
        <f t="shared" si="97"/>
        <v>0.17272727272727273</v>
      </c>
    </row>
    <row r="3122" spans="1:7" ht="15.75" customHeight="1">
      <c r="A3122" s="4" t="s">
        <v>122</v>
      </c>
      <c r="B3122" s="1">
        <v>6</v>
      </c>
      <c r="C3122" s="1">
        <v>122</v>
      </c>
      <c r="D3122" s="1" t="s">
        <v>47</v>
      </c>
      <c r="E3122" s="1" t="s">
        <v>19</v>
      </c>
      <c r="F3122" s="1">
        <f t="shared" si="98"/>
        <v>600</v>
      </c>
      <c r="G3122" s="5">
        <f t="shared" si="97"/>
        <v>0.20333333333333334</v>
      </c>
    </row>
    <row r="3123" spans="1:7" ht="15.75" customHeight="1">
      <c r="A3123" s="4" t="s">
        <v>122</v>
      </c>
      <c r="B3123" s="1">
        <v>6.88</v>
      </c>
      <c r="C3123" s="1">
        <v>117</v>
      </c>
      <c r="D3123" s="1" t="s">
        <v>45</v>
      </c>
      <c r="E3123" s="1" t="s">
        <v>10</v>
      </c>
      <c r="F3123" s="1">
        <f t="shared" si="98"/>
        <v>688</v>
      </c>
      <c r="G3123" s="5">
        <f t="shared" si="97"/>
        <v>0.17005813953488372</v>
      </c>
    </row>
    <row r="3124" spans="1:7" ht="15.75" customHeight="1">
      <c r="A3124" s="4" t="s">
        <v>122</v>
      </c>
      <c r="B3124" s="1">
        <v>4.3</v>
      </c>
      <c r="C3124" s="1">
        <v>82</v>
      </c>
      <c r="D3124" s="1" t="s">
        <v>37</v>
      </c>
      <c r="E3124" s="1" t="s">
        <v>15</v>
      </c>
      <c r="F3124" s="1">
        <f t="shared" si="98"/>
        <v>430</v>
      </c>
      <c r="G3124" s="5">
        <f t="shared" si="97"/>
        <v>0.19069767441860466</v>
      </c>
    </row>
    <row r="3125" spans="1:7" ht="15.75" customHeight="1">
      <c r="A3125" s="4" t="s">
        <v>122</v>
      </c>
      <c r="B3125" s="1">
        <v>7.4</v>
      </c>
      <c r="C3125" s="1">
        <v>133</v>
      </c>
      <c r="D3125" s="1" t="s">
        <v>33</v>
      </c>
      <c r="E3125" s="1" t="s">
        <v>23</v>
      </c>
      <c r="F3125" s="1">
        <f t="shared" si="98"/>
        <v>740</v>
      </c>
      <c r="G3125" s="5">
        <f t="shared" si="97"/>
        <v>0.17972972972972973</v>
      </c>
    </row>
    <row r="3126" spans="1:7" ht="15.75" customHeight="1">
      <c r="A3126" s="4" t="s">
        <v>122</v>
      </c>
      <c r="B3126" s="1">
        <v>10</v>
      </c>
      <c r="C3126" s="1">
        <v>173</v>
      </c>
      <c r="D3126" s="1" t="s">
        <v>33</v>
      </c>
      <c r="E3126" s="1" t="s">
        <v>20</v>
      </c>
      <c r="F3126" s="1">
        <f t="shared" si="98"/>
        <v>1000</v>
      </c>
      <c r="G3126" s="5">
        <f t="shared" si="97"/>
        <v>0.17299999999999999</v>
      </c>
    </row>
    <row r="3127" spans="1:7" ht="15.75" customHeight="1">
      <c r="A3127" s="4" t="s">
        <v>122</v>
      </c>
      <c r="B3127" s="1">
        <v>40</v>
      </c>
      <c r="C3127" s="1">
        <v>780</v>
      </c>
      <c r="D3127" s="1" t="s">
        <v>88</v>
      </c>
      <c r="E3127" s="1" t="s">
        <v>21</v>
      </c>
      <c r="F3127" s="1">
        <f t="shared" si="98"/>
        <v>4000</v>
      </c>
      <c r="G3127" s="5">
        <f t="shared" si="97"/>
        <v>0.19500000000000001</v>
      </c>
    </row>
    <row r="3128" spans="1:7" ht="15.75" customHeight="1">
      <c r="A3128" s="4" t="s">
        <v>122</v>
      </c>
      <c r="B3128" s="1">
        <v>4.9800000000000004</v>
      </c>
      <c r="C3128" s="1">
        <v>67</v>
      </c>
      <c r="D3128" s="1" t="s">
        <v>11</v>
      </c>
      <c r="E3128" s="1" t="s">
        <v>25</v>
      </c>
      <c r="F3128" s="1">
        <f t="shared" si="98"/>
        <v>498.00000000000006</v>
      </c>
      <c r="G3128" s="5">
        <f t="shared" si="97"/>
        <v>0.13453815261044175</v>
      </c>
    </row>
    <row r="3129" spans="1:7" ht="15.75" customHeight="1">
      <c r="A3129" s="4" t="s">
        <v>122</v>
      </c>
      <c r="B3129" s="1">
        <v>7.4</v>
      </c>
      <c r="C3129" s="1">
        <v>108</v>
      </c>
      <c r="D3129" s="1" t="s">
        <v>33</v>
      </c>
      <c r="E3129" s="1" t="s">
        <v>15</v>
      </c>
      <c r="F3129" s="1">
        <f t="shared" si="98"/>
        <v>740</v>
      </c>
      <c r="G3129" s="5">
        <f t="shared" si="97"/>
        <v>0.14594594594594595</v>
      </c>
    </row>
    <row r="3130" spans="1:7" ht="15.75" customHeight="1">
      <c r="A3130" s="4" t="s">
        <v>122</v>
      </c>
      <c r="B3130" s="1">
        <v>7.3</v>
      </c>
      <c r="C3130" s="1">
        <v>147.5</v>
      </c>
      <c r="D3130" s="1" t="s">
        <v>47</v>
      </c>
      <c r="E3130" s="1" t="s">
        <v>28</v>
      </c>
      <c r="F3130" s="1">
        <f t="shared" si="98"/>
        <v>730</v>
      </c>
      <c r="G3130" s="5">
        <f t="shared" si="97"/>
        <v>0.20205479452054795</v>
      </c>
    </row>
    <row r="3131" spans="1:7" ht="15.75" customHeight="1">
      <c r="A3131" s="4" t="s">
        <v>122</v>
      </c>
      <c r="B3131" s="1">
        <v>5.5</v>
      </c>
      <c r="C3131" s="1">
        <v>171</v>
      </c>
      <c r="D3131" s="1" t="s">
        <v>11</v>
      </c>
      <c r="E3131" s="1" t="s">
        <v>25</v>
      </c>
      <c r="F3131" s="1">
        <f t="shared" si="98"/>
        <v>550</v>
      </c>
      <c r="G3131" s="5">
        <f t="shared" si="97"/>
        <v>0.31090909090909091</v>
      </c>
    </row>
    <row r="3132" spans="1:7" ht="15.75" customHeight="1">
      <c r="A3132" s="4" t="s">
        <v>122</v>
      </c>
      <c r="B3132" s="1">
        <v>5.9</v>
      </c>
      <c r="C3132" s="1">
        <v>162</v>
      </c>
      <c r="D3132" s="1" t="s">
        <v>11</v>
      </c>
      <c r="E3132" s="1" t="s">
        <v>10</v>
      </c>
      <c r="F3132" s="1">
        <f t="shared" si="98"/>
        <v>590</v>
      </c>
      <c r="G3132" s="5">
        <f t="shared" si="97"/>
        <v>0.27457627118644068</v>
      </c>
    </row>
    <row r="3133" spans="1:7" ht="15.75" customHeight="1">
      <c r="A3133" s="4" t="s">
        <v>122</v>
      </c>
      <c r="B3133" s="1">
        <v>7.92</v>
      </c>
      <c r="C3133" s="1">
        <v>168</v>
      </c>
      <c r="D3133" s="1" t="s">
        <v>43</v>
      </c>
      <c r="E3133" s="1" t="s">
        <v>19</v>
      </c>
      <c r="F3133" s="1">
        <f t="shared" si="98"/>
        <v>792</v>
      </c>
      <c r="G3133" s="5">
        <f t="shared" si="97"/>
        <v>0.21212121212121213</v>
      </c>
    </row>
    <row r="3134" spans="1:7" ht="15.75" customHeight="1">
      <c r="A3134" s="4" t="s">
        <v>122</v>
      </c>
      <c r="B3134" s="1">
        <v>7.74</v>
      </c>
      <c r="C3134" s="1">
        <v>269.5</v>
      </c>
      <c r="D3134" s="1" t="s">
        <v>11</v>
      </c>
      <c r="E3134" s="1" t="s">
        <v>29</v>
      </c>
      <c r="F3134" s="1">
        <f t="shared" si="98"/>
        <v>774</v>
      </c>
      <c r="G3134" s="5">
        <f t="shared" si="97"/>
        <v>0.34819121447028423</v>
      </c>
    </row>
    <row r="3135" spans="1:7" ht="15.75" customHeight="1">
      <c r="A3135" s="4" t="s">
        <v>122</v>
      </c>
      <c r="B3135" s="1">
        <v>6.7</v>
      </c>
      <c r="C3135" s="1">
        <v>113</v>
      </c>
      <c r="D3135" s="1" t="s">
        <v>33</v>
      </c>
      <c r="E3135" s="1" t="s">
        <v>21</v>
      </c>
      <c r="F3135" s="1">
        <f t="shared" si="98"/>
        <v>670</v>
      </c>
      <c r="G3135" s="5">
        <f t="shared" si="97"/>
        <v>0.16865671641791044</v>
      </c>
    </row>
    <row r="3136" spans="1:7" ht="15.75" customHeight="1">
      <c r="A3136" s="4" t="s">
        <v>122</v>
      </c>
      <c r="B3136" s="1">
        <v>9.6</v>
      </c>
      <c r="C3136" s="1">
        <v>0.46</v>
      </c>
      <c r="D3136" s="1" t="s">
        <v>11</v>
      </c>
      <c r="E3136" s="1" t="s">
        <v>29</v>
      </c>
      <c r="F3136" s="1">
        <f t="shared" si="98"/>
        <v>960</v>
      </c>
      <c r="G3136" s="5">
        <f t="shared" si="97"/>
        <v>4.7916666666666669E-4</v>
      </c>
    </row>
    <row r="3137" spans="1:7" ht="15.75" customHeight="1">
      <c r="A3137" s="4" t="s">
        <v>122</v>
      </c>
      <c r="B3137" s="1">
        <v>8</v>
      </c>
      <c r="C3137" s="1">
        <v>122</v>
      </c>
      <c r="D3137" s="1" t="s">
        <v>39</v>
      </c>
      <c r="E3137" s="1" t="s">
        <v>26</v>
      </c>
      <c r="F3137" s="1">
        <f t="shared" si="98"/>
        <v>800</v>
      </c>
      <c r="G3137" s="5">
        <f t="shared" si="97"/>
        <v>0.1525</v>
      </c>
    </row>
    <row r="3138" spans="1:7" ht="15.75" customHeight="1">
      <c r="A3138" s="4" t="s">
        <v>122</v>
      </c>
      <c r="B3138" s="1">
        <v>6.2</v>
      </c>
      <c r="C3138" s="1">
        <v>184</v>
      </c>
      <c r="D3138" s="1" t="s">
        <v>39</v>
      </c>
      <c r="E3138" s="1" t="s">
        <v>10</v>
      </c>
      <c r="F3138" s="1">
        <f t="shared" si="98"/>
        <v>620</v>
      </c>
      <c r="G3138" s="5">
        <f t="shared" ref="G3138:G3201" si="99">C3138/F3138</f>
        <v>0.29677419354838708</v>
      </c>
    </row>
    <row r="3139" spans="1:7" ht="15.75" customHeight="1">
      <c r="A3139" s="4" t="s">
        <v>122</v>
      </c>
      <c r="B3139" s="1">
        <v>4</v>
      </c>
      <c r="C3139" s="1">
        <v>38</v>
      </c>
      <c r="D3139" s="1" t="s">
        <v>70</v>
      </c>
      <c r="E3139" s="1" t="s">
        <v>68</v>
      </c>
      <c r="F3139" s="1">
        <f t="shared" si="98"/>
        <v>400</v>
      </c>
      <c r="G3139" s="5">
        <f t="shared" si="99"/>
        <v>9.5000000000000001E-2</v>
      </c>
    </row>
    <row r="3140" spans="1:7" ht="15.75" customHeight="1">
      <c r="A3140" s="4" t="s">
        <v>122</v>
      </c>
      <c r="B3140" s="1">
        <v>5.2</v>
      </c>
      <c r="C3140" s="1">
        <v>150</v>
      </c>
      <c r="D3140" s="1" t="s">
        <v>11</v>
      </c>
      <c r="E3140" s="1" t="s">
        <v>27</v>
      </c>
      <c r="F3140" s="1">
        <f t="shared" si="98"/>
        <v>520</v>
      </c>
      <c r="G3140" s="5">
        <f t="shared" si="99"/>
        <v>0.28846153846153844</v>
      </c>
    </row>
    <row r="3141" spans="1:7" ht="15.75" customHeight="1">
      <c r="A3141" s="4" t="s">
        <v>122</v>
      </c>
      <c r="B3141" s="1">
        <v>7.9</v>
      </c>
      <c r="C3141" s="1">
        <v>176</v>
      </c>
      <c r="D3141" s="1" t="s">
        <v>35</v>
      </c>
      <c r="E3141" s="1" t="s">
        <v>22</v>
      </c>
      <c r="F3141" s="1">
        <f t="shared" si="98"/>
        <v>790</v>
      </c>
      <c r="G3141" s="5">
        <f t="shared" si="99"/>
        <v>0.22278481012658227</v>
      </c>
    </row>
    <row r="3142" spans="1:7" ht="15.75" customHeight="1">
      <c r="A3142" s="4" t="s">
        <v>122</v>
      </c>
      <c r="B3142" s="1">
        <v>5.6</v>
      </c>
      <c r="C3142" s="1">
        <v>240</v>
      </c>
      <c r="D3142" s="1" t="s">
        <v>11</v>
      </c>
      <c r="E3142" s="1" t="s">
        <v>8</v>
      </c>
      <c r="F3142" s="1">
        <f t="shared" si="98"/>
        <v>560</v>
      </c>
      <c r="G3142" s="5">
        <f t="shared" si="99"/>
        <v>0.42857142857142855</v>
      </c>
    </row>
    <row r="3143" spans="1:7" ht="15.75" customHeight="1">
      <c r="A3143" s="4" t="s">
        <v>122</v>
      </c>
      <c r="B3143" s="1">
        <v>4.05</v>
      </c>
      <c r="C3143" s="1">
        <v>60</v>
      </c>
      <c r="D3143" s="1" t="s">
        <v>38</v>
      </c>
      <c r="E3143" s="1" t="s">
        <v>30</v>
      </c>
      <c r="F3143" s="1">
        <f t="shared" si="98"/>
        <v>405</v>
      </c>
      <c r="G3143" s="5">
        <f t="shared" si="99"/>
        <v>0.14814814814814814</v>
      </c>
    </row>
    <row r="3144" spans="1:7" ht="15.75" customHeight="1">
      <c r="A3144" s="4" t="s">
        <v>122</v>
      </c>
      <c r="B3144" s="1">
        <v>7.83</v>
      </c>
      <c r="C3144" s="1">
        <v>153</v>
      </c>
      <c r="D3144" s="1" t="s">
        <v>11</v>
      </c>
      <c r="E3144" s="1" t="s">
        <v>12</v>
      </c>
      <c r="F3144" s="1">
        <f t="shared" si="98"/>
        <v>783</v>
      </c>
      <c r="G3144" s="5">
        <f t="shared" si="99"/>
        <v>0.19540229885057472</v>
      </c>
    </row>
    <row r="3145" spans="1:7" ht="15.75" customHeight="1">
      <c r="A3145" s="4" t="s">
        <v>122</v>
      </c>
      <c r="B3145" s="1">
        <v>6.09</v>
      </c>
      <c r="C3145" s="1">
        <v>94</v>
      </c>
      <c r="D3145" s="1" t="s">
        <v>42</v>
      </c>
      <c r="E3145" s="1" t="s">
        <v>15</v>
      </c>
      <c r="F3145" s="1">
        <f t="shared" si="98"/>
        <v>609</v>
      </c>
      <c r="G3145" s="5">
        <f t="shared" si="99"/>
        <v>0.15435139573070608</v>
      </c>
    </row>
    <row r="3146" spans="1:7" ht="15.75" customHeight="1">
      <c r="A3146" s="4" t="s">
        <v>122</v>
      </c>
      <c r="B3146" s="1">
        <v>4</v>
      </c>
      <c r="C3146" s="1">
        <v>92</v>
      </c>
      <c r="D3146" s="1" t="s">
        <v>11</v>
      </c>
      <c r="E3146" s="1" t="s">
        <v>28</v>
      </c>
      <c r="F3146" s="1">
        <f t="shared" si="98"/>
        <v>400</v>
      </c>
      <c r="G3146" s="5">
        <f t="shared" si="99"/>
        <v>0.23</v>
      </c>
    </row>
    <row r="3147" spans="1:7" ht="15.75" customHeight="1">
      <c r="A3147" s="4" t="s">
        <v>122</v>
      </c>
      <c r="B3147" s="1">
        <v>4</v>
      </c>
      <c r="C3147" s="1">
        <v>69</v>
      </c>
      <c r="D3147" s="1" t="s">
        <v>11</v>
      </c>
      <c r="E3147" s="1" t="s">
        <v>14</v>
      </c>
      <c r="F3147" s="1">
        <f t="shared" si="98"/>
        <v>400</v>
      </c>
      <c r="G3147" s="5">
        <f t="shared" si="99"/>
        <v>0.17249999999999999</v>
      </c>
    </row>
    <row r="3148" spans="1:7" ht="15.75" customHeight="1">
      <c r="A3148" s="4" t="s">
        <v>122</v>
      </c>
      <c r="B3148" s="1">
        <v>6.88</v>
      </c>
      <c r="C3148" s="1">
        <v>144</v>
      </c>
      <c r="D3148" s="1" t="s">
        <v>38</v>
      </c>
      <c r="E3148" s="1" t="s">
        <v>22</v>
      </c>
      <c r="F3148" s="1">
        <f t="shared" si="98"/>
        <v>688</v>
      </c>
      <c r="G3148" s="5">
        <f t="shared" si="99"/>
        <v>0.20930232558139536</v>
      </c>
    </row>
    <row r="3149" spans="1:7" ht="15.75" customHeight="1">
      <c r="A3149" s="4" t="s">
        <v>122</v>
      </c>
      <c r="B3149" s="1">
        <v>6</v>
      </c>
      <c r="C3149" s="1">
        <v>147</v>
      </c>
      <c r="D3149" s="1" t="s">
        <v>11</v>
      </c>
      <c r="E3149" s="1" t="s">
        <v>17</v>
      </c>
      <c r="F3149" s="1">
        <f t="shared" si="98"/>
        <v>600</v>
      </c>
      <c r="G3149" s="5">
        <f t="shared" si="99"/>
        <v>0.245</v>
      </c>
    </row>
    <row r="3150" spans="1:7" ht="15.75" customHeight="1">
      <c r="A3150" s="4" t="s">
        <v>122</v>
      </c>
      <c r="B3150" s="1">
        <v>8.4</v>
      </c>
      <c r="C3150" s="1">
        <v>132</v>
      </c>
      <c r="D3150" s="1" t="s">
        <v>33</v>
      </c>
      <c r="E3150" s="1" t="s">
        <v>15</v>
      </c>
      <c r="F3150" s="1">
        <f t="shared" si="98"/>
        <v>840</v>
      </c>
      <c r="G3150" s="5">
        <f t="shared" si="99"/>
        <v>0.15714285714285714</v>
      </c>
    </row>
    <row r="3151" spans="1:7" ht="15.75" customHeight="1">
      <c r="A3151" s="4" t="s">
        <v>122</v>
      </c>
      <c r="B3151" s="1">
        <v>10.199999999999999</v>
      </c>
      <c r="C3151" s="1">
        <v>275.76</v>
      </c>
      <c r="D3151" s="1" t="s">
        <v>43</v>
      </c>
      <c r="E3151" s="1" t="s">
        <v>24</v>
      </c>
      <c r="F3151" s="1">
        <f t="shared" si="98"/>
        <v>1019.9999999999999</v>
      </c>
      <c r="G3151" s="5">
        <f t="shared" si="99"/>
        <v>0.27035294117647063</v>
      </c>
    </row>
    <row r="3152" spans="1:7" ht="15.75" customHeight="1">
      <c r="A3152" s="4" t="s">
        <v>122</v>
      </c>
      <c r="B3152" s="1">
        <v>8.6999999999999993</v>
      </c>
      <c r="C3152" s="1">
        <v>235</v>
      </c>
      <c r="D3152" s="1" t="s">
        <v>11</v>
      </c>
      <c r="E3152" s="1" t="s">
        <v>20</v>
      </c>
      <c r="F3152" s="1">
        <f t="shared" si="98"/>
        <v>869.99999999999989</v>
      </c>
      <c r="G3152" s="5">
        <f t="shared" si="99"/>
        <v>0.27011494252873569</v>
      </c>
    </row>
    <row r="3153" spans="1:7" ht="15.75" customHeight="1">
      <c r="A3153" s="4" t="s">
        <v>122</v>
      </c>
      <c r="B3153" s="1">
        <v>2.87</v>
      </c>
      <c r="C3153" s="1">
        <v>70</v>
      </c>
      <c r="D3153" s="1" t="s">
        <v>11</v>
      </c>
      <c r="E3153" s="1" t="s">
        <v>8</v>
      </c>
      <c r="F3153" s="1">
        <f t="shared" si="98"/>
        <v>287</v>
      </c>
      <c r="G3153" s="5">
        <f t="shared" si="99"/>
        <v>0.24390243902439024</v>
      </c>
    </row>
    <row r="3154" spans="1:7" ht="15.75" customHeight="1">
      <c r="A3154" s="4" t="s">
        <v>122</v>
      </c>
      <c r="B3154" s="1">
        <v>8.1999999999999993</v>
      </c>
      <c r="C3154" s="1">
        <v>110</v>
      </c>
      <c r="D3154" s="1" t="s">
        <v>11</v>
      </c>
      <c r="E3154" s="1" t="s">
        <v>12</v>
      </c>
      <c r="F3154" s="1">
        <f t="shared" si="98"/>
        <v>819.99999999999989</v>
      </c>
      <c r="G3154" s="5">
        <f t="shared" si="99"/>
        <v>0.13414634146341464</v>
      </c>
    </row>
    <row r="3155" spans="1:7" ht="15.75" customHeight="1">
      <c r="A3155" s="4" t="s">
        <v>122</v>
      </c>
      <c r="B3155" s="1">
        <v>4</v>
      </c>
      <c r="C3155" s="1">
        <v>115</v>
      </c>
      <c r="D3155" s="1" t="s">
        <v>11</v>
      </c>
      <c r="E3155" s="1" t="s">
        <v>24</v>
      </c>
      <c r="F3155" s="1">
        <f t="shared" si="98"/>
        <v>400</v>
      </c>
      <c r="G3155" s="5">
        <f t="shared" si="99"/>
        <v>0.28749999999999998</v>
      </c>
    </row>
    <row r="3156" spans="1:7" ht="15.75" customHeight="1">
      <c r="A3156" s="4" t="s">
        <v>122</v>
      </c>
      <c r="B3156" s="1">
        <v>9.1999999999999993</v>
      </c>
      <c r="C3156" s="1">
        <v>191</v>
      </c>
      <c r="D3156" s="1" t="s">
        <v>43</v>
      </c>
      <c r="E3156" s="1" t="s">
        <v>14</v>
      </c>
      <c r="F3156" s="1">
        <f t="shared" si="98"/>
        <v>919.99999999999989</v>
      </c>
      <c r="G3156" s="5">
        <f t="shared" si="99"/>
        <v>0.20760869565217394</v>
      </c>
    </row>
    <row r="3157" spans="1:7" ht="15.75" customHeight="1">
      <c r="A3157" s="4" t="s">
        <v>122</v>
      </c>
      <c r="B3157" s="1">
        <v>4.2</v>
      </c>
      <c r="C3157" s="1">
        <v>149</v>
      </c>
      <c r="D3157" s="1" t="s">
        <v>11</v>
      </c>
      <c r="E3157" s="1" t="s">
        <v>15</v>
      </c>
      <c r="F3157" s="1">
        <f t="shared" si="98"/>
        <v>420</v>
      </c>
      <c r="G3157" s="5">
        <f t="shared" si="99"/>
        <v>0.35476190476190478</v>
      </c>
    </row>
    <row r="3158" spans="1:7" ht="15.75" customHeight="1">
      <c r="A3158" s="4" t="s">
        <v>122</v>
      </c>
      <c r="B3158" s="1">
        <v>5.39</v>
      </c>
      <c r="C3158" s="1">
        <v>149</v>
      </c>
      <c r="D3158" s="1" t="s">
        <v>11</v>
      </c>
      <c r="E3158" s="1" t="s">
        <v>26</v>
      </c>
      <c r="F3158" s="1">
        <f t="shared" si="98"/>
        <v>539</v>
      </c>
      <c r="G3158" s="5">
        <f t="shared" si="99"/>
        <v>0.27643784786641928</v>
      </c>
    </row>
    <row r="3159" spans="1:7" ht="15.75" customHeight="1">
      <c r="A3159" s="4" t="s">
        <v>122</v>
      </c>
      <c r="B3159" s="1">
        <v>118</v>
      </c>
      <c r="C3159" s="1">
        <v>6</v>
      </c>
      <c r="D3159" s="1" t="s">
        <v>38</v>
      </c>
      <c r="E3159" s="1" t="s">
        <v>19</v>
      </c>
      <c r="F3159" s="1">
        <f t="shared" si="98"/>
        <v>11800</v>
      </c>
      <c r="G3159" s="5">
        <f t="shared" si="99"/>
        <v>5.0847457627118645E-4</v>
      </c>
    </row>
    <row r="3160" spans="1:7" ht="15.75" customHeight="1">
      <c r="A3160" s="4" t="s">
        <v>122</v>
      </c>
      <c r="B3160" s="1">
        <v>8.1999999999999993</v>
      </c>
      <c r="C3160" s="1">
        <v>136</v>
      </c>
      <c r="D3160" s="1" t="s">
        <v>100</v>
      </c>
      <c r="E3160" s="1" t="s">
        <v>9</v>
      </c>
      <c r="F3160" s="1">
        <f t="shared" si="98"/>
        <v>819.99999999999989</v>
      </c>
      <c r="G3160" s="5">
        <f t="shared" si="99"/>
        <v>0.1658536585365854</v>
      </c>
    </row>
    <row r="3161" spans="1:7" ht="15.75" customHeight="1">
      <c r="A3161" s="4" t="s">
        <v>122</v>
      </c>
      <c r="B3161" s="1">
        <v>3.44</v>
      </c>
      <c r="C3161" s="1">
        <v>89.8</v>
      </c>
      <c r="D3161" s="1" t="s">
        <v>39</v>
      </c>
      <c r="E3161" s="1" t="s">
        <v>15</v>
      </c>
      <c r="F3161" s="1">
        <f t="shared" si="98"/>
        <v>344</v>
      </c>
      <c r="G3161" s="5">
        <f t="shared" si="99"/>
        <v>0.26104651162790699</v>
      </c>
    </row>
    <row r="3162" spans="1:7" ht="15.75" customHeight="1">
      <c r="A3162" s="4" t="s">
        <v>122</v>
      </c>
      <c r="B3162" s="1">
        <v>6.4</v>
      </c>
      <c r="C3162" s="1">
        <v>145</v>
      </c>
      <c r="D3162" s="1" t="s">
        <v>43</v>
      </c>
      <c r="E3162" s="1" t="s">
        <v>15</v>
      </c>
      <c r="F3162" s="1">
        <f t="shared" si="98"/>
        <v>640</v>
      </c>
      <c r="G3162" s="5">
        <f t="shared" si="99"/>
        <v>0.2265625</v>
      </c>
    </row>
    <row r="3163" spans="1:7" ht="15.75" customHeight="1">
      <c r="A3163" s="4" t="s">
        <v>122</v>
      </c>
      <c r="B3163" s="1">
        <v>6.24</v>
      </c>
      <c r="C3163" s="1">
        <v>218</v>
      </c>
      <c r="D3163" s="1" t="s">
        <v>11</v>
      </c>
      <c r="E3163" s="1" t="s">
        <v>17</v>
      </c>
      <c r="F3163" s="1">
        <f t="shared" si="98"/>
        <v>624</v>
      </c>
      <c r="G3163" s="5">
        <f t="shared" si="99"/>
        <v>0.34935897435897434</v>
      </c>
    </row>
    <row r="3164" spans="1:7" ht="15.75" customHeight="1">
      <c r="A3164" s="4" t="s">
        <v>122</v>
      </c>
      <c r="B3164" s="1">
        <v>3.85</v>
      </c>
      <c r="C3164" s="1">
        <v>113</v>
      </c>
      <c r="D3164" s="1" t="s">
        <v>55</v>
      </c>
      <c r="E3164" s="1" t="s">
        <v>15</v>
      </c>
      <c r="F3164" s="1">
        <f t="shared" si="98"/>
        <v>385</v>
      </c>
      <c r="G3164" s="5">
        <f t="shared" si="99"/>
        <v>0.29350649350649349</v>
      </c>
    </row>
    <row r="3165" spans="1:7" ht="15.75" customHeight="1">
      <c r="A3165" s="4" t="s">
        <v>122</v>
      </c>
      <c r="B3165" s="1">
        <v>5.92</v>
      </c>
      <c r="C3165" s="1">
        <v>130</v>
      </c>
      <c r="D3165" s="1" t="s">
        <v>11</v>
      </c>
      <c r="E3165" s="1" t="s">
        <v>17</v>
      </c>
      <c r="F3165" s="1">
        <f t="shared" si="98"/>
        <v>592</v>
      </c>
      <c r="G3165" s="5">
        <f t="shared" si="99"/>
        <v>0.2195945945945946</v>
      </c>
    </row>
    <row r="3166" spans="1:7" ht="15.75" customHeight="1">
      <c r="A3166" s="4" t="s">
        <v>122</v>
      </c>
      <c r="B3166" s="1">
        <v>4</v>
      </c>
      <c r="C3166" s="1">
        <v>73</v>
      </c>
      <c r="D3166" s="1" t="s">
        <v>37</v>
      </c>
      <c r="E3166" s="1" t="s">
        <v>8</v>
      </c>
      <c r="F3166" s="1">
        <f t="shared" si="98"/>
        <v>400</v>
      </c>
      <c r="G3166" s="5">
        <f t="shared" si="99"/>
        <v>0.1825</v>
      </c>
    </row>
    <row r="3167" spans="1:7" ht="15.75" customHeight="1">
      <c r="A3167" s="4" t="s">
        <v>122</v>
      </c>
      <c r="B3167" s="1">
        <v>5.2</v>
      </c>
      <c r="C3167" s="1">
        <v>115</v>
      </c>
      <c r="D3167" s="1" t="s">
        <v>50</v>
      </c>
      <c r="E3167" s="1" t="s">
        <v>15</v>
      </c>
      <c r="F3167" s="1">
        <f t="shared" si="98"/>
        <v>520</v>
      </c>
      <c r="G3167" s="5">
        <f t="shared" si="99"/>
        <v>0.22115384615384615</v>
      </c>
    </row>
    <row r="3168" spans="1:7" ht="15.75" customHeight="1">
      <c r="A3168" s="4" t="s">
        <v>122</v>
      </c>
      <c r="B3168" s="1">
        <v>5.59</v>
      </c>
      <c r="C3168" s="1">
        <v>93</v>
      </c>
      <c r="D3168" s="1" t="s">
        <v>36</v>
      </c>
      <c r="E3168" s="1" t="s">
        <v>9</v>
      </c>
      <c r="F3168" s="1">
        <f t="shared" ref="F3168:F3231" si="100">B3168*100</f>
        <v>559</v>
      </c>
      <c r="G3168" s="5">
        <f t="shared" si="99"/>
        <v>0.16636851520572452</v>
      </c>
    </row>
    <row r="3169" spans="1:7" ht="15.75" customHeight="1">
      <c r="A3169" s="4" t="s">
        <v>122</v>
      </c>
      <c r="B3169" s="1">
        <v>6.4</v>
      </c>
      <c r="C3169" s="1">
        <v>180</v>
      </c>
      <c r="D3169" s="1" t="s">
        <v>38</v>
      </c>
      <c r="E3169" s="1" t="s">
        <v>24</v>
      </c>
      <c r="F3169" s="1">
        <f t="shared" si="100"/>
        <v>640</v>
      </c>
      <c r="G3169" s="5">
        <f t="shared" si="99"/>
        <v>0.28125</v>
      </c>
    </row>
    <row r="3170" spans="1:7" ht="15.75" customHeight="1">
      <c r="A3170" s="4" t="s">
        <v>122</v>
      </c>
      <c r="B3170" s="1">
        <v>7.2</v>
      </c>
      <c r="C3170" s="1">
        <v>229</v>
      </c>
      <c r="D3170" s="1" t="s">
        <v>11</v>
      </c>
      <c r="E3170" s="1" t="s">
        <v>7</v>
      </c>
      <c r="F3170" s="1">
        <f t="shared" si="100"/>
        <v>720</v>
      </c>
      <c r="G3170" s="5">
        <f t="shared" si="99"/>
        <v>0.31805555555555554</v>
      </c>
    </row>
    <row r="3171" spans="1:7" ht="15.75" customHeight="1">
      <c r="A3171" s="4" t="s">
        <v>122</v>
      </c>
      <c r="B3171" s="1">
        <v>5.81</v>
      </c>
      <c r="C3171" s="1">
        <v>166</v>
      </c>
      <c r="D3171" s="1" t="s">
        <v>38</v>
      </c>
      <c r="E3171" s="1" t="s">
        <v>8</v>
      </c>
      <c r="F3171" s="1">
        <f t="shared" si="100"/>
        <v>581</v>
      </c>
      <c r="G3171" s="5">
        <f t="shared" si="99"/>
        <v>0.2857142857142857</v>
      </c>
    </row>
    <row r="3172" spans="1:7" ht="15.75" customHeight="1">
      <c r="A3172" s="4" t="s">
        <v>122</v>
      </c>
      <c r="B3172" s="1">
        <v>8.1</v>
      </c>
      <c r="C3172" s="1">
        <v>122</v>
      </c>
      <c r="D3172" s="1" t="s">
        <v>33</v>
      </c>
      <c r="E3172" s="1" t="s">
        <v>17</v>
      </c>
      <c r="F3172" s="1">
        <f t="shared" si="100"/>
        <v>810</v>
      </c>
      <c r="G3172" s="5">
        <f t="shared" si="99"/>
        <v>0.1506172839506173</v>
      </c>
    </row>
    <row r="3173" spans="1:7" ht="15.75" customHeight="1">
      <c r="A3173" s="4" t="s">
        <v>122</v>
      </c>
      <c r="B3173" s="1">
        <v>6.8</v>
      </c>
      <c r="C3173" s="1">
        <v>114.05</v>
      </c>
      <c r="D3173" s="1" t="s">
        <v>38</v>
      </c>
      <c r="E3173" s="1" t="s">
        <v>7</v>
      </c>
      <c r="F3173" s="1">
        <f t="shared" si="100"/>
        <v>680</v>
      </c>
      <c r="G3173" s="5">
        <f t="shared" si="99"/>
        <v>0.16772058823529412</v>
      </c>
    </row>
    <row r="3174" spans="1:7" ht="15.75" customHeight="1">
      <c r="A3174" s="4" t="s">
        <v>122</v>
      </c>
      <c r="B3174" s="1">
        <v>6.8</v>
      </c>
      <c r="C3174" s="1">
        <v>142</v>
      </c>
      <c r="D3174" s="1" t="s">
        <v>100</v>
      </c>
      <c r="E3174" s="1" t="s">
        <v>29</v>
      </c>
      <c r="F3174" s="1">
        <f t="shared" si="100"/>
        <v>680</v>
      </c>
      <c r="G3174" s="5">
        <f t="shared" si="99"/>
        <v>0.20882352941176471</v>
      </c>
    </row>
    <row r="3175" spans="1:7" ht="15.75" customHeight="1">
      <c r="A3175" s="4" t="s">
        <v>122</v>
      </c>
      <c r="B3175" s="1">
        <v>7.4</v>
      </c>
      <c r="C3175" s="1">
        <v>183</v>
      </c>
      <c r="D3175" s="1" t="s">
        <v>11</v>
      </c>
      <c r="E3175" s="1" t="s">
        <v>21</v>
      </c>
      <c r="F3175" s="1">
        <f t="shared" si="100"/>
        <v>740</v>
      </c>
      <c r="G3175" s="5">
        <f t="shared" si="99"/>
        <v>0.2472972972972973</v>
      </c>
    </row>
    <row r="3176" spans="1:7" ht="15.75" customHeight="1">
      <c r="A3176" s="4" t="s">
        <v>122</v>
      </c>
      <c r="B3176" s="1">
        <v>6.5</v>
      </c>
      <c r="C3176" s="1">
        <v>178</v>
      </c>
      <c r="D3176" s="1" t="s">
        <v>11</v>
      </c>
      <c r="E3176" s="1" t="s">
        <v>8</v>
      </c>
      <c r="F3176" s="1">
        <f t="shared" si="100"/>
        <v>650</v>
      </c>
      <c r="G3176" s="5">
        <f t="shared" si="99"/>
        <v>0.27384615384615385</v>
      </c>
    </row>
    <row r="3177" spans="1:7" ht="15.75" customHeight="1">
      <c r="A3177" s="4" t="s">
        <v>122</v>
      </c>
      <c r="B3177" s="1">
        <v>8.33</v>
      </c>
      <c r="C3177" s="1">
        <v>158</v>
      </c>
      <c r="D3177" s="1" t="s">
        <v>47</v>
      </c>
      <c r="E3177" s="1" t="s">
        <v>7</v>
      </c>
      <c r="F3177" s="1">
        <f t="shared" si="100"/>
        <v>833</v>
      </c>
      <c r="G3177" s="5">
        <f t="shared" si="99"/>
        <v>0.18967587034813926</v>
      </c>
    </row>
    <row r="3178" spans="1:7" ht="15.75" customHeight="1">
      <c r="A3178" s="4" t="s">
        <v>122</v>
      </c>
      <c r="B3178" s="1">
        <v>6.4</v>
      </c>
      <c r="C3178" s="1">
        <v>73</v>
      </c>
      <c r="D3178" s="1" t="s">
        <v>85</v>
      </c>
      <c r="E3178" s="1" t="s">
        <v>8</v>
      </c>
      <c r="F3178" s="1">
        <f t="shared" si="100"/>
        <v>640</v>
      </c>
      <c r="G3178" s="5">
        <f t="shared" si="99"/>
        <v>0.1140625</v>
      </c>
    </row>
    <row r="3179" spans="1:7" ht="15.75" customHeight="1">
      <c r="A3179" s="4" t="s">
        <v>122</v>
      </c>
      <c r="B3179" s="1">
        <v>8.6</v>
      </c>
      <c r="C3179" s="1">
        <v>249</v>
      </c>
      <c r="D3179" s="1" t="s">
        <v>42</v>
      </c>
      <c r="E3179" s="1" t="s">
        <v>8</v>
      </c>
      <c r="F3179" s="1">
        <f t="shared" si="100"/>
        <v>860</v>
      </c>
      <c r="G3179" s="5">
        <f t="shared" si="99"/>
        <v>0.28953488372093023</v>
      </c>
    </row>
    <row r="3180" spans="1:7" ht="15.75" customHeight="1">
      <c r="A3180" s="4" t="s">
        <v>122</v>
      </c>
      <c r="B3180" s="1">
        <v>6.88</v>
      </c>
      <c r="C3180" s="1">
        <v>170</v>
      </c>
      <c r="D3180" s="1" t="s">
        <v>58</v>
      </c>
      <c r="E3180" s="1" t="s">
        <v>16</v>
      </c>
      <c r="F3180" s="1">
        <f t="shared" si="100"/>
        <v>688</v>
      </c>
      <c r="G3180" s="5">
        <f t="shared" si="99"/>
        <v>0.24709302325581395</v>
      </c>
    </row>
    <row r="3181" spans="1:7" ht="15.75" customHeight="1">
      <c r="A3181" s="4" t="s">
        <v>122</v>
      </c>
      <c r="B3181" s="1">
        <v>3.915</v>
      </c>
      <c r="C3181" s="1">
        <v>109</v>
      </c>
      <c r="D3181" s="1" t="s">
        <v>43</v>
      </c>
      <c r="E3181" s="1" t="s">
        <v>8</v>
      </c>
      <c r="F3181" s="1">
        <f t="shared" si="100"/>
        <v>391.5</v>
      </c>
      <c r="G3181" s="5">
        <f t="shared" si="99"/>
        <v>0.2784163473818646</v>
      </c>
    </row>
    <row r="3182" spans="1:7" ht="15.75" customHeight="1">
      <c r="A3182" s="4" t="s">
        <v>122</v>
      </c>
      <c r="B3182" s="1">
        <v>9.3000000000000007</v>
      </c>
      <c r="C3182" s="1">
        <v>179</v>
      </c>
      <c r="D3182" s="1" t="s">
        <v>45</v>
      </c>
      <c r="E3182" s="1" t="s">
        <v>10</v>
      </c>
      <c r="F3182" s="1">
        <f t="shared" si="100"/>
        <v>930.00000000000011</v>
      </c>
      <c r="G3182" s="5">
        <f t="shared" si="99"/>
        <v>0.19247311827956987</v>
      </c>
    </row>
    <row r="3183" spans="1:7" ht="15.75" customHeight="1">
      <c r="A3183" s="4" t="s">
        <v>122</v>
      </c>
      <c r="B3183" s="1">
        <v>7</v>
      </c>
      <c r="C3183" s="1">
        <v>114</v>
      </c>
      <c r="D3183" s="1" t="s">
        <v>33</v>
      </c>
      <c r="E3183" s="1" t="s">
        <v>20</v>
      </c>
      <c r="F3183" s="1">
        <f t="shared" si="100"/>
        <v>700</v>
      </c>
      <c r="G3183" s="5">
        <f t="shared" si="99"/>
        <v>0.16285714285714287</v>
      </c>
    </row>
    <row r="3184" spans="1:7" ht="15.75" customHeight="1">
      <c r="A3184" s="4" t="s">
        <v>122</v>
      </c>
      <c r="B3184" s="1">
        <v>8.5</v>
      </c>
      <c r="C3184" s="1">
        <v>246</v>
      </c>
      <c r="D3184" s="1" t="s">
        <v>11</v>
      </c>
      <c r="E3184" s="1" t="s">
        <v>68</v>
      </c>
      <c r="F3184" s="1">
        <f t="shared" si="100"/>
        <v>850</v>
      </c>
      <c r="G3184" s="5">
        <f t="shared" si="99"/>
        <v>0.28941176470588237</v>
      </c>
    </row>
    <row r="3185" spans="1:7" ht="15.75" customHeight="1">
      <c r="A3185" s="4" t="s">
        <v>122</v>
      </c>
      <c r="B3185" s="1">
        <v>7.39</v>
      </c>
      <c r="C3185" s="1">
        <v>148</v>
      </c>
      <c r="D3185" s="1" t="s">
        <v>42</v>
      </c>
      <c r="E3185" s="1" t="s">
        <v>25</v>
      </c>
      <c r="F3185" s="1">
        <f t="shared" si="100"/>
        <v>739</v>
      </c>
      <c r="G3185" s="5">
        <f t="shared" si="99"/>
        <v>0.20027063599458728</v>
      </c>
    </row>
    <row r="3186" spans="1:7" ht="15.75" customHeight="1">
      <c r="A3186" s="4" t="s">
        <v>122</v>
      </c>
      <c r="B3186" s="1">
        <v>9.56</v>
      </c>
      <c r="C3186" s="1">
        <v>230</v>
      </c>
      <c r="D3186" s="1" t="s">
        <v>11</v>
      </c>
      <c r="E3186" s="1" t="s">
        <v>7</v>
      </c>
      <c r="F3186" s="1">
        <f t="shared" si="100"/>
        <v>956</v>
      </c>
      <c r="G3186" s="5">
        <f t="shared" si="99"/>
        <v>0.2405857740585774</v>
      </c>
    </row>
    <row r="3187" spans="1:7" ht="15.75" customHeight="1">
      <c r="A3187" s="4" t="s">
        <v>122</v>
      </c>
      <c r="B3187" s="1">
        <v>7.83</v>
      </c>
      <c r="C3187" s="1">
        <v>151</v>
      </c>
      <c r="D3187" s="1" t="s">
        <v>11</v>
      </c>
      <c r="E3187" s="1" t="s">
        <v>32</v>
      </c>
      <c r="F3187" s="1">
        <f t="shared" si="100"/>
        <v>783</v>
      </c>
      <c r="G3187" s="5">
        <f t="shared" si="99"/>
        <v>0.19284802043422733</v>
      </c>
    </row>
    <row r="3188" spans="1:7" ht="15.75" customHeight="1">
      <c r="A3188" s="4" t="s">
        <v>122</v>
      </c>
      <c r="B3188" s="1">
        <v>9.1</v>
      </c>
      <c r="C3188" s="1">
        <v>176</v>
      </c>
      <c r="D3188" s="1" t="s">
        <v>35</v>
      </c>
      <c r="E3188" s="1" t="s">
        <v>10</v>
      </c>
      <c r="F3188" s="1">
        <f t="shared" si="100"/>
        <v>910</v>
      </c>
      <c r="G3188" s="5">
        <f t="shared" si="99"/>
        <v>0.19340659340659341</v>
      </c>
    </row>
    <row r="3189" spans="1:7" ht="15.75" customHeight="1">
      <c r="A3189" s="4" t="s">
        <v>122</v>
      </c>
      <c r="B3189" s="1">
        <v>7.65</v>
      </c>
      <c r="C3189" s="1">
        <v>194</v>
      </c>
      <c r="D3189" s="1" t="s">
        <v>11</v>
      </c>
      <c r="E3189" s="1" t="s">
        <v>22</v>
      </c>
      <c r="F3189" s="1">
        <f t="shared" si="100"/>
        <v>765</v>
      </c>
      <c r="G3189" s="5">
        <f t="shared" si="99"/>
        <v>0.25359477124183005</v>
      </c>
    </row>
    <row r="3190" spans="1:7" ht="15.75" customHeight="1">
      <c r="A3190" s="4" t="s">
        <v>122</v>
      </c>
      <c r="B3190" s="1">
        <v>7.3</v>
      </c>
      <c r="C3190" s="1">
        <v>420</v>
      </c>
      <c r="D3190" s="1" t="s">
        <v>39</v>
      </c>
      <c r="E3190" s="1" t="s">
        <v>21</v>
      </c>
      <c r="F3190" s="1">
        <f t="shared" si="100"/>
        <v>730</v>
      </c>
      <c r="G3190" s="5">
        <f t="shared" si="99"/>
        <v>0.57534246575342463</v>
      </c>
    </row>
    <row r="3191" spans="1:7" ht="15.75" customHeight="1">
      <c r="A3191" s="4" t="s">
        <v>122</v>
      </c>
      <c r="B3191" s="1">
        <v>7.3</v>
      </c>
      <c r="C3191" s="1">
        <v>112</v>
      </c>
      <c r="D3191" s="1" t="s">
        <v>33</v>
      </c>
      <c r="E3191" s="1" t="s">
        <v>16</v>
      </c>
      <c r="F3191" s="1">
        <f t="shared" si="100"/>
        <v>730</v>
      </c>
      <c r="G3191" s="5">
        <f t="shared" si="99"/>
        <v>0.15342465753424658</v>
      </c>
    </row>
    <row r="3192" spans="1:7" ht="15.75" customHeight="1">
      <c r="A3192" s="4" t="s">
        <v>122</v>
      </c>
      <c r="B3192" s="1">
        <v>4.5999999999999996</v>
      </c>
      <c r="C3192" s="1">
        <v>95</v>
      </c>
      <c r="D3192" s="1" t="s">
        <v>11</v>
      </c>
      <c r="E3192" s="1" t="s">
        <v>14</v>
      </c>
      <c r="F3192" s="1">
        <f t="shared" si="100"/>
        <v>459.99999999999994</v>
      </c>
      <c r="G3192" s="5">
        <f t="shared" si="99"/>
        <v>0.20652173913043481</v>
      </c>
    </row>
    <row r="3193" spans="1:7" ht="15.75" customHeight="1">
      <c r="A3193" s="4" t="s">
        <v>122</v>
      </c>
      <c r="B3193" s="1">
        <v>7.3</v>
      </c>
      <c r="C3193" s="1">
        <v>116</v>
      </c>
      <c r="D3193" s="1" t="s">
        <v>11</v>
      </c>
      <c r="E3193" s="1" t="s">
        <v>12</v>
      </c>
      <c r="F3193" s="1">
        <f t="shared" si="100"/>
        <v>730</v>
      </c>
      <c r="G3193" s="5">
        <f t="shared" si="99"/>
        <v>0.15890410958904111</v>
      </c>
    </row>
    <row r="3194" spans="1:7" ht="15.75" customHeight="1">
      <c r="A3194" s="4" t="s">
        <v>122</v>
      </c>
      <c r="B3194" s="1">
        <v>5.46</v>
      </c>
      <c r="C3194" s="1">
        <v>151</v>
      </c>
      <c r="D3194" s="1" t="s">
        <v>43</v>
      </c>
      <c r="E3194" s="1" t="s">
        <v>15</v>
      </c>
      <c r="F3194" s="1">
        <f t="shared" si="100"/>
        <v>546</v>
      </c>
      <c r="G3194" s="5">
        <f t="shared" si="99"/>
        <v>0.27655677655677657</v>
      </c>
    </row>
    <row r="3195" spans="1:7" ht="15.75" customHeight="1">
      <c r="A3195" s="4" t="s">
        <v>122</v>
      </c>
      <c r="B3195" s="1">
        <v>7.56</v>
      </c>
      <c r="C3195" s="1">
        <v>220</v>
      </c>
      <c r="D3195" s="1" t="s">
        <v>11</v>
      </c>
      <c r="E3195" s="1" t="s">
        <v>27</v>
      </c>
      <c r="F3195" s="1">
        <f t="shared" si="100"/>
        <v>756</v>
      </c>
      <c r="G3195" s="5">
        <f t="shared" si="99"/>
        <v>0.29100529100529099</v>
      </c>
    </row>
    <row r="3196" spans="1:7" ht="15.75" customHeight="1">
      <c r="A3196" s="4" t="s">
        <v>122</v>
      </c>
      <c r="B3196" s="1">
        <v>12.04</v>
      </c>
      <c r="C3196" s="1">
        <v>160</v>
      </c>
      <c r="D3196" s="1" t="s">
        <v>11</v>
      </c>
      <c r="E3196" s="1" t="s">
        <v>8</v>
      </c>
      <c r="F3196" s="1">
        <f t="shared" si="100"/>
        <v>1204</v>
      </c>
      <c r="G3196" s="5">
        <f t="shared" si="99"/>
        <v>0.13289036544850499</v>
      </c>
    </row>
    <row r="3197" spans="1:7" ht="15.75" customHeight="1">
      <c r="A3197" s="4" t="s">
        <v>122</v>
      </c>
      <c r="B3197" s="1">
        <v>6.5</v>
      </c>
      <c r="C3197" s="1">
        <v>142</v>
      </c>
      <c r="D3197" s="1" t="s">
        <v>38</v>
      </c>
      <c r="E3197" s="1" t="s">
        <v>14</v>
      </c>
      <c r="F3197" s="1">
        <f t="shared" si="100"/>
        <v>650</v>
      </c>
      <c r="G3197" s="5">
        <f t="shared" si="99"/>
        <v>0.21846153846153846</v>
      </c>
    </row>
    <row r="3198" spans="1:7" ht="15.75" customHeight="1">
      <c r="A3198" s="4" t="s">
        <v>122</v>
      </c>
      <c r="B3198" s="1">
        <v>3.5</v>
      </c>
      <c r="C3198" s="1">
        <v>55</v>
      </c>
      <c r="D3198" s="1" t="s">
        <v>42</v>
      </c>
      <c r="E3198" s="1" t="s">
        <v>10</v>
      </c>
      <c r="F3198" s="1">
        <f t="shared" si="100"/>
        <v>350</v>
      </c>
      <c r="G3198" s="5">
        <f t="shared" si="99"/>
        <v>0.15714285714285714</v>
      </c>
    </row>
    <row r="3199" spans="1:7" ht="15.75" customHeight="1">
      <c r="A3199" s="4" t="s">
        <v>122</v>
      </c>
      <c r="B3199" s="1">
        <v>8</v>
      </c>
      <c r="C3199" s="1">
        <v>184</v>
      </c>
      <c r="D3199" s="1" t="s">
        <v>11</v>
      </c>
      <c r="E3199" s="1" t="s">
        <v>31</v>
      </c>
      <c r="F3199" s="1">
        <f t="shared" si="100"/>
        <v>800</v>
      </c>
      <c r="G3199" s="5">
        <f t="shared" si="99"/>
        <v>0.23</v>
      </c>
    </row>
    <row r="3200" spans="1:7" ht="15.75" customHeight="1">
      <c r="A3200" s="4" t="s">
        <v>122</v>
      </c>
      <c r="B3200" s="1">
        <v>7.92</v>
      </c>
      <c r="C3200" s="1">
        <v>117</v>
      </c>
      <c r="D3200" s="1" t="s">
        <v>64</v>
      </c>
      <c r="E3200" s="1" t="s">
        <v>16</v>
      </c>
      <c r="F3200" s="1">
        <f t="shared" si="100"/>
        <v>792</v>
      </c>
      <c r="G3200" s="5">
        <f t="shared" si="99"/>
        <v>0.14772727272727273</v>
      </c>
    </row>
    <row r="3201" spans="1:7" ht="15.75" customHeight="1">
      <c r="A3201" s="4" t="s">
        <v>122</v>
      </c>
      <c r="B3201" s="1">
        <v>9.1999999999999993</v>
      </c>
      <c r="C3201" s="1">
        <v>341</v>
      </c>
      <c r="D3201" s="1" t="s">
        <v>11</v>
      </c>
      <c r="E3201" s="1" t="s">
        <v>7</v>
      </c>
      <c r="F3201" s="1">
        <f t="shared" si="100"/>
        <v>919.99999999999989</v>
      </c>
      <c r="G3201" s="5">
        <f t="shared" si="99"/>
        <v>0.3706521739130435</v>
      </c>
    </row>
    <row r="3202" spans="1:7" ht="15.75" customHeight="1">
      <c r="A3202" s="4" t="s">
        <v>122</v>
      </c>
      <c r="B3202" s="1">
        <v>5.16</v>
      </c>
      <c r="C3202" s="1">
        <v>115</v>
      </c>
      <c r="D3202" s="1" t="s">
        <v>44</v>
      </c>
      <c r="E3202" s="1" t="s">
        <v>10</v>
      </c>
      <c r="F3202" s="1">
        <f t="shared" si="100"/>
        <v>516</v>
      </c>
      <c r="G3202" s="5">
        <f t="shared" ref="G3202:G3265" si="101">C3202/F3202</f>
        <v>0.22286821705426357</v>
      </c>
    </row>
    <row r="3203" spans="1:7" ht="15.75" customHeight="1">
      <c r="A3203" s="4" t="s">
        <v>122</v>
      </c>
      <c r="B3203" s="1">
        <v>5</v>
      </c>
      <c r="C3203" s="1">
        <v>180.9</v>
      </c>
      <c r="D3203" s="1" t="s">
        <v>11</v>
      </c>
      <c r="E3203" s="1" t="s">
        <v>22</v>
      </c>
      <c r="F3203" s="1">
        <f t="shared" si="100"/>
        <v>500</v>
      </c>
      <c r="G3203" s="5">
        <f t="shared" si="101"/>
        <v>0.36180000000000001</v>
      </c>
    </row>
    <row r="3204" spans="1:7" ht="15.75" customHeight="1">
      <c r="A3204" s="4" t="s">
        <v>122</v>
      </c>
      <c r="B3204" s="1">
        <v>5.6</v>
      </c>
      <c r="C3204" s="1">
        <v>199</v>
      </c>
      <c r="D3204" s="1" t="s">
        <v>33</v>
      </c>
      <c r="E3204" s="1" t="s">
        <v>12</v>
      </c>
      <c r="F3204" s="1">
        <f t="shared" si="100"/>
        <v>560</v>
      </c>
      <c r="G3204" s="5">
        <f t="shared" si="101"/>
        <v>0.35535714285714287</v>
      </c>
    </row>
    <row r="3205" spans="1:7" ht="15.75" customHeight="1">
      <c r="A3205" s="4" t="s">
        <v>122</v>
      </c>
      <c r="B3205" s="1">
        <v>7.76</v>
      </c>
      <c r="C3205" s="1">
        <v>209</v>
      </c>
      <c r="D3205" s="1" t="s">
        <v>11</v>
      </c>
      <c r="E3205" s="1" t="s">
        <v>16</v>
      </c>
      <c r="F3205" s="1">
        <f t="shared" si="100"/>
        <v>776</v>
      </c>
      <c r="G3205" s="5">
        <f t="shared" si="101"/>
        <v>0.26932989690721648</v>
      </c>
    </row>
    <row r="3206" spans="1:7" ht="15.75" customHeight="1">
      <c r="A3206" s="4" t="s">
        <v>122</v>
      </c>
      <c r="B3206" s="1">
        <v>5</v>
      </c>
      <c r="C3206" s="1">
        <v>104</v>
      </c>
      <c r="D3206" s="1" t="s">
        <v>11</v>
      </c>
      <c r="E3206" s="1" t="s">
        <v>14</v>
      </c>
      <c r="F3206" s="1">
        <f t="shared" si="100"/>
        <v>500</v>
      </c>
      <c r="G3206" s="5">
        <f t="shared" si="101"/>
        <v>0.20799999999999999</v>
      </c>
    </row>
    <row r="3207" spans="1:7" ht="15.75" customHeight="1">
      <c r="A3207" s="4" t="s">
        <v>122</v>
      </c>
      <c r="B3207" s="1">
        <v>7.4</v>
      </c>
      <c r="C3207" s="1">
        <v>242</v>
      </c>
      <c r="D3207" s="1" t="s">
        <v>11</v>
      </c>
      <c r="E3207" s="1" t="s">
        <v>10</v>
      </c>
      <c r="F3207" s="1">
        <f t="shared" si="100"/>
        <v>740</v>
      </c>
      <c r="G3207" s="5">
        <f t="shared" si="101"/>
        <v>0.32702702702702702</v>
      </c>
    </row>
    <row r="3208" spans="1:7" ht="15.75" customHeight="1">
      <c r="A3208" s="4" t="s">
        <v>122</v>
      </c>
      <c r="B3208" s="1">
        <v>7.92</v>
      </c>
      <c r="C3208" s="1">
        <v>254</v>
      </c>
      <c r="D3208" s="1" t="s">
        <v>11</v>
      </c>
      <c r="E3208" s="1" t="s">
        <v>9</v>
      </c>
      <c r="F3208" s="1">
        <f t="shared" si="100"/>
        <v>792</v>
      </c>
      <c r="G3208" s="5">
        <f t="shared" si="101"/>
        <v>0.32070707070707072</v>
      </c>
    </row>
    <row r="3209" spans="1:7" ht="15.75" customHeight="1">
      <c r="A3209" s="4" t="s">
        <v>122</v>
      </c>
      <c r="B3209" s="1">
        <v>5.5</v>
      </c>
      <c r="C3209" s="1">
        <v>357</v>
      </c>
      <c r="D3209" s="1" t="s">
        <v>11</v>
      </c>
      <c r="E3209" s="1" t="s">
        <v>8</v>
      </c>
      <c r="F3209" s="1">
        <f t="shared" si="100"/>
        <v>550</v>
      </c>
      <c r="G3209" s="5">
        <f t="shared" si="101"/>
        <v>0.64909090909090905</v>
      </c>
    </row>
    <row r="3210" spans="1:7" ht="15.75" customHeight="1">
      <c r="A3210" s="4" t="s">
        <v>122</v>
      </c>
      <c r="B3210" s="1">
        <v>5.0999999999999996</v>
      </c>
      <c r="C3210" s="1">
        <v>77</v>
      </c>
      <c r="D3210" s="1" t="s">
        <v>40</v>
      </c>
      <c r="E3210" s="1" t="s">
        <v>15</v>
      </c>
      <c r="F3210" s="1">
        <f t="shared" si="100"/>
        <v>509.99999999999994</v>
      </c>
      <c r="G3210" s="5">
        <f t="shared" si="101"/>
        <v>0.15098039215686276</v>
      </c>
    </row>
    <row r="3211" spans="1:7" ht="15.75" customHeight="1">
      <c r="A3211" s="4" t="s">
        <v>122</v>
      </c>
      <c r="B3211" s="1">
        <v>6.09</v>
      </c>
      <c r="C3211" s="1">
        <v>115</v>
      </c>
      <c r="D3211" s="1" t="s">
        <v>36</v>
      </c>
      <c r="E3211" s="1" t="s">
        <v>15</v>
      </c>
      <c r="F3211" s="1">
        <f t="shared" si="100"/>
        <v>609</v>
      </c>
      <c r="G3211" s="5">
        <f t="shared" si="101"/>
        <v>0.18883415435139572</v>
      </c>
    </row>
    <row r="3212" spans="1:7" ht="15.75" customHeight="1">
      <c r="A3212" s="4" t="s">
        <v>122</v>
      </c>
      <c r="B3212" s="1">
        <v>6</v>
      </c>
      <c r="C3212" s="1">
        <v>119</v>
      </c>
      <c r="D3212" s="1" t="s">
        <v>38</v>
      </c>
      <c r="E3212" s="1" t="s">
        <v>16</v>
      </c>
      <c r="F3212" s="1">
        <f t="shared" si="100"/>
        <v>600</v>
      </c>
      <c r="G3212" s="5">
        <f t="shared" si="101"/>
        <v>0.19833333333333333</v>
      </c>
    </row>
    <row r="3213" spans="1:7" ht="15.75" customHeight="1">
      <c r="A3213" s="4" t="s">
        <v>122</v>
      </c>
      <c r="B3213" s="1">
        <v>5.2</v>
      </c>
      <c r="C3213" s="1">
        <v>169</v>
      </c>
      <c r="D3213" s="1" t="s">
        <v>11</v>
      </c>
      <c r="E3213" s="1" t="s">
        <v>16</v>
      </c>
      <c r="F3213" s="1">
        <f t="shared" si="100"/>
        <v>520</v>
      </c>
      <c r="G3213" s="5">
        <f t="shared" si="101"/>
        <v>0.32500000000000001</v>
      </c>
    </row>
    <row r="3214" spans="1:7" ht="15.75" customHeight="1">
      <c r="A3214" s="4" t="s">
        <v>122</v>
      </c>
      <c r="B3214" s="1">
        <v>4.5</v>
      </c>
      <c r="C3214" s="1">
        <v>75</v>
      </c>
      <c r="D3214" s="1" t="s">
        <v>11</v>
      </c>
      <c r="E3214" s="1" t="s">
        <v>16</v>
      </c>
      <c r="F3214" s="1">
        <f t="shared" si="100"/>
        <v>450</v>
      </c>
      <c r="G3214" s="5">
        <f t="shared" si="101"/>
        <v>0.16666666666666666</v>
      </c>
    </row>
    <row r="3215" spans="1:7" ht="15.75" customHeight="1">
      <c r="A3215" s="4" t="s">
        <v>122</v>
      </c>
      <c r="B3215" s="1">
        <v>7.3949999999999996</v>
      </c>
      <c r="C3215" s="1">
        <v>157</v>
      </c>
      <c r="D3215" s="1" t="s">
        <v>42</v>
      </c>
      <c r="E3215" s="1" t="s">
        <v>25</v>
      </c>
      <c r="F3215" s="1">
        <f t="shared" si="100"/>
        <v>739.5</v>
      </c>
      <c r="G3215" s="5">
        <f t="shared" si="101"/>
        <v>0.21230561189993238</v>
      </c>
    </row>
    <row r="3216" spans="1:7" ht="15.75" customHeight="1">
      <c r="A3216" s="4" t="s">
        <v>122</v>
      </c>
      <c r="B3216" s="1">
        <v>6.2</v>
      </c>
      <c r="C3216" s="1">
        <v>88</v>
      </c>
      <c r="D3216" s="1" t="s">
        <v>33</v>
      </c>
      <c r="E3216" s="1" t="s">
        <v>14</v>
      </c>
      <c r="F3216" s="1">
        <f t="shared" si="100"/>
        <v>620</v>
      </c>
      <c r="G3216" s="5">
        <f t="shared" si="101"/>
        <v>0.14193548387096774</v>
      </c>
    </row>
    <row r="3217" spans="1:7" ht="15.75" customHeight="1">
      <c r="A3217" s="4" t="s">
        <v>122</v>
      </c>
      <c r="B3217" s="1">
        <v>6.56</v>
      </c>
      <c r="C3217" s="1">
        <v>94</v>
      </c>
      <c r="D3217" s="1" t="s">
        <v>11</v>
      </c>
      <c r="E3217" s="1" t="s">
        <v>18</v>
      </c>
      <c r="F3217" s="1">
        <f t="shared" si="100"/>
        <v>656</v>
      </c>
      <c r="G3217" s="5">
        <f t="shared" si="101"/>
        <v>0.14329268292682926</v>
      </c>
    </row>
    <row r="3218" spans="1:7" ht="15.75" customHeight="1">
      <c r="A3218" s="4" t="s">
        <v>122</v>
      </c>
      <c r="B3218" s="1">
        <v>8.375</v>
      </c>
      <c r="C3218" s="1">
        <v>172</v>
      </c>
      <c r="D3218" s="1" t="s">
        <v>11</v>
      </c>
      <c r="E3218" s="1" t="s">
        <v>15</v>
      </c>
      <c r="F3218" s="1">
        <f t="shared" si="100"/>
        <v>837.5</v>
      </c>
      <c r="G3218" s="5">
        <f t="shared" si="101"/>
        <v>0.20537313432835821</v>
      </c>
    </row>
    <row r="3219" spans="1:7" ht="15.75" customHeight="1">
      <c r="A3219" s="4" t="s">
        <v>122</v>
      </c>
      <c r="B3219" s="1">
        <v>5.2</v>
      </c>
      <c r="C3219" s="1">
        <v>93</v>
      </c>
      <c r="D3219" s="1" t="s">
        <v>11</v>
      </c>
      <c r="E3219" s="1" t="s">
        <v>15</v>
      </c>
      <c r="F3219" s="1">
        <f t="shared" si="100"/>
        <v>520</v>
      </c>
      <c r="G3219" s="5">
        <f t="shared" si="101"/>
        <v>0.17884615384615385</v>
      </c>
    </row>
    <row r="3220" spans="1:7" ht="15.75" customHeight="1">
      <c r="A3220" s="4" t="s">
        <v>122</v>
      </c>
      <c r="B3220" s="1">
        <v>4.38</v>
      </c>
      <c r="C3220" s="1">
        <v>102</v>
      </c>
      <c r="D3220" s="1" t="s">
        <v>43</v>
      </c>
      <c r="E3220" s="1" t="s">
        <v>24</v>
      </c>
      <c r="F3220" s="1">
        <f t="shared" si="100"/>
        <v>438</v>
      </c>
      <c r="G3220" s="5">
        <f t="shared" si="101"/>
        <v>0.23287671232876711</v>
      </c>
    </row>
    <row r="3221" spans="1:7" ht="15.75" customHeight="1">
      <c r="A3221" s="4" t="s">
        <v>122</v>
      </c>
      <c r="B3221" s="1">
        <v>6.8</v>
      </c>
      <c r="C3221" s="1">
        <v>170</v>
      </c>
      <c r="D3221" s="1" t="s">
        <v>11</v>
      </c>
      <c r="E3221" s="1" t="s">
        <v>26</v>
      </c>
      <c r="F3221" s="1">
        <f t="shared" si="100"/>
        <v>680</v>
      </c>
      <c r="G3221" s="5">
        <f t="shared" si="101"/>
        <v>0.25</v>
      </c>
    </row>
    <row r="3222" spans="1:7" ht="15.75" customHeight="1">
      <c r="A3222" s="4" t="s">
        <v>122</v>
      </c>
      <c r="B3222" s="1">
        <v>6.96</v>
      </c>
      <c r="C3222" s="1">
        <v>187</v>
      </c>
      <c r="D3222" s="1" t="s">
        <v>11</v>
      </c>
      <c r="E3222" s="1" t="s">
        <v>8</v>
      </c>
      <c r="F3222" s="1">
        <f t="shared" si="100"/>
        <v>696</v>
      </c>
      <c r="G3222" s="5">
        <f t="shared" si="101"/>
        <v>0.26867816091954022</v>
      </c>
    </row>
    <row r="3223" spans="1:7" ht="15.75" customHeight="1">
      <c r="A3223" s="4" t="s">
        <v>122</v>
      </c>
      <c r="B3223" s="1">
        <v>7.9</v>
      </c>
      <c r="C3223" s="1">
        <v>103</v>
      </c>
      <c r="D3223" s="1" t="s">
        <v>53</v>
      </c>
      <c r="E3223" s="1" t="s">
        <v>9</v>
      </c>
      <c r="F3223" s="1">
        <f t="shared" si="100"/>
        <v>790</v>
      </c>
      <c r="G3223" s="5">
        <f t="shared" si="101"/>
        <v>0.13037974683544304</v>
      </c>
    </row>
    <row r="3224" spans="1:7" ht="15.75" customHeight="1">
      <c r="A3224" s="4" t="s">
        <v>122</v>
      </c>
      <c r="B3224" s="1">
        <v>5.22</v>
      </c>
      <c r="C3224" s="1">
        <v>123</v>
      </c>
      <c r="D3224" s="1" t="s">
        <v>11</v>
      </c>
      <c r="E3224" s="1" t="s">
        <v>12</v>
      </c>
      <c r="F3224" s="1">
        <f t="shared" si="100"/>
        <v>522</v>
      </c>
      <c r="G3224" s="5">
        <f t="shared" si="101"/>
        <v>0.23563218390804597</v>
      </c>
    </row>
    <row r="3225" spans="1:7" ht="15.75" customHeight="1">
      <c r="A3225" s="4" t="s">
        <v>122</v>
      </c>
      <c r="B3225" s="1">
        <v>5.6</v>
      </c>
      <c r="C3225" s="1">
        <v>88</v>
      </c>
      <c r="D3225" s="1" t="s">
        <v>106</v>
      </c>
      <c r="E3225" s="1" t="s">
        <v>8</v>
      </c>
      <c r="F3225" s="1">
        <f t="shared" si="100"/>
        <v>560</v>
      </c>
      <c r="G3225" s="5">
        <f t="shared" si="101"/>
        <v>0.15714285714285714</v>
      </c>
    </row>
    <row r="3226" spans="1:7" ht="15.75" customHeight="1">
      <c r="A3226" s="4" t="s">
        <v>122</v>
      </c>
      <c r="B3226" s="1">
        <v>8.3000000000000007</v>
      </c>
      <c r="C3226" s="1">
        <v>98</v>
      </c>
      <c r="D3226" s="1" t="s">
        <v>33</v>
      </c>
      <c r="E3226" s="1" t="s">
        <v>7</v>
      </c>
      <c r="F3226" s="1">
        <f t="shared" si="100"/>
        <v>830.00000000000011</v>
      </c>
      <c r="G3226" s="5">
        <f t="shared" si="101"/>
        <v>0.11807228915662649</v>
      </c>
    </row>
    <row r="3227" spans="1:7" ht="15.75" customHeight="1">
      <c r="A3227" s="4" t="s">
        <v>122</v>
      </c>
      <c r="B3227" s="1">
        <v>8.64</v>
      </c>
      <c r="C3227" s="1">
        <v>208</v>
      </c>
      <c r="D3227" s="1" t="s">
        <v>11</v>
      </c>
      <c r="E3227" s="1" t="s">
        <v>9</v>
      </c>
      <c r="F3227" s="1">
        <f t="shared" si="100"/>
        <v>864</v>
      </c>
      <c r="G3227" s="5">
        <f t="shared" si="101"/>
        <v>0.24074074074074073</v>
      </c>
    </row>
    <row r="3228" spans="1:7" ht="15.75" customHeight="1">
      <c r="A3228" s="4" t="s">
        <v>122</v>
      </c>
      <c r="B3228" s="1">
        <v>5.16</v>
      </c>
      <c r="C3228" s="1">
        <v>64</v>
      </c>
      <c r="D3228" s="1" t="s">
        <v>42</v>
      </c>
      <c r="E3228" s="1" t="s">
        <v>22</v>
      </c>
      <c r="F3228" s="1">
        <f t="shared" si="100"/>
        <v>516</v>
      </c>
      <c r="G3228" s="5">
        <f t="shared" si="101"/>
        <v>0.12403100775193798</v>
      </c>
    </row>
    <row r="3229" spans="1:7" ht="15.75" customHeight="1">
      <c r="A3229" s="4" t="s">
        <v>122</v>
      </c>
      <c r="B3229" s="1">
        <v>7.7</v>
      </c>
      <c r="C3229" s="1">
        <v>58</v>
      </c>
      <c r="D3229" s="1" t="s">
        <v>33</v>
      </c>
      <c r="E3229" s="1" t="s">
        <v>16</v>
      </c>
      <c r="F3229" s="1">
        <f t="shared" si="100"/>
        <v>770</v>
      </c>
      <c r="G3229" s="5">
        <f t="shared" si="101"/>
        <v>7.5324675324675322E-2</v>
      </c>
    </row>
    <row r="3230" spans="1:7" ht="15.75" customHeight="1">
      <c r="A3230" s="4" t="s">
        <v>122</v>
      </c>
      <c r="B3230" s="1">
        <v>7.6</v>
      </c>
      <c r="C3230" s="1">
        <v>126</v>
      </c>
      <c r="D3230" s="1" t="s">
        <v>59</v>
      </c>
      <c r="E3230" s="1" t="s">
        <v>49</v>
      </c>
      <c r="F3230" s="1">
        <f t="shared" si="100"/>
        <v>760</v>
      </c>
      <c r="G3230" s="5">
        <f t="shared" si="101"/>
        <v>0.16578947368421051</v>
      </c>
    </row>
    <row r="3231" spans="1:7" ht="15.75" customHeight="1">
      <c r="A3231" s="4" t="s">
        <v>122</v>
      </c>
      <c r="B3231" s="1">
        <v>11.25</v>
      </c>
      <c r="C3231" s="1">
        <v>218</v>
      </c>
      <c r="D3231" s="1" t="s">
        <v>45</v>
      </c>
      <c r="E3231" s="1" t="s">
        <v>8</v>
      </c>
      <c r="F3231" s="1">
        <f t="shared" si="100"/>
        <v>1125</v>
      </c>
      <c r="G3231" s="5">
        <f t="shared" si="101"/>
        <v>0.19377777777777777</v>
      </c>
    </row>
    <row r="3232" spans="1:7" ht="15.75" customHeight="1">
      <c r="A3232" s="4" t="s">
        <v>122</v>
      </c>
      <c r="B3232" s="1">
        <v>7.2</v>
      </c>
      <c r="C3232" s="1">
        <v>151</v>
      </c>
      <c r="D3232" s="1" t="s">
        <v>47</v>
      </c>
      <c r="E3232" s="1" t="s">
        <v>17</v>
      </c>
      <c r="F3232" s="1">
        <f t="shared" ref="F3232:F3295" si="102">B3232*100</f>
        <v>720</v>
      </c>
      <c r="G3232" s="5">
        <f t="shared" si="101"/>
        <v>0.20972222222222223</v>
      </c>
    </row>
    <row r="3233" spans="1:7" ht="15.75" customHeight="1">
      <c r="A3233" s="4" t="s">
        <v>122</v>
      </c>
      <c r="B3233" s="1">
        <v>10</v>
      </c>
      <c r="C3233" s="1">
        <v>221</v>
      </c>
      <c r="D3233" s="1" t="s">
        <v>44</v>
      </c>
      <c r="E3233" s="1" t="s">
        <v>12</v>
      </c>
      <c r="F3233" s="1">
        <f t="shared" si="102"/>
        <v>1000</v>
      </c>
      <c r="G3233" s="5">
        <f t="shared" si="101"/>
        <v>0.221</v>
      </c>
    </row>
    <row r="3234" spans="1:7" ht="15.75" customHeight="1">
      <c r="A3234" s="4" t="s">
        <v>122</v>
      </c>
      <c r="B3234" s="1">
        <v>7.74</v>
      </c>
      <c r="C3234" s="1">
        <v>134</v>
      </c>
      <c r="D3234" s="1" t="s">
        <v>38</v>
      </c>
      <c r="E3234" s="1" t="s">
        <v>14</v>
      </c>
      <c r="F3234" s="1">
        <f t="shared" si="102"/>
        <v>774</v>
      </c>
      <c r="G3234" s="5">
        <f t="shared" si="101"/>
        <v>0.1731266149870801</v>
      </c>
    </row>
    <row r="3235" spans="1:7" ht="15.75" customHeight="1">
      <c r="A3235" s="4" t="s">
        <v>122</v>
      </c>
      <c r="B3235" s="1">
        <v>5.88</v>
      </c>
      <c r="C3235" s="1">
        <v>72</v>
      </c>
      <c r="D3235" s="1" t="s">
        <v>38</v>
      </c>
      <c r="E3235" s="1" t="s">
        <v>22</v>
      </c>
      <c r="F3235" s="1">
        <f t="shared" si="102"/>
        <v>588</v>
      </c>
      <c r="G3235" s="5">
        <f t="shared" si="101"/>
        <v>0.12244897959183673</v>
      </c>
    </row>
    <row r="3236" spans="1:7" ht="15.75" customHeight="1">
      <c r="A3236" s="4" t="s">
        <v>122</v>
      </c>
      <c r="B3236" s="1">
        <v>6.4</v>
      </c>
      <c r="C3236" s="1">
        <v>100.8</v>
      </c>
      <c r="D3236" s="1" t="s">
        <v>33</v>
      </c>
      <c r="E3236" s="1" t="s">
        <v>15</v>
      </c>
      <c r="F3236" s="1">
        <f t="shared" si="102"/>
        <v>640</v>
      </c>
      <c r="G3236" s="5">
        <f t="shared" si="101"/>
        <v>0.1575</v>
      </c>
    </row>
    <row r="3237" spans="1:7" ht="15.75" customHeight="1">
      <c r="A3237" s="4" t="s">
        <v>122</v>
      </c>
      <c r="B3237" s="1">
        <v>7.8</v>
      </c>
      <c r="C3237" s="1">
        <v>164</v>
      </c>
      <c r="D3237" s="1" t="s">
        <v>43</v>
      </c>
      <c r="E3237" s="1" t="s">
        <v>9</v>
      </c>
      <c r="F3237" s="1">
        <f t="shared" si="102"/>
        <v>780</v>
      </c>
      <c r="G3237" s="5">
        <f t="shared" si="101"/>
        <v>0.21025641025641026</v>
      </c>
    </row>
    <row r="3238" spans="1:7" ht="15.75" customHeight="1">
      <c r="A3238" s="4" t="s">
        <v>122</v>
      </c>
      <c r="B3238" s="1">
        <v>7.29</v>
      </c>
      <c r="C3238" s="1">
        <v>170</v>
      </c>
      <c r="D3238" s="1" t="s">
        <v>11</v>
      </c>
      <c r="E3238" s="1" t="s">
        <v>27</v>
      </c>
      <c r="F3238" s="1">
        <f t="shared" si="102"/>
        <v>729</v>
      </c>
      <c r="G3238" s="5">
        <f t="shared" si="101"/>
        <v>0.23319615912208505</v>
      </c>
    </row>
    <row r="3239" spans="1:7" ht="15.75" customHeight="1">
      <c r="A3239" s="4" t="s">
        <v>122</v>
      </c>
      <c r="B3239" s="1">
        <v>7.74</v>
      </c>
      <c r="C3239" s="1">
        <v>126</v>
      </c>
      <c r="D3239" s="1" t="s">
        <v>33</v>
      </c>
      <c r="E3239" s="1" t="s">
        <v>16</v>
      </c>
      <c r="F3239" s="1">
        <f t="shared" si="102"/>
        <v>774</v>
      </c>
      <c r="G3239" s="5">
        <f t="shared" si="101"/>
        <v>0.16279069767441862</v>
      </c>
    </row>
    <row r="3240" spans="1:7" ht="15.75" customHeight="1">
      <c r="A3240" s="4" t="s">
        <v>122</v>
      </c>
      <c r="B3240" s="1">
        <v>9.68</v>
      </c>
      <c r="C3240" s="1">
        <v>124</v>
      </c>
      <c r="D3240" s="1" t="s">
        <v>36</v>
      </c>
      <c r="E3240" s="1" t="s">
        <v>7</v>
      </c>
      <c r="F3240" s="1">
        <f t="shared" si="102"/>
        <v>968</v>
      </c>
      <c r="G3240" s="5">
        <f t="shared" si="101"/>
        <v>0.128099173553719</v>
      </c>
    </row>
    <row r="3241" spans="1:7" ht="15.75" customHeight="1">
      <c r="A3241" s="4" t="s">
        <v>122</v>
      </c>
      <c r="B3241" s="1">
        <v>3.68</v>
      </c>
      <c r="C3241" s="1">
        <v>113</v>
      </c>
      <c r="D3241" s="1" t="s">
        <v>43</v>
      </c>
      <c r="E3241" s="1" t="s">
        <v>18</v>
      </c>
      <c r="F3241" s="1">
        <f t="shared" si="102"/>
        <v>368</v>
      </c>
      <c r="G3241" s="5">
        <f t="shared" si="101"/>
        <v>0.30706521739130432</v>
      </c>
    </row>
    <row r="3242" spans="1:7" ht="15.75" customHeight="1">
      <c r="A3242" s="4" t="s">
        <v>122</v>
      </c>
      <c r="B3242" s="1">
        <v>7.29</v>
      </c>
      <c r="C3242" s="1">
        <v>178</v>
      </c>
      <c r="D3242" s="1" t="s">
        <v>11</v>
      </c>
      <c r="E3242" s="1" t="s">
        <v>7</v>
      </c>
      <c r="F3242" s="1">
        <f t="shared" si="102"/>
        <v>729</v>
      </c>
      <c r="G3242" s="5">
        <f t="shared" si="101"/>
        <v>0.24417009602194786</v>
      </c>
    </row>
    <row r="3243" spans="1:7" ht="15.75" customHeight="1">
      <c r="A3243" s="4" t="s">
        <v>122</v>
      </c>
      <c r="B3243" s="1">
        <v>6.72</v>
      </c>
      <c r="C3243" s="1">
        <v>61</v>
      </c>
      <c r="D3243" s="1" t="s">
        <v>39</v>
      </c>
      <c r="E3243" s="1" t="s">
        <v>25</v>
      </c>
      <c r="F3243" s="1">
        <f t="shared" si="102"/>
        <v>672</v>
      </c>
      <c r="G3243" s="5">
        <f t="shared" si="101"/>
        <v>9.0773809523809521E-2</v>
      </c>
    </row>
    <row r="3244" spans="1:7" ht="15.75" customHeight="1">
      <c r="A3244" s="4" t="s">
        <v>122</v>
      </c>
      <c r="B3244" s="1">
        <v>6.96</v>
      </c>
      <c r="C3244" s="1">
        <v>102</v>
      </c>
      <c r="D3244" s="1" t="s">
        <v>33</v>
      </c>
      <c r="E3244" s="1" t="s">
        <v>12</v>
      </c>
      <c r="F3244" s="1">
        <f t="shared" si="102"/>
        <v>696</v>
      </c>
      <c r="G3244" s="5">
        <f t="shared" si="101"/>
        <v>0.14655172413793102</v>
      </c>
    </row>
    <row r="3245" spans="1:7" ht="15.75" customHeight="1">
      <c r="A3245" s="4" t="s">
        <v>122</v>
      </c>
      <c r="B3245" s="1">
        <v>4.3499999999999996</v>
      </c>
      <c r="C3245" s="1">
        <v>77</v>
      </c>
      <c r="D3245" s="1" t="s">
        <v>11</v>
      </c>
      <c r="E3245" s="1" t="s">
        <v>15</v>
      </c>
      <c r="F3245" s="1">
        <f t="shared" si="102"/>
        <v>434.99999999999994</v>
      </c>
      <c r="G3245" s="5">
        <f t="shared" si="101"/>
        <v>0.17701149425287357</v>
      </c>
    </row>
    <row r="3246" spans="1:7" ht="15.75" customHeight="1">
      <c r="A3246" s="4" t="s">
        <v>122</v>
      </c>
      <c r="B3246" s="1">
        <v>6.8</v>
      </c>
      <c r="C3246" s="1">
        <v>50</v>
      </c>
      <c r="D3246" s="1" t="s">
        <v>37</v>
      </c>
      <c r="E3246" s="1" t="s">
        <v>14</v>
      </c>
      <c r="F3246" s="1">
        <f t="shared" si="102"/>
        <v>680</v>
      </c>
      <c r="G3246" s="5">
        <f t="shared" si="101"/>
        <v>7.3529411764705885E-2</v>
      </c>
    </row>
    <row r="3247" spans="1:7" ht="15.75" customHeight="1">
      <c r="A3247" s="4" t="s">
        <v>122</v>
      </c>
      <c r="B3247" s="1">
        <v>5.6</v>
      </c>
      <c r="C3247" s="1">
        <v>132</v>
      </c>
      <c r="D3247" s="1" t="s">
        <v>54</v>
      </c>
      <c r="E3247" s="1" t="s">
        <v>22</v>
      </c>
      <c r="F3247" s="1">
        <f t="shared" si="102"/>
        <v>560</v>
      </c>
      <c r="G3247" s="5">
        <f t="shared" si="101"/>
        <v>0.23571428571428571</v>
      </c>
    </row>
    <row r="3248" spans="1:7" ht="15.75" customHeight="1">
      <c r="A3248" s="4" t="s">
        <v>122</v>
      </c>
      <c r="B3248" s="1">
        <v>8.6</v>
      </c>
      <c r="C3248" s="1">
        <v>143</v>
      </c>
      <c r="D3248" s="1" t="s">
        <v>33</v>
      </c>
      <c r="E3248" s="1" t="s">
        <v>23</v>
      </c>
      <c r="F3248" s="1">
        <f t="shared" si="102"/>
        <v>860</v>
      </c>
      <c r="G3248" s="5">
        <f t="shared" si="101"/>
        <v>0.16627906976744186</v>
      </c>
    </row>
    <row r="3249" spans="1:7" ht="15.75" customHeight="1">
      <c r="A3249" s="4" t="s">
        <v>122</v>
      </c>
      <c r="B3249" s="1">
        <v>3</v>
      </c>
      <c r="C3249" s="1">
        <v>81</v>
      </c>
      <c r="D3249" s="1" t="s">
        <v>11</v>
      </c>
      <c r="E3249" s="1" t="s">
        <v>15</v>
      </c>
      <c r="F3249" s="1">
        <f t="shared" si="102"/>
        <v>300</v>
      </c>
      <c r="G3249" s="5">
        <f t="shared" si="101"/>
        <v>0.27</v>
      </c>
    </row>
    <row r="3250" spans="1:7" ht="15.75" customHeight="1">
      <c r="A3250" s="4" t="s">
        <v>122</v>
      </c>
      <c r="B3250" s="1">
        <v>5.4</v>
      </c>
      <c r="C3250" s="1">
        <v>99.2</v>
      </c>
      <c r="D3250" s="1" t="s">
        <v>33</v>
      </c>
      <c r="E3250" s="1" t="s">
        <v>17</v>
      </c>
      <c r="F3250" s="1">
        <f t="shared" si="102"/>
        <v>540</v>
      </c>
      <c r="G3250" s="5">
        <f t="shared" si="101"/>
        <v>0.1837037037037037</v>
      </c>
    </row>
    <row r="3251" spans="1:7" ht="15.75" customHeight="1">
      <c r="A3251" s="4" t="s">
        <v>122</v>
      </c>
      <c r="B3251" s="1">
        <v>6.96</v>
      </c>
      <c r="C3251" s="1">
        <v>133</v>
      </c>
      <c r="D3251" s="1" t="s">
        <v>11</v>
      </c>
      <c r="E3251" s="1" t="s">
        <v>16</v>
      </c>
      <c r="F3251" s="1">
        <f t="shared" si="102"/>
        <v>696</v>
      </c>
      <c r="G3251" s="5">
        <f t="shared" si="101"/>
        <v>0.19109195402298851</v>
      </c>
    </row>
    <row r="3252" spans="1:7" ht="15.75" customHeight="1">
      <c r="A3252" s="4" t="s">
        <v>122</v>
      </c>
      <c r="B3252" s="1">
        <v>6.96</v>
      </c>
      <c r="C3252" s="1">
        <v>85</v>
      </c>
      <c r="D3252" s="1" t="s">
        <v>39</v>
      </c>
      <c r="E3252" s="1" t="s">
        <v>62</v>
      </c>
      <c r="F3252" s="1">
        <f t="shared" si="102"/>
        <v>696</v>
      </c>
      <c r="G3252" s="5">
        <f t="shared" si="101"/>
        <v>0.1221264367816092</v>
      </c>
    </row>
    <row r="3253" spans="1:7" ht="15.75" customHeight="1">
      <c r="A3253" s="4" t="s">
        <v>122</v>
      </c>
      <c r="B3253" s="1">
        <v>8.9</v>
      </c>
      <c r="C3253" s="1">
        <v>190</v>
      </c>
      <c r="D3253" s="1" t="s">
        <v>42</v>
      </c>
      <c r="E3253" s="1" t="s">
        <v>17</v>
      </c>
      <c r="F3253" s="1">
        <f t="shared" si="102"/>
        <v>890</v>
      </c>
      <c r="G3253" s="5">
        <f t="shared" si="101"/>
        <v>0.21348314606741572</v>
      </c>
    </row>
    <row r="3254" spans="1:7" ht="15.75" customHeight="1">
      <c r="A3254" s="4" t="s">
        <v>122</v>
      </c>
      <c r="B3254" s="1">
        <v>6.7</v>
      </c>
      <c r="C3254" s="1">
        <v>159</v>
      </c>
      <c r="D3254" s="1" t="s">
        <v>11</v>
      </c>
      <c r="E3254" s="1" t="s">
        <v>16</v>
      </c>
      <c r="F3254" s="1">
        <f t="shared" si="102"/>
        <v>670</v>
      </c>
      <c r="G3254" s="5">
        <f t="shared" si="101"/>
        <v>0.2373134328358209</v>
      </c>
    </row>
    <row r="3255" spans="1:7" ht="15.75" customHeight="1">
      <c r="A3255" s="4" t="s">
        <v>122</v>
      </c>
      <c r="B3255" s="1">
        <v>6</v>
      </c>
      <c r="C3255" s="1">
        <v>146</v>
      </c>
      <c r="D3255" s="1" t="s">
        <v>11</v>
      </c>
      <c r="E3255" s="1" t="s">
        <v>30</v>
      </c>
      <c r="F3255" s="1">
        <f t="shared" si="102"/>
        <v>600</v>
      </c>
      <c r="G3255" s="5">
        <f t="shared" si="101"/>
        <v>0.24333333333333335</v>
      </c>
    </row>
    <row r="3256" spans="1:7" ht="15.75" customHeight="1">
      <c r="A3256" s="4" t="s">
        <v>122</v>
      </c>
      <c r="B3256" s="1">
        <v>6.6</v>
      </c>
      <c r="C3256" s="1">
        <v>146</v>
      </c>
      <c r="D3256" s="1" t="s">
        <v>11</v>
      </c>
      <c r="E3256" s="1" t="s">
        <v>8</v>
      </c>
      <c r="F3256" s="1">
        <f t="shared" si="102"/>
        <v>660</v>
      </c>
      <c r="G3256" s="5">
        <f t="shared" si="101"/>
        <v>0.22121212121212122</v>
      </c>
    </row>
    <row r="3257" spans="1:7" ht="15.75" customHeight="1">
      <c r="A3257" s="4" t="s">
        <v>122</v>
      </c>
      <c r="B3257" s="1">
        <v>5.6</v>
      </c>
      <c r="C3257" s="1">
        <v>87</v>
      </c>
      <c r="D3257" s="1" t="s">
        <v>33</v>
      </c>
      <c r="E3257" s="1" t="s">
        <v>14</v>
      </c>
      <c r="F3257" s="1">
        <f t="shared" si="102"/>
        <v>560</v>
      </c>
      <c r="G3257" s="5">
        <f t="shared" si="101"/>
        <v>0.15535714285714286</v>
      </c>
    </row>
    <row r="3258" spans="1:7" ht="15.75" customHeight="1">
      <c r="A3258" s="4" t="s">
        <v>122</v>
      </c>
      <c r="B3258" s="1">
        <v>4.9000000000000004</v>
      </c>
      <c r="C3258" s="1">
        <v>111.2</v>
      </c>
      <c r="D3258" s="1" t="s">
        <v>35</v>
      </c>
      <c r="E3258" s="1" t="s">
        <v>19</v>
      </c>
      <c r="F3258" s="1">
        <f t="shared" si="102"/>
        <v>490.00000000000006</v>
      </c>
      <c r="G3258" s="5">
        <f t="shared" si="101"/>
        <v>0.22693877551020405</v>
      </c>
    </row>
    <row r="3259" spans="1:7" ht="15.75" customHeight="1">
      <c r="A3259" s="4" t="s">
        <v>122</v>
      </c>
      <c r="B3259" s="1">
        <v>6.8</v>
      </c>
      <c r="C3259" s="1">
        <v>143</v>
      </c>
      <c r="D3259" s="1" t="s">
        <v>11</v>
      </c>
      <c r="E3259" s="1" t="s">
        <v>26</v>
      </c>
      <c r="F3259" s="1">
        <f t="shared" si="102"/>
        <v>680</v>
      </c>
      <c r="G3259" s="5">
        <f t="shared" si="101"/>
        <v>0.21029411764705883</v>
      </c>
    </row>
    <row r="3260" spans="1:7" ht="15.75" customHeight="1">
      <c r="A3260" s="4" t="s">
        <v>122</v>
      </c>
      <c r="B3260" s="1">
        <v>6.72</v>
      </c>
      <c r="C3260" s="1">
        <v>158</v>
      </c>
      <c r="D3260" s="1" t="s">
        <v>11</v>
      </c>
      <c r="E3260" s="1" t="s">
        <v>15</v>
      </c>
      <c r="F3260" s="1">
        <f t="shared" si="102"/>
        <v>672</v>
      </c>
      <c r="G3260" s="5">
        <f t="shared" si="101"/>
        <v>0.23511904761904762</v>
      </c>
    </row>
    <row r="3261" spans="1:7" ht="15.75" customHeight="1">
      <c r="A3261" s="4" t="s">
        <v>122</v>
      </c>
      <c r="B3261" s="1">
        <v>5.7</v>
      </c>
      <c r="C3261" s="1">
        <v>124</v>
      </c>
      <c r="D3261" s="1" t="s">
        <v>11</v>
      </c>
      <c r="E3261" s="1" t="s">
        <v>12</v>
      </c>
      <c r="F3261" s="1">
        <f t="shared" si="102"/>
        <v>570</v>
      </c>
      <c r="G3261" s="5">
        <f t="shared" si="101"/>
        <v>0.21754385964912282</v>
      </c>
    </row>
    <row r="3262" spans="1:7" ht="15.75" customHeight="1">
      <c r="A3262" s="4" t="s">
        <v>122</v>
      </c>
      <c r="B3262" s="1">
        <v>8.6999999999999993</v>
      </c>
      <c r="C3262" s="1">
        <v>155</v>
      </c>
      <c r="D3262" s="1" t="s">
        <v>11</v>
      </c>
      <c r="E3262" s="1" t="s">
        <v>9</v>
      </c>
      <c r="F3262" s="1">
        <f t="shared" si="102"/>
        <v>869.99999999999989</v>
      </c>
      <c r="G3262" s="5">
        <f t="shared" si="101"/>
        <v>0.17816091954022992</v>
      </c>
    </row>
    <row r="3263" spans="1:7" ht="15.75" customHeight="1">
      <c r="A3263" s="4" t="s">
        <v>122</v>
      </c>
      <c r="B3263" s="1">
        <v>4</v>
      </c>
      <c r="C3263" s="1">
        <v>76</v>
      </c>
      <c r="D3263" s="1" t="s">
        <v>44</v>
      </c>
      <c r="E3263" s="1" t="s">
        <v>21</v>
      </c>
      <c r="F3263" s="1">
        <f t="shared" si="102"/>
        <v>400</v>
      </c>
      <c r="G3263" s="5">
        <f t="shared" si="101"/>
        <v>0.19</v>
      </c>
    </row>
    <row r="3264" spans="1:7" ht="15.75" customHeight="1">
      <c r="A3264" s="4" t="s">
        <v>122</v>
      </c>
      <c r="B3264" s="1">
        <v>6.6</v>
      </c>
      <c r="C3264" s="1">
        <v>176</v>
      </c>
      <c r="D3264" s="1" t="s">
        <v>11</v>
      </c>
      <c r="E3264" s="1" t="s">
        <v>9</v>
      </c>
      <c r="F3264" s="1">
        <f t="shared" si="102"/>
        <v>660</v>
      </c>
      <c r="G3264" s="5">
        <f t="shared" si="101"/>
        <v>0.26666666666666666</v>
      </c>
    </row>
    <row r="3265" spans="1:7" ht="15.75" customHeight="1">
      <c r="A3265" s="4" t="s">
        <v>122</v>
      </c>
      <c r="B3265" s="1">
        <v>5.95</v>
      </c>
      <c r="C3265" s="1">
        <v>139</v>
      </c>
      <c r="D3265" s="1" t="s">
        <v>11</v>
      </c>
      <c r="E3265" s="1" t="s">
        <v>32</v>
      </c>
      <c r="F3265" s="1">
        <f t="shared" si="102"/>
        <v>595</v>
      </c>
      <c r="G3265" s="5">
        <f t="shared" si="101"/>
        <v>0.23361344537815126</v>
      </c>
    </row>
    <row r="3266" spans="1:7" ht="15.75" customHeight="1">
      <c r="A3266" s="4" t="s">
        <v>122</v>
      </c>
      <c r="B3266" s="1">
        <v>8.6999999999999993</v>
      </c>
      <c r="C3266" s="1">
        <v>240</v>
      </c>
      <c r="D3266" s="1" t="s">
        <v>11</v>
      </c>
      <c r="E3266" s="1" t="s">
        <v>27</v>
      </c>
      <c r="F3266" s="1">
        <f t="shared" si="102"/>
        <v>869.99999999999989</v>
      </c>
      <c r="G3266" s="5">
        <f t="shared" ref="G3266:G3320" si="103">C3266/F3266</f>
        <v>0.27586206896551729</v>
      </c>
    </row>
    <row r="3267" spans="1:7" ht="15.75" customHeight="1">
      <c r="A3267" s="4" t="s">
        <v>122</v>
      </c>
      <c r="B3267" s="1">
        <v>8.6999999999999993</v>
      </c>
      <c r="C3267" s="1">
        <v>277</v>
      </c>
      <c r="D3267" s="1" t="s">
        <v>11</v>
      </c>
      <c r="E3267" s="1" t="s">
        <v>24</v>
      </c>
      <c r="F3267" s="1">
        <f t="shared" si="102"/>
        <v>869.99999999999989</v>
      </c>
      <c r="G3267" s="5">
        <f t="shared" si="103"/>
        <v>0.31839080459770119</v>
      </c>
    </row>
    <row r="3268" spans="1:7" ht="15.75" customHeight="1">
      <c r="A3268" s="4" t="s">
        <v>122</v>
      </c>
      <c r="B3268" s="1">
        <v>6.6</v>
      </c>
      <c r="C3268" s="1">
        <v>266</v>
      </c>
      <c r="D3268" s="1" t="s">
        <v>11</v>
      </c>
      <c r="E3268" s="1" t="s">
        <v>9</v>
      </c>
      <c r="F3268" s="1">
        <f t="shared" si="102"/>
        <v>660</v>
      </c>
      <c r="G3268" s="5">
        <f t="shared" si="103"/>
        <v>0.40303030303030302</v>
      </c>
    </row>
    <row r="3269" spans="1:7" ht="15.75" customHeight="1">
      <c r="A3269" s="4" t="s">
        <v>122</v>
      </c>
      <c r="B3269" s="1">
        <v>6.09</v>
      </c>
      <c r="C3269" s="1">
        <v>125</v>
      </c>
      <c r="D3269" s="1" t="s">
        <v>11</v>
      </c>
      <c r="E3269" s="1" t="s">
        <v>28</v>
      </c>
      <c r="F3269" s="1">
        <f t="shared" si="102"/>
        <v>609</v>
      </c>
      <c r="G3269" s="5">
        <f t="shared" si="103"/>
        <v>0.20525451559934318</v>
      </c>
    </row>
    <row r="3270" spans="1:7" ht="15.75" customHeight="1">
      <c r="A3270" s="4" t="s">
        <v>122</v>
      </c>
      <c r="B3270" s="1">
        <v>8.6999999999999993</v>
      </c>
      <c r="C3270" s="1">
        <v>175</v>
      </c>
      <c r="D3270" s="1" t="s">
        <v>45</v>
      </c>
      <c r="E3270" s="1" t="s">
        <v>20</v>
      </c>
      <c r="F3270" s="1">
        <f t="shared" si="102"/>
        <v>869.99999999999989</v>
      </c>
      <c r="G3270" s="5">
        <f t="shared" si="103"/>
        <v>0.20114942528735635</v>
      </c>
    </row>
    <row r="3271" spans="1:7" ht="15.75" customHeight="1">
      <c r="A3271" s="4" t="s">
        <v>122</v>
      </c>
      <c r="B3271" s="1">
        <v>6.5</v>
      </c>
      <c r="C3271" s="1">
        <v>108</v>
      </c>
      <c r="D3271" s="1" t="s">
        <v>45</v>
      </c>
      <c r="E3271" s="1" t="s">
        <v>20</v>
      </c>
      <c r="F3271" s="1">
        <f t="shared" si="102"/>
        <v>650</v>
      </c>
      <c r="G3271" s="5">
        <f t="shared" si="103"/>
        <v>0.16615384615384615</v>
      </c>
    </row>
    <row r="3272" spans="1:7" ht="15.75" customHeight="1">
      <c r="A3272" s="4" t="s">
        <v>122</v>
      </c>
      <c r="B3272" s="1">
        <v>20</v>
      </c>
      <c r="C3272" s="1">
        <v>210</v>
      </c>
      <c r="D3272" s="1" t="s">
        <v>33</v>
      </c>
      <c r="E3272" s="1" t="s">
        <v>20</v>
      </c>
      <c r="F3272" s="1">
        <f t="shared" si="102"/>
        <v>2000</v>
      </c>
      <c r="G3272" s="5">
        <f t="shared" si="103"/>
        <v>0.105</v>
      </c>
    </row>
    <row r="3273" spans="1:7" ht="15.75" customHeight="1">
      <c r="A3273" s="4" t="s">
        <v>122</v>
      </c>
      <c r="B3273" s="1">
        <v>5.4</v>
      </c>
      <c r="C3273" s="1">
        <v>66</v>
      </c>
      <c r="D3273" s="1" t="s">
        <v>33</v>
      </c>
      <c r="E3273" s="1" t="s">
        <v>15</v>
      </c>
      <c r="F3273" s="1">
        <f t="shared" si="102"/>
        <v>540</v>
      </c>
      <c r="G3273" s="5">
        <f t="shared" si="103"/>
        <v>0.12222222222222222</v>
      </c>
    </row>
    <row r="3274" spans="1:7" ht="15.75" customHeight="1">
      <c r="A3274" s="4" t="s">
        <v>122</v>
      </c>
      <c r="B3274" s="1">
        <v>8.1999999999999993</v>
      </c>
      <c r="C3274" s="1">
        <v>183</v>
      </c>
      <c r="D3274" s="1" t="s">
        <v>43</v>
      </c>
      <c r="E3274" s="1" t="s">
        <v>25</v>
      </c>
      <c r="F3274" s="1">
        <f t="shared" si="102"/>
        <v>819.99999999999989</v>
      </c>
      <c r="G3274" s="5">
        <f t="shared" si="103"/>
        <v>0.2231707317073171</v>
      </c>
    </row>
    <row r="3275" spans="1:7" ht="15.75" customHeight="1">
      <c r="A3275" s="4" t="s">
        <v>122</v>
      </c>
      <c r="B3275" s="1">
        <v>5.6</v>
      </c>
      <c r="C3275" s="1">
        <v>136</v>
      </c>
      <c r="D3275" s="1" t="s">
        <v>11</v>
      </c>
      <c r="E3275" s="1" t="s">
        <v>8</v>
      </c>
      <c r="F3275" s="1">
        <f t="shared" si="102"/>
        <v>560</v>
      </c>
      <c r="G3275" s="5">
        <f t="shared" si="103"/>
        <v>0.24285714285714285</v>
      </c>
    </row>
    <row r="3276" spans="1:7" ht="15.75" customHeight="1">
      <c r="A3276" s="4" t="s">
        <v>122</v>
      </c>
      <c r="B3276" s="1">
        <v>6.09</v>
      </c>
      <c r="C3276" s="1">
        <v>106</v>
      </c>
      <c r="D3276" s="1" t="s">
        <v>38</v>
      </c>
      <c r="E3276" s="1" t="s">
        <v>9</v>
      </c>
      <c r="F3276" s="1">
        <f t="shared" si="102"/>
        <v>609</v>
      </c>
      <c r="G3276" s="5">
        <f t="shared" si="103"/>
        <v>0.17405582922824303</v>
      </c>
    </row>
    <row r="3277" spans="1:7" ht="15.75" customHeight="1">
      <c r="A3277" s="4" t="s">
        <v>122</v>
      </c>
      <c r="B3277" s="1">
        <v>5</v>
      </c>
      <c r="C3277" s="1">
        <v>174</v>
      </c>
      <c r="D3277" s="1" t="s">
        <v>11</v>
      </c>
      <c r="E3277" s="1" t="s">
        <v>15</v>
      </c>
      <c r="F3277" s="1">
        <f t="shared" si="102"/>
        <v>500</v>
      </c>
      <c r="G3277" s="5">
        <f t="shared" si="103"/>
        <v>0.34799999999999998</v>
      </c>
    </row>
    <row r="3278" spans="1:7" ht="15.75" customHeight="1">
      <c r="A3278" s="4" t="s">
        <v>122</v>
      </c>
      <c r="B3278" s="1">
        <v>6.4</v>
      </c>
      <c r="C3278" s="1">
        <v>195</v>
      </c>
      <c r="D3278" s="1" t="s">
        <v>11</v>
      </c>
      <c r="E3278" s="1" t="s">
        <v>16</v>
      </c>
      <c r="F3278" s="1">
        <f t="shared" si="102"/>
        <v>640</v>
      </c>
      <c r="G3278" s="5">
        <f t="shared" si="103"/>
        <v>0.3046875</v>
      </c>
    </row>
    <row r="3279" spans="1:7" ht="15.75" customHeight="1">
      <c r="A3279" s="4" t="s">
        <v>122</v>
      </c>
      <c r="B3279" s="1">
        <v>7.4</v>
      </c>
      <c r="C3279" s="1">
        <v>174</v>
      </c>
      <c r="D3279" s="1" t="s">
        <v>42</v>
      </c>
      <c r="E3279" s="1" t="s">
        <v>49</v>
      </c>
      <c r="F3279" s="1">
        <f t="shared" si="102"/>
        <v>740</v>
      </c>
      <c r="G3279" s="5">
        <f t="shared" si="103"/>
        <v>0.23513513513513515</v>
      </c>
    </row>
    <row r="3280" spans="1:7" ht="15.75" customHeight="1">
      <c r="A3280" s="4" t="s">
        <v>122</v>
      </c>
      <c r="B3280" s="1">
        <v>7.74</v>
      </c>
      <c r="C3280" s="1">
        <v>163</v>
      </c>
      <c r="D3280" s="1" t="s">
        <v>37</v>
      </c>
      <c r="E3280" s="1" t="s">
        <v>16</v>
      </c>
      <c r="F3280" s="1">
        <f t="shared" si="102"/>
        <v>774</v>
      </c>
      <c r="G3280" s="5">
        <f t="shared" si="103"/>
        <v>0.21059431524547803</v>
      </c>
    </row>
    <row r="3281" spans="1:7" ht="15.75" customHeight="1">
      <c r="A3281" s="4" t="s">
        <v>122</v>
      </c>
      <c r="B3281" s="1">
        <v>6.08</v>
      </c>
      <c r="C3281" s="1">
        <v>166</v>
      </c>
      <c r="D3281" s="1" t="s">
        <v>11</v>
      </c>
      <c r="E3281" s="1" t="s">
        <v>7</v>
      </c>
      <c r="F3281" s="1">
        <f t="shared" si="102"/>
        <v>608</v>
      </c>
      <c r="G3281" s="5">
        <f t="shared" si="103"/>
        <v>0.27302631578947367</v>
      </c>
    </row>
    <row r="3282" spans="1:7" ht="15.75" customHeight="1">
      <c r="A3282" s="4" t="s">
        <v>122</v>
      </c>
      <c r="B3282" s="1">
        <v>5.28</v>
      </c>
      <c r="C3282" s="1">
        <v>83</v>
      </c>
      <c r="D3282" s="1" t="s">
        <v>33</v>
      </c>
      <c r="E3282" s="1" t="s">
        <v>21</v>
      </c>
      <c r="F3282" s="1">
        <f t="shared" si="102"/>
        <v>528</v>
      </c>
      <c r="G3282" s="5">
        <f t="shared" si="103"/>
        <v>0.1571969696969697</v>
      </c>
    </row>
    <row r="3283" spans="1:7" ht="15.75" customHeight="1">
      <c r="A3283" s="4" t="s">
        <v>122</v>
      </c>
      <c r="B3283" s="1">
        <v>8.8000000000000007</v>
      </c>
      <c r="C3283" s="1">
        <v>157</v>
      </c>
      <c r="D3283" s="1" t="s">
        <v>88</v>
      </c>
      <c r="E3283" s="1" t="s">
        <v>22</v>
      </c>
      <c r="F3283" s="1">
        <f t="shared" si="102"/>
        <v>880.00000000000011</v>
      </c>
      <c r="G3283" s="5">
        <f t="shared" si="103"/>
        <v>0.17840909090909088</v>
      </c>
    </row>
    <row r="3284" spans="1:7" ht="15.75" customHeight="1">
      <c r="A3284" s="4" t="s">
        <v>122</v>
      </c>
      <c r="B3284" s="1">
        <v>7.6</v>
      </c>
      <c r="C3284" s="1">
        <v>250</v>
      </c>
      <c r="D3284" s="1" t="s">
        <v>11</v>
      </c>
      <c r="E3284" s="1" t="s">
        <v>8</v>
      </c>
      <c r="F3284" s="1">
        <f t="shared" si="102"/>
        <v>760</v>
      </c>
      <c r="G3284" s="5">
        <f t="shared" si="103"/>
        <v>0.32894736842105265</v>
      </c>
    </row>
    <row r="3285" spans="1:7" ht="15.75" customHeight="1">
      <c r="A3285" s="4" t="s">
        <v>122</v>
      </c>
      <c r="B3285" s="1">
        <v>5.0999999999999996</v>
      </c>
      <c r="C3285" s="1">
        <v>70</v>
      </c>
      <c r="D3285" s="1" t="s">
        <v>33</v>
      </c>
      <c r="E3285" s="1" t="s">
        <v>15</v>
      </c>
      <c r="F3285" s="1">
        <f t="shared" si="102"/>
        <v>509.99999999999994</v>
      </c>
      <c r="G3285" s="5">
        <f t="shared" si="103"/>
        <v>0.13725490196078433</v>
      </c>
    </row>
    <row r="3286" spans="1:7" ht="15.75" customHeight="1">
      <c r="A3286" s="4" t="s">
        <v>122</v>
      </c>
      <c r="B3286" s="1">
        <v>5.5</v>
      </c>
      <c r="C3286" s="1">
        <v>182</v>
      </c>
      <c r="D3286" s="1" t="s">
        <v>11</v>
      </c>
      <c r="E3286" s="1" t="s">
        <v>15</v>
      </c>
      <c r="F3286" s="1">
        <f t="shared" si="102"/>
        <v>550</v>
      </c>
      <c r="G3286" s="5">
        <f t="shared" si="103"/>
        <v>0.33090909090909093</v>
      </c>
    </row>
    <row r="3287" spans="1:7" ht="15.75" customHeight="1">
      <c r="A3287" s="4" t="s">
        <v>122</v>
      </c>
      <c r="B3287" s="1">
        <v>6.9</v>
      </c>
      <c r="C3287" s="1">
        <v>122</v>
      </c>
      <c r="D3287" s="1" t="s">
        <v>11</v>
      </c>
      <c r="E3287" s="1" t="s">
        <v>26</v>
      </c>
      <c r="F3287" s="1">
        <f t="shared" si="102"/>
        <v>690</v>
      </c>
      <c r="G3287" s="5">
        <f t="shared" si="103"/>
        <v>0.17681159420289855</v>
      </c>
    </row>
    <row r="3288" spans="1:7" ht="15.75" customHeight="1">
      <c r="A3288" s="4" t="s">
        <v>122</v>
      </c>
      <c r="B3288" s="1">
        <v>4.5599999999999996</v>
      </c>
      <c r="C3288" s="1">
        <v>67.5</v>
      </c>
      <c r="D3288" s="1" t="s">
        <v>33</v>
      </c>
      <c r="E3288" s="1" t="s">
        <v>17</v>
      </c>
      <c r="F3288" s="1">
        <f t="shared" si="102"/>
        <v>455.99999999999994</v>
      </c>
      <c r="G3288" s="5">
        <f t="shared" si="103"/>
        <v>0.1480263157894737</v>
      </c>
    </row>
    <row r="3289" spans="1:7" ht="15.75" customHeight="1">
      <c r="A3289" s="4" t="s">
        <v>122</v>
      </c>
      <c r="B3289" s="1">
        <v>5.6</v>
      </c>
      <c r="C3289" s="1">
        <v>57</v>
      </c>
      <c r="D3289" s="1" t="s">
        <v>33</v>
      </c>
      <c r="E3289" s="1" t="s">
        <v>29</v>
      </c>
      <c r="F3289" s="1">
        <f t="shared" si="102"/>
        <v>560</v>
      </c>
      <c r="G3289" s="5">
        <f t="shared" si="103"/>
        <v>0.10178571428571428</v>
      </c>
    </row>
    <row r="3290" spans="1:7" ht="15.75" customHeight="1">
      <c r="A3290" s="4" t="s">
        <v>122</v>
      </c>
      <c r="B3290" s="1">
        <v>6.5</v>
      </c>
      <c r="C3290" s="1">
        <v>196</v>
      </c>
      <c r="D3290" s="1" t="s">
        <v>11</v>
      </c>
      <c r="E3290" s="1" t="s">
        <v>15</v>
      </c>
      <c r="F3290" s="1">
        <f t="shared" si="102"/>
        <v>650</v>
      </c>
      <c r="G3290" s="5">
        <f t="shared" si="103"/>
        <v>0.30153846153846153</v>
      </c>
    </row>
    <row r="3291" spans="1:7" ht="15.75" customHeight="1">
      <c r="A3291" s="4" t="s">
        <v>122</v>
      </c>
      <c r="B3291" s="1">
        <v>8.58</v>
      </c>
      <c r="C3291" s="1">
        <v>117</v>
      </c>
      <c r="D3291" s="1" t="s">
        <v>80</v>
      </c>
      <c r="E3291" s="1" t="s">
        <v>17</v>
      </c>
      <c r="F3291" s="1">
        <f t="shared" si="102"/>
        <v>858</v>
      </c>
      <c r="G3291" s="5">
        <f t="shared" si="103"/>
        <v>0.13636363636363635</v>
      </c>
    </row>
    <row r="3292" spans="1:7" ht="15.75" customHeight="1">
      <c r="A3292" s="4" t="s">
        <v>122</v>
      </c>
      <c r="B3292" s="1">
        <v>4</v>
      </c>
      <c r="C3292" s="1">
        <v>97</v>
      </c>
      <c r="D3292" s="1" t="s">
        <v>11</v>
      </c>
      <c r="E3292" s="1" t="s">
        <v>9</v>
      </c>
      <c r="F3292" s="1">
        <f t="shared" si="102"/>
        <v>400</v>
      </c>
      <c r="G3292" s="5">
        <f t="shared" si="103"/>
        <v>0.24249999999999999</v>
      </c>
    </row>
    <row r="3293" spans="1:7" ht="15.75" customHeight="1">
      <c r="A3293" s="4" t="s">
        <v>122</v>
      </c>
      <c r="B3293" s="1">
        <v>4.3499999999999996</v>
      </c>
      <c r="C3293" s="1">
        <v>117</v>
      </c>
      <c r="D3293" s="1" t="s">
        <v>11</v>
      </c>
      <c r="E3293" s="1" t="s">
        <v>8</v>
      </c>
      <c r="F3293" s="1">
        <f t="shared" si="102"/>
        <v>434.99999999999994</v>
      </c>
      <c r="G3293" s="5">
        <f t="shared" si="103"/>
        <v>0.26896551724137935</v>
      </c>
    </row>
    <row r="3294" spans="1:7" ht="15.75" customHeight="1">
      <c r="A3294" s="4" t="s">
        <v>122</v>
      </c>
      <c r="B3294" s="1">
        <v>7.56</v>
      </c>
      <c r="C3294" s="1">
        <v>154</v>
      </c>
      <c r="D3294" s="1" t="s">
        <v>11</v>
      </c>
      <c r="E3294" s="1" t="s">
        <v>25</v>
      </c>
      <c r="F3294" s="1">
        <f t="shared" si="102"/>
        <v>756</v>
      </c>
      <c r="G3294" s="5">
        <f t="shared" si="103"/>
        <v>0.20370370370370369</v>
      </c>
    </row>
    <row r="3295" spans="1:7" ht="15.75" customHeight="1">
      <c r="A3295" s="4" t="s">
        <v>122</v>
      </c>
      <c r="B3295" s="1">
        <v>6.4</v>
      </c>
      <c r="C3295" s="1">
        <v>102</v>
      </c>
      <c r="D3295" s="1" t="s">
        <v>33</v>
      </c>
      <c r="E3295" s="1" t="s">
        <v>8</v>
      </c>
      <c r="F3295" s="1">
        <f t="shared" si="102"/>
        <v>640</v>
      </c>
      <c r="G3295" s="5">
        <f t="shared" si="103"/>
        <v>0.15937499999999999</v>
      </c>
    </row>
    <row r="3296" spans="1:7" ht="15.75" customHeight="1">
      <c r="A3296" s="4" t="s">
        <v>122</v>
      </c>
      <c r="B3296" s="1">
        <v>6.25</v>
      </c>
      <c r="C3296" s="1">
        <v>195</v>
      </c>
      <c r="D3296" s="1" t="s">
        <v>11</v>
      </c>
      <c r="E3296" s="1" t="s">
        <v>32</v>
      </c>
      <c r="F3296" s="1">
        <f t="shared" ref="F3296:F3320" si="104">B3296*100</f>
        <v>625</v>
      </c>
      <c r="G3296" s="5">
        <f t="shared" si="103"/>
        <v>0.312</v>
      </c>
    </row>
    <row r="3297" spans="1:9" ht="15.75" customHeight="1">
      <c r="A3297" s="4" t="s">
        <v>122</v>
      </c>
      <c r="B3297" s="1">
        <v>6.9</v>
      </c>
      <c r="C3297" s="1">
        <v>124</v>
      </c>
      <c r="D3297" s="1" t="s">
        <v>38</v>
      </c>
      <c r="E3297" s="1" t="s">
        <v>8</v>
      </c>
      <c r="F3297" s="1">
        <f t="shared" si="104"/>
        <v>690</v>
      </c>
      <c r="G3297" s="5">
        <f t="shared" si="103"/>
        <v>0.17971014492753623</v>
      </c>
    </row>
    <row r="3298" spans="1:9" ht="15.75" customHeight="1">
      <c r="A3298" s="4" t="s">
        <v>122</v>
      </c>
      <c r="B3298" s="1">
        <v>3.48</v>
      </c>
      <c r="C3298" s="1">
        <v>83</v>
      </c>
      <c r="D3298" s="1" t="s">
        <v>11</v>
      </c>
      <c r="E3298" s="1" t="s">
        <v>7</v>
      </c>
      <c r="F3298" s="1">
        <f t="shared" si="104"/>
        <v>348</v>
      </c>
      <c r="G3298" s="5">
        <f t="shared" si="103"/>
        <v>0.23850574712643677</v>
      </c>
    </row>
    <row r="3299" spans="1:9" ht="15.75" customHeight="1">
      <c r="A3299" s="4" t="s">
        <v>122</v>
      </c>
      <c r="B3299" s="1">
        <v>7.6</v>
      </c>
      <c r="C3299" s="1">
        <v>58</v>
      </c>
      <c r="D3299" s="1" t="s">
        <v>33</v>
      </c>
      <c r="E3299" s="1" t="s">
        <v>17</v>
      </c>
      <c r="F3299" s="1">
        <f t="shared" si="104"/>
        <v>760</v>
      </c>
      <c r="G3299" s="5">
        <f t="shared" si="103"/>
        <v>7.6315789473684212E-2</v>
      </c>
    </row>
    <row r="3300" spans="1:9" ht="15.75" customHeight="1">
      <c r="A3300" s="4" t="s">
        <v>122</v>
      </c>
      <c r="B3300" s="1">
        <v>7.3</v>
      </c>
      <c r="C3300" s="1">
        <v>225</v>
      </c>
      <c r="D3300" s="1" t="s">
        <v>38</v>
      </c>
      <c r="E3300" s="1" t="s">
        <v>9</v>
      </c>
      <c r="F3300" s="1">
        <f t="shared" si="104"/>
        <v>730</v>
      </c>
      <c r="G3300" s="5">
        <f t="shared" si="103"/>
        <v>0.30821917808219179</v>
      </c>
    </row>
    <row r="3301" spans="1:9" ht="15.75" customHeight="1">
      <c r="A3301" s="4" t="s">
        <v>122</v>
      </c>
      <c r="B3301" s="1">
        <v>9.1999999999999993</v>
      </c>
      <c r="C3301" s="1">
        <v>57</v>
      </c>
      <c r="D3301" s="1" t="s">
        <v>33</v>
      </c>
      <c r="E3301" s="1" t="s">
        <v>20</v>
      </c>
      <c r="F3301" s="1">
        <f t="shared" si="104"/>
        <v>919.99999999999989</v>
      </c>
      <c r="G3301" s="5">
        <f t="shared" si="103"/>
        <v>6.1956521739130445E-2</v>
      </c>
    </row>
    <row r="3302" spans="1:9" ht="15.75" customHeight="1">
      <c r="A3302" s="4" t="s">
        <v>122</v>
      </c>
      <c r="B3302" s="1">
        <v>4.7300000000000004</v>
      </c>
      <c r="C3302" s="1">
        <v>110</v>
      </c>
      <c r="D3302" s="1" t="s">
        <v>39</v>
      </c>
      <c r="E3302" s="1" t="s">
        <v>9</v>
      </c>
      <c r="F3302" s="1">
        <f t="shared" si="104"/>
        <v>473.00000000000006</v>
      </c>
      <c r="G3302" s="5">
        <f t="shared" si="103"/>
        <v>0.23255813953488369</v>
      </c>
    </row>
    <row r="3303" spans="1:9" ht="15.75" customHeight="1">
      <c r="A3303" s="4" t="s">
        <v>122</v>
      </c>
      <c r="B3303" s="1">
        <v>6.38</v>
      </c>
      <c r="C3303" s="1">
        <v>155</v>
      </c>
      <c r="D3303" s="1" t="s">
        <v>11</v>
      </c>
      <c r="E3303" s="1" t="s">
        <v>12</v>
      </c>
      <c r="F3303" s="1">
        <f t="shared" si="104"/>
        <v>638</v>
      </c>
      <c r="G3303" s="5">
        <f t="shared" si="103"/>
        <v>0.24294670846394983</v>
      </c>
    </row>
    <row r="3304" spans="1:9" ht="15.75" customHeight="1">
      <c r="A3304" s="4" t="s">
        <v>122</v>
      </c>
      <c r="B3304" s="1">
        <v>6.7</v>
      </c>
      <c r="C3304" s="1">
        <v>159.58000000000001</v>
      </c>
      <c r="D3304" s="1" t="s">
        <v>11</v>
      </c>
      <c r="E3304" s="1" t="s">
        <v>17</v>
      </c>
      <c r="F3304" s="1">
        <f t="shared" si="104"/>
        <v>670</v>
      </c>
      <c r="G3304" s="5">
        <f t="shared" si="103"/>
        <v>0.23817910447761195</v>
      </c>
    </row>
    <row r="3305" spans="1:9" ht="15.75" customHeight="1">
      <c r="A3305" s="4" t="s">
        <v>122</v>
      </c>
      <c r="B3305" s="1">
        <v>6.72</v>
      </c>
      <c r="C3305" s="1">
        <v>98</v>
      </c>
      <c r="D3305" s="1" t="s">
        <v>33</v>
      </c>
      <c r="E3305" s="1" t="s">
        <v>27</v>
      </c>
      <c r="F3305" s="1">
        <f t="shared" si="104"/>
        <v>672</v>
      </c>
      <c r="G3305" s="5">
        <f t="shared" si="103"/>
        <v>0.14583333333333334</v>
      </c>
    </row>
    <row r="3306" spans="1:9" ht="15.75" customHeight="1">
      <c r="A3306" s="4" t="s">
        <v>122</v>
      </c>
      <c r="B3306" s="1">
        <v>6.7</v>
      </c>
      <c r="C3306" s="1">
        <v>150</v>
      </c>
      <c r="D3306" s="1" t="s">
        <v>43</v>
      </c>
      <c r="E3306" s="1" t="s">
        <v>49</v>
      </c>
      <c r="F3306" s="1">
        <f t="shared" si="104"/>
        <v>670</v>
      </c>
      <c r="G3306" s="5">
        <f t="shared" si="103"/>
        <v>0.22388059701492538</v>
      </c>
    </row>
    <row r="3307" spans="1:9" ht="15.75" customHeight="1">
      <c r="A3307" s="4" t="s">
        <v>122</v>
      </c>
      <c r="B3307" s="1">
        <v>7.5</v>
      </c>
      <c r="C3307" s="1">
        <v>95</v>
      </c>
      <c r="D3307" s="1" t="s">
        <v>11</v>
      </c>
      <c r="E3307" s="1" t="s">
        <v>16</v>
      </c>
      <c r="F3307" s="1">
        <f t="shared" si="104"/>
        <v>750</v>
      </c>
      <c r="G3307" s="5">
        <f t="shared" si="103"/>
        <v>0.12666666666666668</v>
      </c>
    </row>
    <row r="3308" spans="1:9" ht="15.75" customHeight="1">
      <c r="A3308" s="4" t="s">
        <v>122</v>
      </c>
      <c r="B3308" s="1">
        <v>8.3000000000000007</v>
      </c>
      <c r="C3308" s="1">
        <v>100</v>
      </c>
      <c r="D3308" s="1" t="s">
        <v>43</v>
      </c>
      <c r="E3308" s="1" t="s">
        <v>12</v>
      </c>
      <c r="F3308" s="1">
        <f t="shared" si="104"/>
        <v>830.00000000000011</v>
      </c>
      <c r="G3308" s="5">
        <f t="shared" si="103"/>
        <v>0.12048192771084336</v>
      </c>
    </row>
    <row r="3309" spans="1:9" ht="15.75" customHeight="1">
      <c r="A3309" s="4" t="s">
        <v>122</v>
      </c>
      <c r="B3309" s="1">
        <v>8.19</v>
      </c>
      <c r="C3309" s="1">
        <v>111</v>
      </c>
      <c r="D3309" s="1" t="s">
        <v>33</v>
      </c>
      <c r="E3309" s="1" t="s">
        <v>16</v>
      </c>
      <c r="F3309" s="1">
        <f t="shared" si="104"/>
        <v>819</v>
      </c>
      <c r="G3309" s="5">
        <f t="shared" si="103"/>
        <v>0.13553113553113552</v>
      </c>
      <c r="I3309" s="7"/>
    </row>
    <row r="3310" spans="1:9" ht="15.75" customHeight="1">
      <c r="A3310" s="4" t="s">
        <v>122</v>
      </c>
      <c r="B3310" s="1">
        <v>5.2</v>
      </c>
      <c r="C3310" s="1">
        <v>145</v>
      </c>
      <c r="D3310" s="1" t="s">
        <v>11</v>
      </c>
      <c r="E3310" s="1" t="s">
        <v>16</v>
      </c>
      <c r="F3310" s="1">
        <f t="shared" si="104"/>
        <v>520</v>
      </c>
      <c r="G3310" s="5">
        <f t="shared" si="103"/>
        <v>0.27884615384615385</v>
      </c>
      <c r="I3310" s="7"/>
    </row>
    <row r="3311" spans="1:9" ht="15.75" customHeight="1">
      <c r="A3311" s="4" t="s">
        <v>122</v>
      </c>
      <c r="B3311" s="1">
        <v>4.3499999999999996</v>
      </c>
      <c r="C3311" s="1">
        <v>102</v>
      </c>
      <c r="D3311" s="1" t="s">
        <v>11</v>
      </c>
      <c r="E3311" s="1" t="s">
        <v>16</v>
      </c>
      <c r="F3311" s="1">
        <f t="shared" si="104"/>
        <v>434.99999999999994</v>
      </c>
      <c r="G3311" s="5">
        <f t="shared" si="103"/>
        <v>0.23448275862068968</v>
      </c>
      <c r="I3311" s="7"/>
    </row>
    <row r="3312" spans="1:9" ht="15.75" customHeight="1">
      <c r="A3312" s="4" t="s">
        <v>122</v>
      </c>
      <c r="B3312" s="1">
        <v>7.74</v>
      </c>
      <c r="C3312" s="1">
        <v>110</v>
      </c>
      <c r="D3312" s="1" t="s">
        <v>11</v>
      </c>
      <c r="E3312" s="1" t="s">
        <v>17</v>
      </c>
      <c r="F3312" s="1">
        <f t="shared" si="104"/>
        <v>774</v>
      </c>
      <c r="G3312" s="5">
        <f t="shared" si="103"/>
        <v>0.1421188630490956</v>
      </c>
    </row>
    <row r="3313" spans="1:7" ht="15.75" customHeight="1">
      <c r="A3313" s="4" t="s">
        <v>122</v>
      </c>
      <c r="B3313" s="1">
        <v>5.6</v>
      </c>
      <c r="C3313" s="1">
        <v>97</v>
      </c>
      <c r="D3313" s="1" t="s">
        <v>11</v>
      </c>
      <c r="E3313" s="1" t="s">
        <v>17</v>
      </c>
      <c r="F3313" s="1">
        <f t="shared" si="104"/>
        <v>560</v>
      </c>
      <c r="G3313" s="5">
        <f t="shared" si="103"/>
        <v>0.17321428571428571</v>
      </c>
    </row>
    <row r="3314" spans="1:7" ht="15.75" customHeight="1">
      <c r="A3314" s="4" t="s">
        <v>122</v>
      </c>
      <c r="B3314" s="1">
        <v>7.74</v>
      </c>
      <c r="C3314" s="1">
        <v>160</v>
      </c>
      <c r="D3314" s="1" t="s">
        <v>42</v>
      </c>
      <c r="E3314" s="1" t="s">
        <v>49</v>
      </c>
      <c r="F3314" s="1">
        <f t="shared" si="104"/>
        <v>774</v>
      </c>
      <c r="G3314" s="5">
        <f t="shared" si="103"/>
        <v>0.20671834625322996</v>
      </c>
    </row>
    <row r="3315" spans="1:7" ht="15.75" customHeight="1">
      <c r="A3315" s="4" t="s">
        <v>122</v>
      </c>
      <c r="B3315" s="1">
        <v>7.29</v>
      </c>
      <c r="C3315" s="1">
        <v>293</v>
      </c>
      <c r="D3315" s="1" t="s">
        <v>11</v>
      </c>
      <c r="E3315" s="1" t="s">
        <v>18</v>
      </c>
      <c r="F3315" s="1">
        <f t="shared" si="104"/>
        <v>729</v>
      </c>
      <c r="G3315" s="5">
        <f t="shared" si="103"/>
        <v>0.40192043895747598</v>
      </c>
    </row>
    <row r="3316" spans="1:7" ht="15.75" customHeight="1">
      <c r="A3316" s="4" t="s">
        <v>122</v>
      </c>
      <c r="B3316" s="1">
        <v>8</v>
      </c>
      <c r="C3316" s="1">
        <v>153</v>
      </c>
      <c r="D3316" s="1" t="s">
        <v>11</v>
      </c>
      <c r="E3316" s="1" t="s">
        <v>8</v>
      </c>
      <c r="F3316" s="1">
        <f t="shared" si="104"/>
        <v>800</v>
      </c>
      <c r="G3316" s="5">
        <f t="shared" si="103"/>
        <v>0.19125</v>
      </c>
    </row>
    <row r="3317" spans="1:7" ht="15.75" customHeight="1">
      <c r="A3317" s="4" t="s">
        <v>122</v>
      </c>
      <c r="B3317" s="1">
        <v>4.3499999999999996</v>
      </c>
      <c r="C3317" s="1">
        <v>93</v>
      </c>
      <c r="D3317" s="1" t="s">
        <v>42</v>
      </c>
      <c r="E3317" s="1" t="s">
        <v>30</v>
      </c>
      <c r="F3317" s="1">
        <f t="shared" si="104"/>
        <v>434.99999999999994</v>
      </c>
      <c r="G3317" s="5">
        <f t="shared" si="103"/>
        <v>0.2137931034482759</v>
      </c>
    </row>
    <row r="3318" spans="1:7" ht="15.75" customHeight="1">
      <c r="A3318" s="4" t="s">
        <v>122</v>
      </c>
      <c r="B3318" s="1">
        <v>4.5</v>
      </c>
      <c r="C3318" s="1">
        <v>118</v>
      </c>
      <c r="D3318" s="1" t="s">
        <v>11</v>
      </c>
      <c r="E3318" s="1" t="s">
        <v>22</v>
      </c>
      <c r="F3318" s="1">
        <f t="shared" si="104"/>
        <v>450</v>
      </c>
      <c r="G3318" s="5">
        <f t="shared" si="103"/>
        <v>0.26222222222222225</v>
      </c>
    </row>
    <row r="3319" spans="1:7" ht="15.75" customHeight="1">
      <c r="A3319" s="4" t="s">
        <v>122</v>
      </c>
      <c r="B3319" s="1">
        <v>6.96</v>
      </c>
      <c r="C3319" s="1">
        <v>178</v>
      </c>
      <c r="D3319" s="1" t="s">
        <v>38</v>
      </c>
      <c r="E3319" s="1" t="s">
        <v>15</v>
      </c>
      <c r="F3319" s="1">
        <f t="shared" si="104"/>
        <v>696</v>
      </c>
      <c r="G3319" s="5">
        <f t="shared" si="103"/>
        <v>0.2557471264367816</v>
      </c>
    </row>
    <row r="3320" spans="1:7" ht="15.75" customHeight="1">
      <c r="A3320" s="4" t="s">
        <v>122</v>
      </c>
      <c r="B3320" s="1">
        <v>8.6999999999999993</v>
      </c>
      <c r="C3320" s="1">
        <v>131</v>
      </c>
      <c r="D3320" s="1" t="s">
        <v>33</v>
      </c>
      <c r="E3320" s="1" t="s">
        <v>10</v>
      </c>
      <c r="F3320" s="1">
        <f t="shared" si="104"/>
        <v>869.99999999999989</v>
      </c>
      <c r="G3320" s="5">
        <f t="shared" si="103"/>
        <v>0.15057471264367819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0147-909C-1745-8739-4840517A16C4}">
  <sheetPr>
    <outlinePr summaryBelow="0" summaryRight="0"/>
  </sheetPr>
  <dimension ref="A1:Q3320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12.5" defaultRowHeight="15.75" customHeight="1"/>
  <cols>
    <col min="1" max="1" width="18.83203125" customWidth="1"/>
    <col min="2" max="2" width="15.1640625" customWidth="1"/>
    <col min="3" max="3" width="13.5" customWidth="1"/>
    <col min="4" max="6" width="18.83203125" customWidth="1"/>
    <col min="7" max="7" width="12" customWidth="1"/>
    <col min="8" max="9" width="18.83203125" customWidth="1"/>
  </cols>
  <sheetData>
    <row r="1" spans="1:17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ht="13">
      <c r="A2" s="4" t="s">
        <v>112</v>
      </c>
      <c r="B2" s="1">
        <v>7</v>
      </c>
      <c r="C2" s="1">
        <v>125</v>
      </c>
      <c r="D2" s="1" t="s">
        <v>33</v>
      </c>
      <c r="E2" s="1" t="s">
        <v>20</v>
      </c>
      <c r="F2" s="4">
        <f>$B$2*(VLOOKUP(A2, I30:J41, 2, FALSE))</f>
        <v>550.9</v>
      </c>
      <c r="G2" s="5">
        <f t="shared" ref="G2:G65" si="0">C2/F2</f>
        <v>0.226901434017063</v>
      </c>
    </row>
    <row r="3" spans="1:17" ht="13">
      <c r="A3" s="4" t="s">
        <v>112</v>
      </c>
      <c r="B3" s="1">
        <v>5.6</v>
      </c>
      <c r="C3" s="1">
        <v>164</v>
      </c>
      <c r="D3" s="1" t="s">
        <v>52</v>
      </c>
      <c r="E3" s="1" t="s">
        <v>22</v>
      </c>
      <c r="F3" s="1">
        <f t="shared" ref="F3:F66" si="1">B3*100</f>
        <v>560</v>
      </c>
      <c r="G3" s="5">
        <f t="shared" si="0"/>
        <v>0.29285714285714287</v>
      </c>
      <c r="J3" s="8" t="s">
        <v>11</v>
      </c>
      <c r="K3" s="8" t="s">
        <v>55</v>
      </c>
      <c r="L3" s="8" t="s">
        <v>40</v>
      </c>
      <c r="M3" s="8" t="s">
        <v>125</v>
      </c>
      <c r="N3" s="8" t="s">
        <v>39</v>
      </c>
      <c r="O3" s="8" t="s">
        <v>43</v>
      </c>
      <c r="P3" s="8" t="s">
        <v>126</v>
      </c>
      <c r="Q3" s="8" t="s">
        <v>127</v>
      </c>
    </row>
    <row r="4" spans="1:17" ht="13">
      <c r="A4" s="4" t="s">
        <v>112</v>
      </c>
      <c r="B4" s="1">
        <v>6.09</v>
      </c>
      <c r="C4" s="1">
        <v>109</v>
      </c>
      <c r="D4" s="1" t="s">
        <v>33</v>
      </c>
      <c r="E4" s="1" t="s">
        <v>21</v>
      </c>
      <c r="F4" s="1">
        <f t="shared" si="1"/>
        <v>609</v>
      </c>
      <c r="G4" s="5">
        <f t="shared" si="0"/>
        <v>0.17898193760262726</v>
      </c>
      <c r="I4" s="8" t="s">
        <v>112</v>
      </c>
      <c r="J4">
        <f>AVERAGEIFS(G:G, D:D, "South", A:A, I4)</f>
        <v>0.36511181902279138</v>
      </c>
      <c r="K4" t="e" cm="1">
        <f t="array" ref="K4">AVERAGEIFS(H:H, E:E, East, B:B, J3)</f>
        <v>#DIV/0!</v>
      </c>
      <c r="L4">
        <f>AVERAGEIFS(G:G, D:D, "West", A:A, I4)</f>
        <v>0.14083333333333334</v>
      </c>
      <c r="M4" t="e">
        <f>AVERAGEIFS(G:G, D:D, "North", A:A, I4)</f>
        <v>#DIV/0!</v>
      </c>
      <c r="N4">
        <f>AVERAGEIFS(G:G, D:D, "South-East", A:A, I4)</f>
        <v>0.30939539565826329</v>
      </c>
      <c r="O4">
        <f>AVERAGEIFS(G:G, D:D, "South-West", A:A, I4)</f>
        <v>0.31493496732026144</v>
      </c>
      <c r="P4">
        <f>AVERAGEIFS(G:G, D:D, "West, East", A:A, I4)</f>
        <v>0.17563519162833102</v>
      </c>
      <c r="Q4">
        <f>AVERAGEIFS(G:G, D:D, "South, West", A:A, I4)</f>
        <v>0.2741005608974359</v>
      </c>
    </row>
    <row r="5" spans="1:17" ht="13">
      <c r="A5" s="4" t="s">
        <v>112</v>
      </c>
      <c r="B5" s="1">
        <v>6.45</v>
      </c>
      <c r="C5" s="1">
        <v>207</v>
      </c>
      <c r="D5" s="1" t="s">
        <v>44</v>
      </c>
      <c r="E5" s="1" t="s">
        <v>30</v>
      </c>
      <c r="F5" s="1">
        <f t="shared" si="1"/>
        <v>645</v>
      </c>
      <c r="G5" s="5">
        <f t="shared" si="0"/>
        <v>0.32093023255813952</v>
      </c>
      <c r="I5" s="8" t="s">
        <v>113</v>
      </c>
      <c r="J5">
        <f t="shared" ref="J5:J15" si="2">AVERAGEIFS(G:G, D:D, "South", A:A, I5)</f>
        <v>0.41788644552137477</v>
      </c>
      <c r="K5" t="e" cm="1">
        <f t="array" ref="K5">AVERAGEIFS(H:H, E:E, East, B:B, J4)</f>
        <v>#DIV/0!</v>
      </c>
      <c r="L5">
        <f t="shared" ref="L5:L15" si="3">AVERAGEIFS(G:G, D:D, "West", A:A, I5)</f>
        <v>0.27673392771742844</v>
      </c>
      <c r="M5" t="e">
        <f t="shared" ref="M5:M15" si="4">AVERAGEIFS(G:G, D:D, "North", A:A, I5)</f>
        <v>#DIV/0!</v>
      </c>
      <c r="N5">
        <f t="shared" ref="N5:N15" si="5">AVERAGEIFS(G:G, D:D, "South-East", A:A, I5)</f>
        <v>0.3840679471086742</v>
      </c>
      <c r="O5">
        <f t="shared" ref="O5:O15" si="6">AVERAGEIFS(G:G, D:D, "South-West", A:A, I5)</f>
        <v>0.40426086824868662</v>
      </c>
      <c r="P5">
        <f t="shared" ref="P5:P15" si="7">AVERAGEIFS(G:G, D:D, "West, East", A:A, I5)</f>
        <v>0.30445477512940189</v>
      </c>
      <c r="Q5">
        <f t="shared" ref="Q5:Q15" si="8">AVERAGEIFS(G:G, D:D, "South, West", A:A, I5)</f>
        <v>0.35406381732111752</v>
      </c>
    </row>
    <row r="6" spans="1:17" ht="13">
      <c r="A6" s="4" t="s">
        <v>112</v>
      </c>
      <c r="B6" s="1">
        <v>5.4</v>
      </c>
      <c r="C6" s="1">
        <v>261</v>
      </c>
      <c r="D6" s="1" t="s">
        <v>11</v>
      </c>
      <c r="E6" s="1" t="s">
        <v>8</v>
      </c>
      <c r="F6" s="1">
        <f t="shared" si="1"/>
        <v>540</v>
      </c>
      <c r="G6" s="5">
        <f t="shared" si="0"/>
        <v>0.48333333333333334</v>
      </c>
      <c r="I6" s="8" t="s">
        <v>114</v>
      </c>
      <c r="J6">
        <f t="shared" si="2"/>
        <v>0.66756813684091409</v>
      </c>
      <c r="K6" t="e" cm="1">
        <f t="array" ref="K6">AVERAGEIFS(H:H, E:E, East, B:B, J5)</f>
        <v>#DIV/0!</v>
      </c>
      <c r="L6">
        <f t="shared" si="3"/>
        <v>0.41006106893106897</v>
      </c>
      <c r="M6" t="e">
        <f t="shared" si="4"/>
        <v>#DIV/0!</v>
      </c>
      <c r="N6">
        <f t="shared" si="5"/>
        <v>0.64657477193640056</v>
      </c>
      <c r="O6">
        <f t="shared" si="6"/>
        <v>0.58693701960888722</v>
      </c>
      <c r="P6">
        <f t="shared" si="7"/>
        <v>0.54047334810704728</v>
      </c>
      <c r="Q6">
        <f t="shared" si="8"/>
        <v>0.69036240620523148</v>
      </c>
    </row>
    <row r="7" spans="1:17" ht="13">
      <c r="A7" s="4" t="s">
        <v>112</v>
      </c>
      <c r="B7" s="1">
        <v>3.4</v>
      </c>
      <c r="C7" s="1">
        <v>78</v>
      </c>
      <c r="D7" s="1" t="s">
        <v>44</v>
      </c>
      <c r="E7" s="1" t="s">
        <v>15</v>
      </c>
      <c r="F7" s="1">
        <f t="shared" si="1"/>
        <v>340</v>
      </c>
      <c r="G7" s="5">
        <f t="shared" si="0"/>
        <v>0.22941176470588234</v>
      </c>
      <c r="I7" s="8" t="s">
        <v>115</v>
      </c>
      <c r="J7">
        <f t="shared" si="2"/>
        <v>0.95948532103315864</v>
      </c>
      <c r="K7" t="e" cm="1">
        <f t="array" ref="K7">AVERAGEIFS(H:H, E:E, East, B:B, J6)</f>
        <v>#DIV/0!</v>
      </c>
      <c r="L7">
        <f t="shared" si="3"/>
        <v>0.89165178920571087</v>
      </c>
      <c r="M7" t="e">
        <f t="shared" si="4"/>
        <v>#DIV/0!</v>
      </c>
      <c r="N7">
        <f t="shared" si="5"/>
        <v>0.95747452287927581</v>
      </c>
      <c r="O7">
        <f t="shared" si="6"/>
        <v>1.2362112441317594</v>
      </c>
      <c r="P7">
        <f t="shared" si="7"/>
        <v>0.8989547214217557</v>
      </c>
      <c r="Q7">
        <f t="shared" si="8"/>
        <v>0.89433547868275698</v>
      </c>
    </row>
    <row r="8" spans="1:17" ht="13">
      <c r="A8" s="4" t="s">
        <v>112</v>
      </c>
      <c r="B8" s="1">
        <v>7.8</v>
      </c>
      <c r="C8" s="1">
        <v>321</v>
      </c>
      <c r="D8" s="1" t="s">
        <v>47</v>
      </c>
      <c r="E8" s="1" t="s">
        <v>23</v>
      </c>
      <c r="F8" s="1">
        <f t="shared" si="1"/>
        <v>780</v>
      </c>
      <c r="G8" s="5">
        <f t="shared" si="0"/>
        <v>0.41153846153846152</v>
      </c>
      <c r="I8" s="8" t="s">
        <v>116</v>
      </c>
      <c r="J8">
        <f t="shared" si="2"/>
        <v>1.1122375976908621</v>
      </c>
      <c r="K8" t="e" cm="1">
        <f t="array" ref="K8">AVERAGEIFS(H:H, E:E, East, B:B, J7)</f>
        <v>#DIV/0!</v>
      </c>
      <c r="L8">
        <f t="shared" si="3"/>
        <v>1.14221933888661</v>
      </c>
      <c r="M8" t="e">
        <f t="shared" si="4"/>
        <v>#DIV/0!</v>
      </c>
      <c r="N8">
        <f t="shared" si="5"/>
        <v>1.0917510954854006</v>
      </c>
      <c r="O8">
        <f t="shared" si="6"/>
        <v>1.028263824440486</v>
      </c>
      <c r="P8">
        <f t="shared" si="7"/>
        <v>1.063076204422341</v>
      </c>
      <c r="Q8">
        <f t="shared" si="8"/>
        <v>1.0726438220576147</v>
      </c>
    </row>
    <row r="9" spans="1:17" ht="13">
      <c r="A9" s="4" t="s">
        <v>112</v>
      </c>
      <c r="B9" s="1">
        <v>6.2</v>
      </c>
      <c r="C9" s="1">
        <v>226</v>
      </c>
      <c r="D9" s="1" t="s">
        <v>11</v>
      </c>
      <c r="E9" s="1" t="s">
        <v>27</v>
      </c>
      <c r="F9" s="1">
        <f t="shared" si="1"/>
        <v>620</v>
      </c>
      <c r="G9" s="5">
        <f t="shared" si="0"/>
        <v>0.36451612903225805</v>
      </c>
      <c r="I9" s="8" t="s">
        <v>117</v>
      </c>
      <c r="J9">
        <f t="shared" si="2"/>
        <v>1.1913929752475647</v>
      </c>
      <c r="K9" t="e" cm="1">
        <f t="array" ref="K9">AVERAGEIFS(H:H, E:E, East, B:B, J8)</f>
        <v>#DIV/0!</v>
      </c>
      <c r="L9">
        <f t="shared" si="3"/>
        <v>1.1431469644047458</v>
      </c>
      <c r="M9" t="e">
        <f t="shared" si="4"/>
        <v>#DIV/0!</v>
      </c>
      <c r="N9">
        <f t="shared" si="5"/>
        <v>1.1932480084994177</v>
      </c>
      <c r="O9">
        <f t="shared" si="6"/>
        <v>1.2725832898658358</v>
      </c>
      <c r="P9">
        <f t="shared" si="7"/>
        <v>1.1836215817323748</v>
      </c>
      <c r="Q9">
        <f t="shared" si="8"/>
        <v>1.2088811406528437</v>
      </c>
    </row>
    <row r="10" spans="1:17" ht="13">
      <c r="A10" s="4" t="s">
        <v>112</v>
      </c>
      <c r="B10" s="1">
        <v>6</v>
      </c>
      <c r="C10" s="1">
        <v>258</v>
      </c>
      <c r="D10" s="1" t="s">
        <v>43</v>
      </c>
      <c r="E10" s="1" t="s">
        <v>8</v>
      </c>
      <c r="F10" s="1">
        <f t="shared" si="1"/>
        <v>600</v>
      </c>
      <c r="G10" s="5">
        <f t="shared" si="0"/>
        <v>0.43</v>
      </c>
      <c r="I10" s="8" t="s">
        <v>118</v>
      </c>
      <c r="J10">
        <f t="shared" si="2"/>
        <v>1.1097364653274264</v>
      </c>
      <c r="K10" t="e" cm="1">
        <f t="array" ref="K10">AVERAGEIFS(H:H, E:E, East, B:B, J9)</f>
        <v>#DIV/0!</v>
      </c>
      <c r="L10">
        <f t="shared" si="3"/>
        <v>1.0790016222525571</v>
      </c>
      <c r="M10" t="e">
        <f t="shared" si="4"/>
        <v>#DIV/0!</v>
      </c>
      <c r="N10">
        <f t="shared" si="5"/>
        <v>1.138398802223997</v>
      </c>
      <c r="O10">
        <f t="shared" si="6"/>
        <v>1.1946469873674079</v>
      </c>
      <c r="P10">
        <f t="shared" si="7"/>
        <v>1.032555126381038</v>
      </c>
      <c r="Q10">
        <f t="shared" si="8"/>
        <v>1.0247295274348758</v>
      </c>
    </row>
    <row r="11" spans="1:17" ht="13">
      <c r="A11" s="4" t="s">
        <v>112</v>
      </c>
      <c r="B11" s="1">
        <v>5.2</v>
      </c>
      <c r="C11" s="1">
        <v>92</v>
      </c>
      <c r="D11" s="1" t="s">
        <v>54</v>
      </c>
      <c r="E11" s="1" t="s">
        <v>18</v>
      </c>
      <c r="F11" s="1">
        <f t="shared" si="1"/>
        <v>520</v>
      </c>
      <c r="G11" s="5">
        <f t="shared" si="0"/>
        <v>0.17692307692307693</v>
      </c>
      <c r="I11" s="8" t="s">
        <v>119</v>
      </c>
      <c r="J11">
        <f t="shared" si="2"/>
        <v>1.1260872168257841</v>
      </c>
      <c r="K11" t="e" cm="1">
        <f t="array" ref="K11">AVERAGEIFS(H:H, E:E, East, B:B, J10)</f>
        <v>#DIV/0!</v>
      </c>
      <c r="L11">
        <f t="shared" si="3"/>
        <v>0.9490170370370371</v>
      </c>
      <c r="M11" t="e">
        <f t="shared" si="4"/>
        <v>#DIV/0!</v>
      </c>
      <c r="N11">
        <f t="shared" si="5"/>
        <v>1.0163160518891563</v>
      </c>
      <c r="O11">
        <f t="shared" si="6"/>
        <v>0.96053270200462648</v>
      </c>
      <c r="P11">
        <f t="shared" si="7"/>
        <v>0.92493300112695565</v>
      </c>
      <c r="Q11">
        <f t="shared" si="8"/>
        <v>0.91350456930340695</v>
      </c>
    </row>
    <row r="12" spans="1:17" ht="13">
      <c r="A12" s="4" t="s">
        <v>112</v>
      </c>
      <c r="B12" s="1">
        <v>5.16</v>
      </c>
      <c r="C12" s="1">
        <v>97</v>
      </c>
      <c r="D12" s="1" t="s">
        <v>33</v>
      </c>
      <c r="E12" s="1" t="s">
        <v>15</v>
      </c>
      <c r="F12" s="1">
        <f t="shared" si="1"/>
        <v>516</v>
      </c>
      <c r="G12" s="5">
        <f t="shared" si="0"/>
        <v>0.18798449612403101</v>
      </c>
      <c r="I12" s="8" t="s">
        <v>120</v>
      </c>
      <c r="J12">
        <f t="shared" si="2"/>
        <v>0.81401762239378661</v>
      </c>
      <c r="K12" t="e" cm="1">
        <f t="array" ref="K12">AVERAGEIFS(H:H, E:E, East, B:B, J11)</f>
        <v>#DIV/0!</v>
      </c>
      <c r="L12">
        <f t="shared" si="3"/>
        <v>0.75136402387041779</v>
      </c>
      <c r="M12" t="e">
        <f t="shared" si="4"/>
        <v>#DIV/0!</v>
      </c>
      <c r="N12">
        <f t="shared" si="5"/>
        <v>0.78455745426602619</v>
      </c>
      <c r="O12">
        <f t="shared" si="6"/>
        <v>0.79133473418562561</v>
      </c>
      <c r="P12">
        <f t="shared" si="7"/>
        <v>0.64539953392008498</v>
      </c>
      <c r="Q12">
        <f t="shared" si="8"/>
        <v>0.68623792298083008</v>
      </c>
    </row>
    <row r="13" spans="1:17" ht="13">
      <c r="A13" s="4" t="s">
        <v>112</v>
      </c>
      <c r="B13" s="1">
        <v>6.32</v>
      </c>
      <c r="C13" s="1">
        <v>152</v>
      </c>
      <c r="D13" s="1" t="s">
        <v>61</v>
      </c>
      <c r="E13" s="1" t="s">
        <v>62</v>
      </c>
      <c r="F13" s="1">
        <f t="shared" si="1"/>
        <v>632</v>
      </c>
      <c r="G13" s="5">
        <f t="shared" si="0"/>
        <v>0.24050632911392406</v>
      </c>
      <c r="I13" s="8" t="s">
        <v>121</v>
      </c>
      <c r="J13">
        <f t="shared" si="2"/>
        <v>0.54491007650150669</v>
      </c>
      <c r="K13" t="e" cm="1">
        <f t="array" ref="K13">AVERAGEIFS(H:H, E:E, East, B:B, J12)</f>
        <v>#DIV/0!</v>
      </c>
      <c r="L13">
        <f t="shared" si="3"/>
        <v>0.41152704435502779</v>
      </c>
      <c r="M13" t="e">
        <f t="shared" si="4"/>
        <v>#DIV/0!</v>
      </c>
      <c r="N13">
        <f t="shared" si="5"/>
        <v>0.54740723350620724</v>
      </c>
      <c r="O13">
        <f t="shared" si="6"/>
        <v>0.50732732899528332</v>
      </c>
      <c r="P13">
        <f t="shared" si="7"/>
        <v>0.37654243096164364</v>
      </c>
      <c r="Q13">
        <f t="shared" si="8"/>
        <v>0.49798513371018249</v>
      </c>
    </row>
    <row r="14" spans="1:17" ht="13">
      <c r="A14" s="4" t="s">
        <v>112</v>
      </c>
      <c r="B14" s="1">
        <v>6.09</v>
      </c>
      <c r="C14" s="1">
        <v>164</v>
      </c>
      <c r="D14" s="1" t="s">
        <v>63</v>
      </c>
      <c r="E14" s="1" t="s">
        <v>23</v>
      </c>
      <c r="F14" s="1">
        <f t="shared" si="1"/>
        <v>609</v>
      </c>
      <c r="G14" s="5">
        <f t="shared" si="0"/>
        <v>0.26929392446633826</v>
      </c>
      <c r="I14" s="8" t="s">
        <v>122</v>
      </c>
      <c r="J14">
        <f t="shared" si="2"/>
        <v>0.24978417780444068</v>
      </c>
      <c r="K14" t="e" cm="1">
        <f t="array" ref="K14">AVERAGEIFS(H:H, E:E, East, B:B, J13)</f>
        <v>#DIV/0!</v>
      </c>
      <c r="L14">
        <f t="shared" si="3"/>
        <v>0.15098039215686276</v>
      </c>
      <c r="M14" t="e">
        <f t="shared" si="4"/>
        <v>#DIV/0!</v>
      </c>
      <c r="N14">
        <f t="shared" si="5"/>
        <v>0.25406693423178062</v>
      </c>
      <c r="O14">
        <f t="shared" si="6"/>
        <v>0.23262454813923059</v>
      </c>
      <c r="P14">
        <f t="shared" si="7"/>
        <v>0.14442652294617078</v>
      </c>
      <c r="Q14">
        <f t="shared" si="8"/>
        <v>0.15720410971981558</v>
      </c>
    </row>
    <row r="15" spans="1:17" ht="13">
      <c r="A15" s="4" t="s">
        <v>112</v>
      </c>
      <c r="B15" s="1">
        <v>8</v>
      </c>
      <c r="C15" s="1">
        <v>275</v>
      </c>
      <c r="D15" s="1" t="s">
        <v>47</v>
      </c>
      <c r="E15" s="1" t="s">
        <v>7</v>
      </c>
      <c r="F15" s="1">
        <f t="shared" si="1"/>
        <v>800</v>
      </c>
      <c r="G15" s="5">
        <f t="shared" si="0"/>
        <v>0.34375</v>
      </c>
      <c r="I15" s="8" t="s">
        <v>123</v>
      </c>
      <c r="J15" t="e">
        <f t="shared" si="2"/>
        <v>#DIV/0!</v>
      </c>
      <c r="K15" t="e" cm="1">
        <f t="array" ref="K15">AVERAGEIFS(H:H, E:E, East, B:B, J14)</f>
        <v>#DIV/0!</v>
      </c>
      <c r="L15" t="e">
        <f t="shared" si="3"/>
        <v>#DIV/0!</v>
      </c>
      <c r="M15" t="e">
        <f t="shared" si="4"/>
        <v>#DIV/0!</v>
      </c>
      <c r="N15" t="e">
        <f t="shared" si="5"/>
        <v>#DIV/0!</v>
      </c>
      <c r="O15" t="e">
        <f t="shared" si="6"/>
        <v>#DIV/0!</v>
      </c>
      <c r="P15" t="e">
        <f t="shared" si="7"/>
        <v>#DIV/0!</v>
      </c>
      <c r="Q15" t="e">
        <f t="shared" si="8"/>
        <v>#DIV/0!</v>
      </c>
    </row>
    <row r="16" spans="1:17" ht="13">
      <c r="A16" s="4" t="s">
        <v>112</v>
      </c>
      <c r="B16" s="1">
        <v>5.88</v>
      </c>
      <c r="C16" s="1">
        <v>161</v>
      </c>
      <c r="D16" s="1" t="s">
        <v>39</v>
      </c>
      <c r="E16" s="1" t="s">
        <v>19</v>
      </c>
      <c r="F16" s="1">
        <f t="shared" si="1"/>
        <v>588</v>
      </c>
      <c r="G16" s="5">
        <f t="shared" si="0"/>
        <v>0.27380952380952384</v>
      </c>
      <c r="I16" s="8"/>
    </row>
    <row r="17" spans="1:12" ht="13">
      <c r="A17" s="4" t="s">
        <v>112</v>
      </c>
      <c r="B17" s="1">
        <v>8</v>
      </c>
      <c r="C17" s="1">
        <v>266</v>
      </c>
      <c r="D17" s="1" t="s">
        <v>11</v>
      </c>
      <c r="E17" s="1" t="s">
        <v>22</v>
      </c>
      <c r="F17" s="1">
        <f t="shared" si="1"/>
        <v>800</v>
      </c>
      <c r="G17" s="5">
        <f t="shared" si="0"/>
        <v>0.33250000000000002</v>
      </c>
    </row>
    <row r="18" spans="1:12" ht="13">
      <c r="A18" s="4" t="s">
        <v>112</v>
      </c>
      <c r="B18" s="1">
        <v>7.5</v>
      </c>
      <c r="C18" s="1">
        <v>166</v>
      </c>
      <c r="D18" s="1" t="s">
        <v>43</v>
      </c>
      <c r="E18" s="1" t="s">
        <v>24</v>
      </c>
      <c r="F18" s="1">
        <f t="shared" si="1"/>
        <v>750</v>
      </c>
      <c r="G18" s="5">
        <f t="shared" si="0"/>
        <v>0.22133333333333333</v>
      </c>
      <c r="I18" s="8"/>
      <c r="J18" s="9"/>
    </row>
    <row r="19" spans="1:12" ht="13">
      <c r="A19" s="4" t="s">
        <v>112</v>
      </c>
      <c r="B19" s="1">
        <v>7.8</v>
      </c>
      <c r="C19" s="1">
        <v>196</v>
      </c>
      <c r="D19" s="1" t="s">
        <v>58</v>
      </c>
      <c r="E19" s="1" t="s">
        <v>10</v>
      </c>
      <c r="F19" s="1">
        <f t="shared" si="1"/>
        <v>780</v>
      </c>
      <c r="G19" s="5">
        <f t="shared" si="0"/>
        <v>0.25128205128205128</v>
      </c>
      <c r="I19" s="8"/>
      <c r="J19" s="9"/>
    </row>
    <row r="20" spans="1:12" ht="13">
      <c r="A20" s="4" t="s">
        <v>112</v>
      </c>
      <c r="B20" s="1">
        <v>4.3499999999999996</v>
      </c>
      <c r="C20" s="1">
        <v>185</v>
      </c>
      <c r="D20" s="1" t="s">
        <v>11</v>
      </c>
      <c r="E20" s="1" t="s">
        <v>24</v>
      </c>
      <c r="F20" s="1">
        <f t="shared" si="1"/>
        <v>434.99999999999994</v>
      </c>
      <c r="G20" s="5">
        <f t="shared" si="0"/>
        <v>0.42528735632183912</v>
      </c>
      <c r="I20" s="8"/>
      <c r="J20" s="9"/>
    </row>
    <row r="21" spans="1:12" ht="13">
      <c r="A21" s="4" t="s">
        <v>112</v>
      </c>
      <c r="B21" s="1">
        <v>7.83</v>
      </c>
      <c r="C21" s="1">
        <v>242</v>
      </c>
      <c r="D21" s="1" t="s">
        <v>11</v>
      </c>
      <c r="E21" s="1" t="s">
        <v>21</v>
      </c>
      <c r="F21" s="1">
        <f t="shared" si="1"/>
        <v>783</v>
      </c>
      <c r="G21" s="5">
        <f t="shared" si="0"/>
        <v>0.30906768837803322</v>
      </c>
      <c r="I21" s="8"/>
      <c r="J21" s="9"/>
    </row>
    <row r="22" spans="1:12" ht="13">
      <c r="A22" s="4" t="s">
        <v>112</v>
      </c>
      <c r="B22" s="1">
        <v>7.83</v>
      </c>
      <c r="C22" s="1">
        <v>387</v>
      </c>
      <c r="D22" s="1" t="s">
        <v>11</v>
      </c>
      <c r="E22" s="1" t="s">
        <v>8</v>
      </c>
      <c r="F22" s="1">
        <f t="shared" si="1"/>
        <v>783</v>
      </c>
      <c r="G22" s="5">
        <f t="shared" si="0"/>
        <v>0.4942528735632184</v>
      </c>
      <c r="I22" s="8"/>
      <c r="J22" s="9"/>
    </row>
    <row r="23" spans="1:12" ht="13">
      <c r="A23" s="4" t="s">
        <v>112</v>
      </c>
      <c r="B23" s="1">
        <v>7.74</v>
      </c>
      <c r="C23" s="1">
        <v>308</v>
      </c>
      <c r="D23" s="1" t="s">
        <v>11</v>
      </c>
      <c r="E23" s="1" t="s">
        <v>29</v>
      </c>
      <c r="F23" s="1">
        <f t="shared" si="1"/>
        <v>774</v>
      </c>
      <c r="G23" s="5">
        <f t="shared" si="0"/>
        <v>0.3979328165374677</v>
      </c>
      <c r="I23" s="8"/>
      <c r="J23" s="9"/>
    </row>
    <row r="24" spans="1:12" ht="13">
      <c r="A24" s="4" t="s">
        <v>112</v>
      </c>
      <c r="B24" s="1">
        <v>7.4</v>
      </c>
      <c r="C24" s="1">
        <v>262</v>
      </c>
      <c r="D24" s="1" t="s">
        <v>38</v>
      </c>
      <c r="E24" s="1" t="s">
        <v>17</v>
      </c>
      <c r="F24" s="1">
        <f t="shared" si="1"/>
        <v>740</v>
      </c>
      <c r="G24" s="5">
        <f t="shared" si="0"/>
        <v>0.35405405405405405</v>
      </c>
      <c r="I24" s="8"/>
      <c r="J24" s="9"/>
    </row>
    <row r="25" spans="1:12" ht="13">
      <c r="A25" s="4" t="s">
        <v>112</v>
      </c>
      <c r="B25" s="1">
        <v>6.72</v>
      </c>
      <c r="C25" s="1">
        <v>102</v>
      </c>
      <c r="D25" s="1" t="s">
        <v>33</v>
      </c>
      <c r="E25" s="1" t="s">
        <v>27</v>
      </c>
      <c r="F25" s="1">
        <f t="shared" si="1"/>
        <v>672</v>
      </c>
      <c r="G25" s="5">
        <f t="shared" si="0"/>
        <v>0.15178571428571427</v>
      </c>
      <c r="I25" s="8"/>
      <c r="J25" s="9"/>
    </row>
    <row r="26" spans="1:12" ht="13">
      <c r="A26" s="4" t="s">
        <v>112</v>
      </c>
      <c r="B26" s="1">
        <v>7.8</v>
      </c>
      <c r="C26" s="1">
        <v>251</v>
      </c>
      <c r="D26" s="1" t="s">
        <v>35</v>
      </c>
      <c r="E26" s="1" t="s">
        <v>23</v>
      </c>
      <c r="F26" s="1">
        <f t="shared" si="1"/>
        <v>780</v>
      </c>
      <c r="G26" s="5">
        <f t="shared" si="0"/>
        <v>0.32179487179487182</v>
      </c>
      <c r="I26" s="8"/>
      <c r="J26" s="9"/>
    </row>
    <row r="27" spans="1:12" ht="13">
      <c r="A27" s="4" t="s">
        <v>112</v>
      </c>
      <c r="B27" s="1">
        <v>8.6</v>
      </c>
      <c r="C27" s="1">
        <v>161.19999999999999</v>
      </c>
      <c r="D27" s="1" t="s">
        <v>33</v>
      </c>
      <c r="E27" s="1" t="s">
        <v>26</v>
      </c>
      <c r="F27" s="1">
        <f t="shared" si="1"/>
        <v>860</v>
      </c>
      <c r="G27" s="5">
        <f t="shared" si="0"/>
        <v>0.18744186046511627</v>
      </c>
      <c r="I27" s="8"/>
      <c r="J27" s="9"/>
    </row>
    <row r="28" spans="1:12" ht="13">
      <c r="A28" s="4" t="s">
        <v>112</v>
      </c>
      <c r="B28" s="1">
        <v>7.74</v>
      </c>
      <c r="C28" s="1">
        <v>173</v>
      </c>
      <c r="D28" s="1" t="s">
        <v>52</v>
      </c>
      <c r="E28" s="1" t="s">
        <v>30</v>
      </c>
      <c r="F28" s="1">
        <f t="shared" si="1"/>
        <v>774</v>
      </c>
      <c r="G28" s="5">
        <f t="shared" si="0"/>
        <v>0.22351421188630491</v>
      </c>
      <c r="I28" s="8"/>
      <c r="J28" s="9"/>
    </row>
    <row r="29" spans="1:12" ht="13">
      <c r="A29" s="4" t="s">
        <v>112</v>
      </c>
      <c r="B29" s="1">
        <v>5.12</v>
      </c>
      <c r="C29" s="1">
        <v>104</v>
      </c>
      <c r="D29" s="1" t="s">
        <v>39</v>
      </c>
      <c r="E29" s="1" t="s">
        <v>15</v>
      </c>
      <c r="F29" s="1">
        <f t="shared" si="1"/>
        <v>512</v>
      </c>
      <c r="G29" s="5">
        <f t="shared" si="0"/>
        <v>0.203125</v>
      </c>
      <c r="I29" s="8"/>
      <c r="J29" s="10" t="s">
        <v>128</v>
      </c>
      <c r="K29" s="8"/>
      <c r="L29" s="8"/>
    </row>
    <row r="30" spans="1:12" ht="13">
      <c r="A30" s="4" t="s">
        <v>112</v>
      </c>
      <c r="B30" s="1">
        <v>6.5</v>
      </c>
      <c r="C30" s="1">
        <v>245</v>
      </c>
      <c r="D30" s="1" t="s">
        <v>11</v>
      </c>
      <c r="E30" s="1" t="s">
        <v>17</v>
      </c>
      <c r="F30" s="1">
        <f t="shared" si="1"/>
        <v>650</v>
      </c>
      <c r="G30" s="5">
        <f t="shared" si="0"/>
        <v>0.37692307692307692</v>
      </c>
      <c r="I30" s="8" t="s">
        <v>112</v>
      </c>
      <c r="J30" s="11">
        <v>78.7</v>
      </c>
    </row>
    <row r="31" spans="1:12" ht="13">
      <c r="A31" s="4" t="s">
        <v>112</v>
      </c>
      <c r="B31" s="1">
        <v>7.5</v>
      </c>
      <c r="C31" s="1">
        <v>326</v>
      </c>
      <c r="D31" s="1" t="s">
        <v>39</v>
      </c>
      <c r="E31" s="1" t="s">
        <v>9</v>
      </c>
      <c r="F31" s="1">
        <f t="shared" si="1"/>
        <v>750</v>
      </c>
      <c r="G31" s="5">
        <f t="shared" si="0"/>
        <v>0.43466666666666665</v>
      </c>
      <c r="I31" s="8" t="s">
        <v>113</v>
      </c>
      <c r="J31" s="11">
        <v>63.3</v>
      </c>
    </row>
    <row r="32" spans="1:12" ht="13">
      <c r="A32" s="4" t="s">
        <v>112</v>
      </c>
      <c r="B32" s="1">
        <v>6.72</v>
      </c>
      <c r="C32" s="1">
        <v>231</v>
      </c>
      <c r="D32" s="1" t="s">
        <v>11</v>
      </c>
      <c r="E32" s="1" t="s">
        <v>24</v>
      </c>
      <c r="F32" s="1">
        <f t="shared" si="1"/>
        <v>672</v>
      </c>
      <c r="G32" s="5">
        <f t="shared" si="0"/>
        <v>0.34375</v>
      </c>
      <c r="I32" s="8" t="s">
        <v>114</v>
      </c>
      <c r="J32" s="11">
        <v>84</v>
      </c>
    </row>
    <row r="33" spans="1:10" ht="13">
      <c r="A33" s="4" t="s">
        <v>112</v>
      </c>
      <c r="B33" s="1">
        <v>3.44</v>
      </c>
      <c r="C33" s="1">
        <v>104</v>
      </c>
      <c r="D33" s="1" t="s">
        <v>11</v>
      </c>
      <c r="E33" s="1" t="s">
        <v>22</v>
      </c>
      <c r="F33" s="1">
        <f t="shared" si="1"/>
        <v>344</v>
      </c>
      <c r="G33" s="5">
        <f t="shared" si="0"/>
        <v>0.30232558139534882</v>
      </c>
      <c r="I33" s="8" t="s">
        <v>115</v>
      </c>
      <c r="J33" s="11">
        <v>143.5</v>
      </c>
    </row>
    <row r="34" spans="1:10" ht="13">
      <c r="A34" s="4" t="s">
        <v>112</v>
      </c>
      <c r="B34" s="1">
        <v>7</v>
      </c>
      <c r="C34" s="1">
        <v>248</v>
      </c>
      <c r="D34" s="1" t="s">
        <v>11</v>
      </c>
      <c r="E34" s="1" t="s">
        <v>8</v>
      </c>
      <c r="F34" s="1">
        <f t="shared" si="1"/>
        <v>700</v>
      </c>
      <c r="G34" s="5">
        <f t="shared" si="0"/>
        <v>0.35428571428571426</v>
      </c>
      <c r="I34" s="8" t="s">
        <v>116</v>
      </c>
      <c r="J34" s="11">
        <v>152.4</v>
      </c>
    </row>
    <row r="35" spans="1:10" ht="13">
      <c r="A35" s="4" t="s">
        <v>112</v>
      </c>
      <c r="B35" s="1">
        <v>4.3499999999999996</v>
      </c>
      <c r="C35" s="1">
        <v>74</v>
      </c>
      <c r="D35" s="1" t="s">
        <v>33</v>
      </c>
      <c r="E35" s="1" t="s">
        <v>15</v>
      </c>
      <c r="F35" s="1">
        <f t="shared" si="1"/>
        <v>434.99999999999994</v>
      </c>
      <c r="G35" s="5">
        <f t="shared" si="0"/>
        <v>0.17011494252873566</v>
      </c>
      <c r="I35" s="8" t="s">
        <v>117</v>
      </c>
      <c r="J35" s="11">
        <v>162.4</v>
      </c>
    </row>
    <row r="36" spans="1:10" ht="13">
      <c r="A36" s="4" t="s">
        <v>112</v>
      </c>
      <c r="B36" s="1">
        <v>6</v>
      </c>
      <c r="C36" s="1">
        <v>284</v>
      </c>
      <c r="D36" s="1" t="s">
        <v>11</v>
      </c>
      <c r="E36" s="1" t="s">
        <v>23</v>
      </c>
      <c r="F36" s="1">
        <f t="shared" si="1"/>
        <v>600</v>
      </c>
      <c r="G36" s="5">
        <f t="shared" si="0"/>
        <v>0.47333333333333333</v>
      </c>
      <c r="I36" s="8" t="s">
        <v>118</v>
      </c>
      <c r="J36" s="11">
        <v>140.6</v>
      </c>
    </row>
    <row r="37" spans="1:10" ht="13">
      <c r="A37" s="4" t="s">
        <v>112</v>
      </c>
      <c r="B37" s="1">
        <v>6.5</v>
      </c>
      <c r="C37" s="1">
        <v>291</v>
      </c>
      <c r="D37" s="1" t="s">
        <v>11</v>
      </c>
      <c r="E37" s="1" t="s">
        <v>7</v>
      </c>
      <c r="F37" s="1">
        <f t="shared" si="1"/>
        <v>650</v>
      </c>
      <c r="G37" s="5">
        <f t="shared" si="0"/>
        <v>0.44769230769230767</v>
      </c>
      <c r="I37" s="8" t="s">
        <v>119</v>
      </c>
      <c r="J37" s="11">
        <v>163.80000000000001</v>
      </c>
    </row>
    <row r="38" spans="1:10" ht="13">
      <c r="A38" s="4" t="s">
        <v>112</v>
      </c>
      <c r="B38" s="1">
        <v>6.4</v>
      </c>
      <c r="C38" s="1">
        <v>209</v>
      </c>
      <c r="D38" s="1" t="s">
        <v>11</v>
      </c>
      <c r="E38" s="1" t="s">
        <v>23</v>
      </c>
      <c r="F38" s="1">
        <f t="shared" si="1"/>
        <v>640</v>
      </c>
      <c r="G38" s="5">
        <f t="shared" si="0"/>
        <v>0.32656249999999998</v>
      </c>
      <c r="I38" s="8" t="s">
        <v>120</v>
      </c>
      <c r="J38" s="11">
        <v>120.3</v>
      </c>
    </row>
    <row r="39" spans="1:10" ht="13">
      <c r="A39" s="4" t="s">
        <v>112</v>
      </c>
      <c r="B39" s="1">
        <v>3.4</v>
      </c>
      <c r="C39" s="1">
        <v>125</v>
      </c>
      <c r="D39" s="1" t="s">
        <v>43</v>
      </c>
      <c r="E39" s="1" t="s">
        <v>17</v>
      </c>
      <c r="F39" s="1">
        <f t="shared" si="1"/>
        <v>340</v>
      </c>
      <c r="G39" s="5">
        <f t="shared" si="0"/>
        <v>0.36764705882352944</v>
      </c>
      <c r="I39" s="8" t="s">
        <v>121</v>
      </c>
      <c r="J39" s="11">
        <v>111.8</v>
      </c>
    </row>
    <row r="40" spans="1:10" ht="13">
      <c r="A40" s="4" t="s">
        <v>112</v>
      </c>
      <c r="B40" s="1">
        <v>7.56</v>
      </c>
      <c r="C40" s="1">
        <v>321</v>
      </c>
      <c r="D40" s="1" t="s">
        <v>11</v>
      </c>
      <c r="E40" s="1" t="s">
        <v>27</v>
      </c>
      <c r="F40" s="1">
        <f t="shared" si="1"/>
        <v>756</v>
      </c>
      <c r="G40" s="5">
        <f t="shared" si="0"/>
        <v>0.42460317460317459</v>
      </c>
      <c r="I40" s="8" t="s">
        <v>122</v>
      </c>
      <c r="J40" s="11">
        <v>52.6</v>
      </c>
    </row>
    <row r="41" spans="1:10" ht="13">
      <c r="A41" s="4" t="s">
        <v>112</v>
      </c>
      <c r="B41" s="1">
        <v>5</v>
      </c>
      <c r="C41" s="1">
        <v>128</v>
      </c>
      <c r="D41" s="1" t="s">
        <v>11</v>
      </c>
      <c r="E41" s="1" t="s">
        <v>8</v>
      </c>
      <c r="F41" s="1">
        <f t="shared" si="1"/>
        <v>500</v>
      </c>
      <c r="G41" s="5">
        <f t="shared" si="0"/>
        <v>0.25600000000000001</v>
      </c>
      <c r="I41" s="8" t="s">
        <v>123</v>
      </c>
      <c r="J41" s="11">
        <v>0</v>
      </c>
    </row>
    <row r="42" spans="1:10" ht="13">
      <c r="A42" s="4" t="s">
        <v>112</v>
      </c>
      <c r="B42" s="1">
        <v>6.88</v>
      </c>
      <c r="C42" s="1">
        <v>111</v>
      </c>
      <c r="D42" s="1" t="s">
        <v>33</v>
      </c>
      <c r="E42" s="1" t="s">
        <v>17</v>
      </c>
      <c r="F42" s="1">
        <f t="shared" si="1"/>
        <v>688</v>
      </c>
      <c r="G42" s="5">
        <f t="shared" si="0"/>
        <v>0.16133720930232559</v>
      </c>
    </row>
    <row r="43" spans="1:10" ht="13">
      <c r="A43" s="4" t="s">
        <v>112</v>
      </c>
      <c r="B43" s="1">
        <v>3.7</v>
      </c>
      <c r="C43" s="1">
        <v>124</v>
      </c>
      <c r="D43" s="1" t="s">
        <v>47</v>
      </c>
      <c r="E43" s="1" t="s">
        <v>20</v>
      </c>
      <c r="F43" s="1">
        <f t="shared" si="1"/>
        <v>370</v>
      </c>
      <c r="G43" s="5">
        <f t="shared" si="0"/>
        <v>0.33513513513513515</v>
      </c>
    </row>
    <row r="44" spans="1:10" ht="13">
      <c r="A44" s="4" t="s">
        <v>112</v>
      </c>
      <c r="B44" s="1">
        <v>7.74</v>
      </c>
      <c r="C44" s="1">
        <v>146</v>
      </c>
      <c r="D44" s="1" t="s">
        <v>33</v>
      </c>
      <c r="E44" s="1" t="s">
        <v>16</v>
      </c>
      <c r="F44" s="1">
        <f t="shared" si="1"/>
        <v>774</v>
      </c>
      <c r="G44" s="5">
        <f t="shared" si="0"/>
        <v>0.18863049095607234</v>
      </c>
    </row>
    <row r="45" spans="1:10" ht="13">
      <c r="A45" s="4" t="s">
        <v>112</v>
      </c>
      <c r="B45" s="1">
        <v>8.6999999999999993</v>
      </c>
      <c r="C45" s="1">
        <v>153</v>
      </c>
      <c r="D45" s="1" t="s">
        <v>33</v>
      </c>
      <c r="E45" s="1" t="s">
        <v>15</v>
      </c>
      <c r="F45" s="1">
        <f t="shared" si="1"/>
        <v>869.99999999999989</v>
      </c>
      <c r="G45" s="5">
        <f t="shared" si="0"/>
        <v>0.17586206896551726</v>
      </c>
    </row>
    <row r="46" spans="1:10" ht="13">
      <c r="A46" s="4" t="s">
        <v>112</v>
      </c>
      <c r="B46" s="1">
        <v>7.74</v>
      </c>
      <c r="C46" s="1">
        <v>133</v>
      </c>
      <c r="D46" s="1" t="s">
        <v>33</v>
      </c>
      <c r="E46" s="1" t="s">
        <v>16</v>
      </c>
      <c r="F46" s="1">
        <f t="shared" si="1"/>
        <v>774</v>
      </c>
      <c r="G46" s="5">
        <f t="shared" si="0"/>
        <v>0.17183462532299743</v>
      </c>
    </row>
    <row r="47" spans="1:10" ht="13">
      <c r="A47" s="4" t="s">
        <v>112</v>
      </c>
      <c r="B47" s="1">
        <v>6</v>
      </c>
      <c r="C47" s="1">
        <v>130</v>
      </c>
      <c r="D47" s="1" t="s">
        <v>40</v>
      </c>
      <c r="E47" s="1" t="s">
        <v>8</v>
      </c>
      <c r="F47" s="1">
        <f t="shared" si="1"/>
        <v>600</v>
      </c>
      <c r="G47" s="5">
        <f t="shared" si="0"/>
        <v>0.21666666666666667</v>
      </c>
    </row>
    <row r="48" spans="1:10" ht="13">
      <c r="A48" s="4" t="s">
        <v>112</v>
      </c>
      <c r="B48" s="1">
        <v>8</v>
      </c>
      <c r="C48" s="1">
        <v>139</v>
      </c>
      <c r="D48" s="1" t="s">
        <v>33</v>
      </c>
      <c r="E48" s="1" t="s">
        <v>17</v>
      </c>
      <c r="F48" s="1">
        <f t="shared" si="1"/>
        <v>800</v>
      </c>
      <c r="G48" s="5">
        <f t="shared" si="0"/>
        <v>0.17374999999999999</v>
      </c>
    </row>
    <row r="49" spans="1:7" ht="13">
      <c r="A49" s="4" t="s">
        <v>112</v>
      </c>
      <c r="B49" s="1">
        <v>6.15</v>
      </c>
      <c r="C49" s="1">
        <v>211</v>
      </c>
      <c r="D49" s="1" t="s">
        <v>11</v>
      </c>
      <c r="E49" s="1" t="s">
        <v>15</v>
      </c>
      <c r="F49" s="1">
        <f t="shared" si="1"/>
        <v>615</v>
      </c>
      <c r="G49" s="5">
        <f t="shared" si="0"/>
        <v>0.34308943089430893</v>
      </c>
    </row>
    <row r="50" spans="1:7" ht="13">
      <c r="A50" s="4" t="s">
        <v>112</v>
      </c>
      <c r="B50" s="1">
        <v>6.4</v>
      </c>
      <c r="C50" s="1">
        <v>143</v>
      </c>
      <c r="D50" s="1" t="s">
        <v>42</v>
      </c>
      <c r="E50" s="1" t="s">
        <v>18</v>
      </c>
      <c r="F50" s="1">
        <f t="shared" si="1"/>
        <v>640</v>
      </c>
      <c r="G50" s="5">
        <f t="shared" si="0"/>
        <v>0.22343750000000001</v>
      </c>
    </row>
    <row r="51" spans="1:7" ht="13">
      <c r="A51" s="4" t="s">
        <v>112</v>
      </c>
      <c r="B51" s="1">
        <v>3.87</v>
      </c>
      <c r="C51" s="1">
        <v>128</v>
      </c>
      <c r="D51" s="1" t="s">
        <v>11</v>
      </c>
      <c r="E51" s="1" t="s">
        <v>19</v>
      </c>
      <c r="F51" s="1">
        <f t="shared" si="1"/>
        <v>387</v>
      </c>
      <c r="G51" s="5">
        <f t="shared" si="0"/>
        <v>0.33074935400516797</v>
      </c>
    </row>
    <row r="52" spans="1:7" ht="13">
      <c r="A52" s="4" t="s">
        <v>112</v>
      </c>
      <c r="B52" s="1">
        <v>7.3</v>
      </c>
      <c r="C52" s="1">
        <v>225</v>
      </c>
      <c r="D52" s="1" t="s">
        <v>47</v>
      </c>
      <c r="E52" s="1" t="s">
        <v>28</v>
      </c>
      <c r="F52" s="1">
        <f t="shared" si="1"/>
        <v>730</v>
      </c>
      <c r="G52" s="5">
        <f t="shared" si="0"/>
        <v>0.30821917808219179</v>
      </c>
    </row>
    <row r="53" spans="1:7" ht="13">
      <c r="A53" s="4" t="s">
        <v>112</v>
      </c>
      <c r="B53" s="1">
        <v>5.12</v>
      </c>
      <c r="C53" s="1">
        <v>246</v>
      </c>
      <c r="D53" s="1" t="s">
        <v>11</v>
      </c>
      <c r="E53" s="1" t="s">
        <v>9</v>
      </c>
      <c r="F53" s="1">
        <f t="shared" si="1"/>
        <v>512</v>
      </c>
      <c r="G53" s="5">
        <f t="shared" si="0"/>
        <v>0.48046875</v>
      </c>
    </row>
    <row r="54" spans="1:7" ht="13">
      <c r="A54" s="4" t="s">
        <v>112</v>
      </c>
      <c r="B54" s="1">
        <v>7.56</v>
      </c>
      <c r="C54" s="1">
        <v>400</v>
      </c>
      <c r="D54" s="1" t="s">
        <v>11</v>
      </c>
      <c r="E54" s="1" t="s">
        <v>7</v>
      </c>
      <c r="F54" s="1">
        <f t="shared" si="1"/>
        <v>756</v>
      </c>
      <c r="G54" s="5">
        <f t="shared" si="0"/>
        <v>0.52910052910052907</v>
      </c>
    </row>
    <row r="55" spans="1:7" ht="13">
      <c r="A55" s="4" t="s">
        <v>112</v>
      </c>
      <c r="B55" s="1">
        <v>7.4</v>
      </c>
      <c r="C55" s="1">
        <v>190</v>
      </c>
      <c r="D55" s="1" t="s">
        <v>11</v>
      </c>
      <c r="E55" s="1" t="s">
        <v>15</v>
      </c>
      <c r="F55" s="1">
        <f t="shared" si="1"/>
        <v>740</v>
      </c>
      <c r="G55" s="5">
        <f t="shared" si="0"/>
        <v>0.25675675675675674</v>
      </c>
    </row>
    <row r="56" spans="1:7" ht="13">
      <c r="A56" s="4" t="s">
        <v>112</v>
      </c>
      <c r="B56" s="1">
        <v>5.16</v>
      </c>
      <c r="C56" s="1">
        <v>81</v>
      </c>
      <c r="D56" s="1" t="s">
        <v>53</v>
      </c>
      <c r="E56" s="1" t="s">
        <v>24</v>
      </c>
      <c r="F56" s="1">
        <f t="shared" si="1"/>
        <v>516</v>
      </c>
      <c r="G56" s="5">
        <f t="shared" si="0"/>
        <v>0.15697674418604651</v>
      </c>
    </row>
    <row r="57" spans="1:7" ht="13">
      <c r="A57" s="4" t="s">
        <v>112</v>
      </c>
      <c r="B57" s="1">
        <v>7.7</v>
      </c>
      <c r="C57" s="1">
        <v>126</v>
      </c>
      <c r="D57" s="1" t="s">
        <v>33</v>
      </c>
      <c r="E57" s="1" t="s">
        <v>10</v>
      </c>
      <c r="F57" s="1">
        <f t="shared" si="1"/>
        <v>770</v>
      </c>
      <c r="G57" s="5">
        <f t="shared" si="0"/>
        <v>0.16363636363636364</v>
      </c>
    </row>
    <row r="58" spans="1:7" ht="13">
      <c r="A58" s="4" t="s">
        <v>112</v>
      </c>
      <c r="B58" s="1">
        <v>5.0999999999999996</v>
      </c>
      <c r="C58" s="1">
        <v>107</v>
      </c>
      <c r="D58" s="1" t="s">
        <v>59</v>
      </c>
      <c r="E58" s="1" t="s">
        <v>18</v>
      </c>
      <c r="F58" s="1">
        <f t="shared" si="1"/>
        <v>509.99999999999994</v>
      </c>
      <c r="G58" s="5">
        <f t="shared" si="0"/>
        <v>0.20980392156862748</v>
      </c>
    </row>
    <row r="59" spans="1:7" ht="13">
      <c r="A59" s="4" t="s">
        <v>112</v>
      </c>
      <c r="B59" s="1">
        <v>4.8</v>
      </c>
      <c r="C59" s="1">
        <v>211</v>
      </c>
      <c r="D59" s="1" t="s">
        <v>38</v>
      </c>
      <c r="E59" s="1" t="s">
        <v>21</v>
      </c>
      <c r="F59" s="1">
        <f t="shared" si="1"/>
        <v>480</v>
      </c>
      <c r="G59" s="5">
        <f t="shared" si="0"/>
        <v>0.43958333333333333</v>
      </c>
    </row>
    <row r="60" spans="1:7" ht="13">
      <c r="A60" s="4" t="s">
        <v>112</v>
      </c>
      <c r="B60" s="1">
        <v>7.56</v>
      </c>
      <c r="C60" s="1">
        <v>367</v>
      </c>
      <c r="D60" s="1" t="s">
        <v>11</v>
      </c>
      <c r="E60" s="1" t="s">
        <v>20</v>
      </c>
      <c r="F60" s="1">
        <f t="shared" si="1"/>
        <v>756</v>
      </c>
      <c r="G60" s="5">
        <f t="shared" si="0"/>
        <v>0.48544973544973546</v>
      </c>
    </row>
    <row r="61" spans="1:7" ht="13">
      <c r="A61" s="4" t="s">
        <v>112</v>
      </c>
      <c r="B61" s="1">
        <v>6.3</v>
      </c>
      <c r="C61" s="1">
        <v>154</v>
      </c>
      <c r="D61" s="1" t="s">
        <v>43</v>
      </c>
      <c r="E61" s="1" t="s">
        <v>29</v>
      </c>
      <c r="F61" s="1">
        <f t="shared" si="1"/>
        <v>630</v>
      </c>
      <c r="G61" s="5">
        <f t="shared" si="0"/>
        <v>0.24444444444444444</v>
      </c>
    </row>
    <row r="62" spans="1:7" ht="13">
      <c r="A62" s="4" t="s">
        <v>112</v>
      </c>
      <c r="B62" s="1">
        <v>7.74</v>
      </c>
      <c r="C62" s="1">
        <v>282</v>
      </c>
      <c r="D62" s="1" t="s">
        <v>11</v>
      </c>
      <c r="E62" s="1" t="s">
        <v>21</v>
      </c>
      <c r="F62" s="1">
        <f t="shared" si="1"/>
        <v>774</v>
      </c>
      <c r="G62" s="5">
        <f t="shared" si="0"/>
        <v>0.36434108527131781</v>
      </c>
    </row>
    <row r="63" spans="1:7" ht="13">
      <c r="A63" s="4" t="s">
        <v>112</v>
      </c>
      <c r="B63" s="1">
        <v>4.3</v>
      </c>
      <c r="C63" s="1">
        <v>161</v>
      </c>
      <c r="D63" s="1" t="s">
        <v>11</v>
      </c>
      <c r="E63" s="1" t="s">
        <v>22</v>
      </c>
      <c r="F63" s="1">
        <f t="shared" si="1"/>
        <v>430</v>
      </c>
      <c r="G63" s="5">
        <f t="shared" si="0"/>
        <v>0.37441860465116278</v>
      </c>
    </row>
    <row r="64" spans="1:7" ht="13">
      <c r="A64" s="4" t="s">
        <v>112</v>
      </c>
      <c r="B64" s="1">
        <v>7.74</v>
      </c>
      <c r="C64" s="1">
        <v>190</v>
      </c>
      <c r="D64" s="1" t="s">
        <v>37</v>
      </c>
      <c r="E64" s="1" t="s">
        <v>16</v>
      </c>
      <c r="F64" s="1">
        <f t="shared" si="1"/>
        <v>774</v>
      </c>
      <c r="G64" s="5">
        <f t="shared" si="0"/>
        <v>0.2454780361757106</v>
      </c>
    </row>
    <row r="65" spans="1:7" ht="13">
      <c r="A65" s="4" t="s">
        <v>112</v>
      </c>
      <c r="B65" s="1">
        <v>10.3</v>
      </c>
      <c r="C65" s="1">
        <v>150</v>
      </c>
      <c r="D65" s="1" t="s">
        <v>37</v>
      </c>
      <c r="E65" s="1" t="s">
        <v>26</v>
      </c>
      <c r="F65" s="1">
        <f t="shared" si="1"/>
        <v>1030</v>
      </c>
      <c r="G65" s="5">
        <f t="shared" si="0"/>
        <v>0.14563106796116504</v>
      </c>
    </row>
    <row r="66" spans="1:7" ht="13">
      <c r="A66" s="4" t="s">
        <v>112</v>
      </c>
      <c r="B66" s="1">
        <v>7.7</v>
      </c>
      <c r="C66" s="1">
        <v>240</v>
      </c>
      <c r="D66" s="1" t="s">
        <v>11</v>
      </c>
      <c r="E66" s="1" t="s">
        <v>23</v>
      </c>
      <c r="F66" s="1">
        <f t="shared" si="1"/>
        <v>770</v>
      </c>
      <c r="G66" s="5">
        <f t="shared" ref="G66:G129" si="9">C66/F66</f>
        <v>0.31168831168831168</v>
      </c>
    </row>
    <row r="67" spans="1:7" ht="13">
      <c r="A67" s="4" t="s">
        <v>112</v>
      </c>
      <c r="B67" s="1">
        <v>4.03</v>
      </c>
      <c r="C67" s="1">
        <v>154</v>
      </c>
      <c r="D67" s="1" t="s">
        <v>11</v>
      </c>
      <c r="E67" s="1" t="s">
        <v>9</v>
      </c>
      <c r="F67" s="1">
        <f t="shared" ref="F67:F130" si="10">B67*100</f>
        <v>403</v>
      </c>
      <c r="G67" s="5">
        <f t="shared" si="9"/>
        <v>0.38213399503722084</v>
      </c>
    </row>
    <row r="68" spans="1:7" ht="13">
      <c r="A68" s="4" t="s">
        <v>112</v>
      </c>
      <c r="B68" s="1">
        <v>8</v>
      </c>
      <c r="C68" s="1">
        <v>249</v>
      </c>
      <c r="D68" s="1" t="s">
        <v>43</v>
      </c>
      <c r="E68" s="1" t="s">
        <v>21</v>
      </c>
      <c r="F68" s="1">
        <f t="shared" si="10"/>
        <v>800</v>
      </c>
      <c r="G68" s="5">
        <f t="shared" si="9"/>
        <v>0.31125000000000003</v>
      </c>
    </row>
    <row r="69" spans="1:7" ht="13">
      <c r="A69" s="4" t="s">
        <v>112</v>
      </c>
      <c r="B69" s="1">
        <v>4.08</v>
      </c>
      <c r="C69" s="1">
        <v>133</v>
      </c>
      <c r="D69" s="1" t="s">
        <v>39</v>
      </c>
      <c r="E69" s="1" t="s">
        <v>14</v>
      </c>
      <c r="F69" s="1">
        <f t="shared" si="10"/>
        <v>408</v>
      </c>
      <c r="G69" s="5">
        <f t="shared" si="9"/>
        <v>0.32598039215686275</v>
      </c>
    </row>
    <row r="70" spans="1:7" ht="13">
      <c r="A70" s="4" t="s">
        <v>112</v>
      </c>
      <c r="B70" s="1">
        <v>7.14</v>
      </c>
      <c r="C70" s="1">
        <v>224</v>
      </c>
      <c r="D70" s="1" t="s">
        <v>11</v>
      </c>
      <c r="E70" s="1" t="s">
        <v>28</v>
      </c>
      <c r="F70" s="1">
        <f t="shared" si="10"/>
        <v>714</v>
      </c>
      <c r="G70" s="5">
        <f t="shared" si="9"/>
        <v>0.31372549019607843</v>
      </c>
    </row>
    <row r="71" spans="1:7" ht="13">
      <c r="A71" s="4" t="s">
        <v>112</v>
      </c>
      <c r="B71" s="1">
        <v>5.0999999999999996</v>
      </c>
      <c r="C71" s="1">
        <v>171</v>
      </c>
      <c r="D71" s="1" t="s">
        <v>59</v>
      </c>
      <c r="E71" s="1" t="s">
        <v>7</v>
      </c>
      <c r="F71" s="1">
        <f t="shared" si="10"/>
        <v>509.99999999999994</v>
      </c>
      <c r="G71" s="5">
        <f t="shared" si="9"/>
        <v>0.33529411764705885</v>
      </c>
    </row>
    <row r="72" spans="1:7" ht="13">
      <c r="A72" s="4" t="s">
        <v>112</v>
      </c>
      <c r="B72" s="1">
        <v>6</v>
      </c>
      <c r="C72" s="1">
        <v>182</v>
      </c>
      <c r="D72" s="1" t="s">
        <v>42</v>
      </c>
      <c r="E72" s="1" t="s">
        <v>8</v>
      </c>
      <c r="F72" s="1">
        <f t="shared" si="10"/>
        <v>600</v>
      </c>
      <c r="G72" s="5">
        <f t="shared" si="9"/>
        <v>0.30333333333333334</v>
      </c>
    </row>
    <row r="73" spans="1:7" ht="13">
      <c r="A73" s="4" t="s">
        <v>112</v>
      </c>
      <c r="B73" s="1">
        <v>6.96</v>
      </c>
      <c r="C73" s="1">
        <v>129</v>
      </c>
      <c r="D73" s="1" t="s">
        <v>11</v>
      </c>
      <c r="E73" s="1" t="s">
        <v>26</v>
      </c>
      <c r="F73" s="1">
        <f t="shared" si="10"/>
        <v>696</v>
      </c>
      <c r="G73" s="5">
        <f t="shared" si="9"/>
        <v>0.18534482758620691</v>
      </c>
    </row>
    <row r="74" spans="1:7" ht="13">
      <c r="A74" s="4" t="s">
        <v>112</v>
      </c>
      <c r="B74" s="1">
        <v>9.4600000000000009</v>
      </c>
      <c r="C74" s="1">
        <v>255</v>
      </c>
      <c r="D74" s="1" t="s">
        <v>52</v>
      </c>
      <c r="E74" s="1" t="s">
        <v>18</v>
      </c>
      <c r="F74" s="1">
        <f t="shared" si="10"/>
        <v>946.00000000000011</v>
      </c>
      <c r="G74" s="5">
        <f t="shared" si="9"/>
        <v>0.2695560253699788</v>
      </c>
    </row>
    <row r="75" spans="1:7" ht="13">
      <c r="A75" s="4" t="s">
        <v>112</v>
      </c>
      <c r="B75" s="1">
        <v>7.29</v>
      </c>
      <c r="C75" s="1">
        <v>99</v>
      </c>
      <c r="D75" s="1" t="s">
        <v>33</v>
      </c>
      <c r="E75" s="1" t="s">
        <v>17</v>
      </c>
      <c r="F75" s="1">
        <f t="shared" si="10"/>
        <v>729</v>
      </c>
      <c r="G75" s="5">
        <f t="shared" si="9"/>
        <v>0.13580246913580246</v>
      </c>
    </row>
    <row r="76" spans="1:7" ht="13">
      <c r="A76" s="4" t="s">
        <v>112</v>
      </c>
      <c r="B76" s="1">
        <v>9.3000000000000007</v>
      </c>
      <c r="C76" s="1">
        <v>414</v>
      </c>
      <c r="D76" s="1" t="s">
        <v>11</v>
      </c>
      <c r="E76" s="1" t="s">
        <v>20</v>
      </c>
      <c r="F76" s="1">
        <f t="shared" si="10"/>
        <v>930.00000000000011</v>
      </c>
      <c r="G76" s="5">
        <f t="shared" si="9"/>
        <v>0.44516129032258062</v>
      </c>
    </row>
    <row r="77" spans="1:7" ht="13">
      <c r="A77" s="4" t="s">
        <v>112</v>
      </c>
      <c r="B77" s="1">
        <v>6.4</v>
      </c>
      <c r="C77" s="1">
        <v>228</v>
      </c>
      <c r="D77" s="1" t="s">
        <v>11</v>
      </c>
      <c r="E77" s="1" t="s">
        <v>32</v>
      </c>
      <c r="F77" s="1">
        <f t="shared" si="10"/>
        <v>640</v>
      </c>
      <c r="G77" s="5">
        <f t="shared" si="9"/>
        <v>0.35625000000000001</v>
      </c>
    </row>
    <row r="78" spans="1:7" ht="13">
      <c r="A78" s="4" t="s">
        <v>112</v>
      </c>
      <c r="B78" s="1">
        <v>4.3</v>
      </c>
      <c r="C78" s="1">
        <v>70</v>
      </c>
      <c r="D78" s="1" t="s">
        <v>33</v>
      </c>
      <c r="E78" s="1" t="s">
        <v>16</v>
      </c>
      <c r="F78" s="1">
        <f t="shared" si="10"/>
        <v>430</v>
      </c>
      <c r="G78" s="5">
        <f t="shared" si="9"/>
        <v>0.16279069767441862</v>
      </c>
    </row>
    <row r="79" spans="1:7" ht="13">
      <c r="A79" s="4" t="s">
        <v>112</v>
      </c>
      <c r="B79" s="1">
        <v>7.56</v>
      </c>
      <c r="C79" s="1">
        <v>238</v>
      </c>
      <c r="D79" s="1" t="s">
        <v>11</v>
      </c>
      <c r="E79" s="1" t="s">
        <v>25</v>
      </c>
      <c r="F79" s="1">
        <f t="shared" si="10"/>
        <v>756</v>
      </c>
      <c r="G79" s="5">
        <f t="shared" si="9"/>
        <v>0.31481481481481483</v>
      </c>
    </row>
    <row r="80" spans="1:7" ht="13">
      <c r="A80" s="4" t="s">
        <v>112</v>
      </c>
      <c r="B80" s="1">
        <v>4.2</v>
      </c>
      <c r="C80" s="1">
        <v>136</v>
      </c>
      <c r="D80" s="1" t="s">
        <v>38</v>
      </c>
      <c r="E80" s="1" t="s">
        <v>16</v>
      </c>
      <c r="F80" s="1">
        <f t="shared" si="10"/>
        <v>420</v>
      </c>
      <c r="G80" s="5">
        <f t="shared" si="9"/>
        <v>0.32380952380952382</v>
      </c>
    </row>
    <row r="81" spans="1:7" ht="13">
      <c r="A81" s="4" t="s">
        <v>112</v>
      </c>
      <c r="B81" s="1">
        <v>8.1999999999999993</v>
      </c>
      <c r="C81" s="1">
        <v>170</v>
      </c>
      <c r="D81" s="1" t="s">
        <v>11</v>
      </c>
      <c r="E81" s="1" t="s">
        <v>12</v>
      </c>
      <c r="F81" s="1">
        <f t="shared" si="10"/>
        <v>819.99999999999989</v>
      </c>
      <c r="G81" s="5">
        <f t="shared" si="9"/>
        <v>0.20731707317073172</v>
      </c>
    </row>
    <row r="82" spans="1:7" ht="13">
      <c r="A82" s="4" t="s">
        <v>112</v>
      </c>
      <c r="B82" s="1">
        <v>6.4</v>
      </c>
      <c r="C82" s="1">
        <v>286</v>
      </c>
      <c r="D82" s="1" t="s">
        <v>47</v>
      </c>
      <c r="E82" s="1" t="s">
        <v>8</v>
      </c>
      <c r="F82" s="1">
        <f t="shared" si="10"/>
        <v>640</v>
      </c>
      <c r="G82" s="5">
        <f t="shared" si="9"/>
        <v>0.44687500000000002</v>
      </c>
    </row>
    <row r="83" spans="1:7" ht="13">
      <c r="A83" s="4" t="s">
        <v>112</v>
      </c>
      <c r="B83" s="1">
        <v>8.4</v>
      </c>
      <c r="C83" s="1">
        <v>282</v>
      </c>
      <c r="D83" s="1" t="s">
        <v>42</v>
      </c>
      <c r="E83" s="1" t="s">
        <v>30</v>
      </c>
      <c r="F83" s="1">
        <f t="shared" si="10"/>
        <v>840</v>
      </c>
      <c r="G83" s="5">
        <f t="shared" si="9"/>
        <v>0.33571428571428569</v>
      </c>
    </row>
    <row r="84" spans="1:7" ht="13">
      <c r="A84" s="4" t="s">
        <v>112</v>
      </c>
      <c r="B84" s="1">
        <v>7</v>
      </c>
      <c r="C84" s="1">
        <v>90</v>
      </c>
      <c r="D84" s="1" t="s">
        <v>33</v>
      </c>
      <c r="E84" s="1" t="s">
        <v>25</v>
      </c>
      <c r="F84" s="1">
        <f t="shared" si="10"/>
        <v>700</v>
      </c>
      <c r="G84" s="5">
        <f t="shared" si="9"/>
        <v>0.12857142857142856</v>
      </c>
    </row>
    <row r="85" spans="1:7" ht="13">
      <c r="A85" s="4" t="s">
        <v>112</v>
      </c>
      <c r="B85" s="1">
        <v>8.6999999999999993</v>
      </c>
      <c r="C85" s="1">
        <v>310</v>
      </c>
      <c r="D85" s="1" t="s">
        <v>11</v>
      </c>
      <c r="E85" s="1" t="s">
        <v>26</v>
      </c>
      <c r="F85" s="1">
        <f t="shared" si="10"/>
        <v>869.99999999999989</v>
      </c>
      <c r="G85" s="5">
        <f t="shared" si="9"/>
        <v>0.35632183908045983</v>
      </c>
    </row>
    <row r="86" spans="1:7" ht="13">
      <c r="A86" s="4" t="s">
        <v>112</v>
      </c>
      <c r="B86" s="1">
        <v>4</v>
      </c>
      <c r="C86" s="1">
        <v>6</v>
      </c>
      <c r="D86" s="1" t="s">
        <v>44</v>
      </c>
      <c r="E86" s="1" t="s">
        <v>21</v>
      </c>
      <c r="F86" s="1">
        <f t="shared" si="10"/>
        <v>400</v>
      </c>
      <c r="G86" s="5">
        <f t="shared" si="9"/>
        <v>1.4999999999999999E-2</v>
      </c>
    </row>
    <row r="87" spans="1:7" ht="13">
      <c r="A87" s="4" t="s">
        <v>112</v>
      </c>
      <c r="B87" s="1">
        <v>5.46</v>
      </c>
      <c r="C87" s="1">
        <v>220</v>
      </c>
      <c r="D87" s="1" t="s">
        <v>47</v>
      </c>
      <c r="E87" s="1" t="s">
        <v>10</v>
      </c>
      <c r="F87" s="1">
        <f t="shared" si="10"/>
        <v>546</v>
      </c>
      <c r="G87" s="5">
        <f t="shared" si="9"/>
        <v>0.40293040293040294</v>
      </c>
    </row>
    <row r="88" spans="1:7" ht="13">
      <c r="A88" s="4" t="s">
        <v>112</v>
      </c>
      <c r="B88" s="1">
        <v>8.6999999999999993</v>
      </c>
      <c r="C88" s="1">
        <v>135</v>
      </c>
      <c r="D88" s="1" t="s">
        <v>45</v>
      </c>
      <c r="E88" s="1" t="s">
        <v>20</v>
      </c>
      <c r="F88" s="1">
        <f t="shared" si="10"/>
        <v>869.99999999999989</v>
      </c>
      <c r="G88" s="5">
        <f t="shared" si="9"/>
        <v>0.15517241379310348</v>
      </c>
    </row>
    <row r="89" spans="1:7" ht="13">
      <c r="A89" s="4" t="s">
        <v>112</v>
      </c>
      <c r="B89" s="1">
        <v>5.81</v>
      </c>
      <c r="C89" s="1">
        <v>261</v>
      </c>
      <c r="D89" s="1" t="s">
        <v>38</v>
      </c>
      <c r="E89" s="1" t="s">
        <v>8</v>
      </c>
      <c r="F89" s="1">
        <f t="shared" si="10"/>
        <v>581</v>
      </c>
      <c r="G89" s="5">
        <f t="shared" si="9"/>
        <v>0.44922547332185886</v>
      </c>
    </row>
    <row r="90" spans="1:7" ht="13">
      <c r="A90" s="4" t="s">
        <v>112</v>
      </c>
      <c r="B90" s="1">
        <v>6.1</v>
      </c>
      <c r="C90" s="1">
        <v>113</v>
      </c>
      <c r="D90" s="1" t="s">
        <v>33</v>
      </c>
      <c r="E90" s="1" t="s">
        <v>8</v>
      </c>
      <c r="F90" s="1">
        <f t="shared" si="10"/>
        <v>610</v>
      </c>
      <c r="G90" s="5">
        <f t="shared" si="9"/>
        <v>0.18524590163934426</v>
      </c>
    </row>
    <row r="91" spans="1:7" ht="13">
      <c r="A91" s="4" t="s">
        <v>112</v>
      </c>
      <c r="B91" s="1">
        <v>7.5</v>
      </c>
      <c r="C91" s="1">
        <v>154.33000000000001</v>
      </c>
      <c r="D91" s="1" t="s">
        <v>33</v>
      </c>
      <c r="E91" s="1" t="s">
        <v>7</v>
      </c>
      <c r="F91" s="1">
        <f t="shared" si="10"/>
        <v>750</v>
      </c>
      <c r="G91" s="5">
        <f t="shared" si="9"/>
        <v>0.20577333333333336</v>
      </c>
    </row>
    <row r="92" spans="1:7" ht="13">
      <c r="A92" s="4" t="s">
        <v>112</v>
      </c>
      <c r="B92" s="1">
        <v>6</v>
      </c>
      <c r="C92" s="1">
        <v>39</v>
      </c>
      <c r="D92" s="1" t="s">
        <v>40</v>
      </c>
      <c r="E92" s="1" t="s">
        <v>18</v>
      </c>
      <c r="F92" s="1">
        <f t="shared" si="10"/>
        <v>600</v>
      </c>
      <c r="G92" s="5">
        <f t="shared" si="9"/>
        <v>6.5000000000000002E-2</v>
      </c>
    </row>
    <row r="93" spans="1:7" ht="13">
      <c r="A93" s="4" t="s">
        <v>112</v>
      </c>
      <c r="B93" s="1">
        <v>2.87</v>
      </c>
      <c r="C93" s="1">
        <v>78</v>
      </c>
      <c r="D93" s="1" t="s">
        <v>11</v>
      </c>
      <c r="E93" s="1" t="s">
        <v>8</v>
      </c>
      <c r="F93" s="1">
        <f t="shared" si="10"/>
        <v>287</v>
      </c>
      <c r="G93" s="5">
        <f t="shared" si="9"/>
        <v>0.27177700348432055</v>
      </c>
    </row>
    <row r="94" spans="1:7" ht="13">
      <c r="A94" s="4" t="s">
        <v>112</v>
      </c>
      <c r="B94" s="1">
        <v>8.64</v>
      </c>
      <c r="C94" s="1">
        <v>309</v>
      </c>
      <c r="D94" s="1" t="s">
        <v>11</v>
      </c>
      <c r="E94" s="1" t="s">
        <v>9</v>
      </c>
      <c r="F94" s="1">
        <f t="shared" si="10"/>
        <v>864</v>
      </c>
      <c r="G94" s="5">
        <f t="shared" si="9"/>
        <v>0.3576388888888889</v>
      </c>
    </row>
    <row r="95" spans="1:7" ht="13">
      <c r="A95" s="4" t="s">
        <v>112</v>
      </c>
      <c r="B95" s="1">
        <v>6.88</v>
      </c>
      <c r="C95" s="1">
        <v>110.17</v>
      </c>
      <c r="D95" s="1" t="s">
        <v>53</v>
      </c>
      <c r="E95" s="1" t="s">
        <v>16</v>
      </c>
      <c r="F95" s="1">
        <f t="shared" si="10"/>
        <v>688</v>
      </c>
      <c r="G95" s="5">
        <f t="shared" si="9"/>
        <v>0.16013081395348838</v>
      </c>
    </row>
    <row r="96" spans="1:7" ht="13">
      <c r="A96" s="4" t="s">
        <v>112</v>
      </c>
      <c r="B96" s="1">
        <v>5.6</v>
      </c>
      <c r="C96" s="1">
        <v>107</v>
      </c>
      <c r="D96" s="1" t="s">
        <v>33</v>
      </c>
      <c r="E96" s="1" t="s">
        <v>8</v>
      </c>
      <c r="F96" s="1">
        <f t="shared" si="10"/>
        <v>560</v>
      </c>
      <c r="G96" s="5">
        <f t="shared" si="9"/>
        <v>0.19107142857142856</v>
      </c>
    </row>
    <row r="97" spans="1:7" ht="13">
      <c r="A97" s="4" t="s">
        <v>112</v>
      </c>
      <c r="B97" s="1">
        <v>6.7</v>
      </c>
      <c r="C97" s="1">
        <v>127</v>
      </c>
      <c r="D97" s="1" t="s">
        <v>33</v>
      </c>
      <c r="E97" s="1" t="s">
        <v>21</v>
      </c>
      <c r="F97" s="1">
        <f t="shared" si="10"/>
        <v>670</v>
      </c>
      <c r="G97" s="5">
        <f t="shared" si="9"/>
        <v>0.18955223880597014</v>
      </c>
    </row>
    <row r="98" spans="1:7" ht="13">
      <c r="A98" s="4" t="s">
        <v>112</v>
      </c>
      <c r="B98" s="1">
        <v>6.4</v>
      </c>
      <c r="C98" s="1">
        <v>144.9</v>
      </c>
      <c r="D98" s="1" t="s">
        <v>35</v>
      </c>
      <c r="E98" s="1" t="s">
        <v>18</v>
      </c>
      <c r="F98" s="1">
        <f t="shared" si="10"/>
        <v>640</v>
      </c>
      <c r="G98" s="5">
        <f t="shared" si="9"/>
        <v>0.22640625</v>
      </c>
    </row>
    <row r="99" spans="1:7" ht="13">
      <c r="A99" s="4" t="s">
        <v>113</v>
      </c>
      <c r="B99" s="1">
        <v>7.7</v>
      </c>
      <c r="C99" s="1">
        <v>400</v>
      </c>
      <c r="D99" s="1" t="s">
        <v>11</v>
      </c>
      <c r="E99" s="1" t="s">
        <v>49</v>
      </c>
      <c r="F99" s="1">
        <f t="shared" si="10"/>
        <v>770</v>
      </c>
      <c r="G99" s="5">
        <f t="shared" si="9"/>
        <v>0.51948051948051943</v>
      </c>
    </row>
    <row r="100" spans="1:7" ht="13">
      <c r="A100" s="4" t="s">
        <v>113</v>
      </c>
      <c r="B100" s="1">
        <v>6.8</v>
      </c>
      <c r="C100" s="1">
        <v>206</v>
      </c>
      <c r="D100" s="1" t="s">
        <v>33</v>
      </c>
      <c r="E100" s="1" t="s">
        <v>7</v>
      </c>
      <c r="F100" s="1">
        <f t="shared" si="10"/>
        <v>680</v>
      </c>
      <c r="G100" s="5">
        <f t="shared" si="9"/>
        <v>0.30294117647058821</v>
      </c>
    </row>
    <row r="101" spans="1:7" ht="13">
      <c r="A101" s="4" t="s">
        <v>113</v>
      </c>
      <c r="B101" s="1">
        <v>3.87</v>
      </c>
      <c r="C101" s="1">
        <v>190</v>
      </c>
      <c r="D101" s="1" t="s">
        <v>11</v>
      </c>
      <c r="E101" s="1" t="s">
        <v>19</v>
      </c>
      <c r="F101" s="1">
        <f t="shared" si="10"/>
        <v>387</v>
      </c>
      <c r="G101" s="5">
        <f t="shared" si="9"/>
        <v>0.49095607235142119</v>
      </c>
    </row>
    <row r="102" spans="1:7" ht="13">
      <c r="A102" s="4" t="s">
        <v>113</v>
      </c>
      <c r="B102" s="1">
        <v>7.78</v>
      </c>
      <c r="C102" s="1">
        <v>332</v>
      </c>
      <c r="D102" s="1" t="s">
        <v>47</v>
      </c>
      <c r="E102" s="1" t="s">
        <v>23</v>
      </c>
      <c r="F102" s="1">
        <f t="shared" si="10"/>
        <v>778</v>
      </c>
      <c r="G102" s="5">
        <f t="shared" si="9"/>
        <v>0.42673521850899743</v>
      </c>
    </row>
    <row r="103" spans="1:7" ht="13">
      <c r="A103" s="4" t="s">
        <v>113</v>
      </c>
      <c r="B103" s="1">
        <v>7.3949999999999996</v>
      </c>
      <c r="C103" s="1">
        <v>370</v>
      </c>
      <c r="D103" s="1" t="s">
        <v>39</v>
      </c>
      <c r="E103" s="1" t="s">
        <v>8</v>
      </c>
      <c r="F103" s="1">
        <f t="shared" si="10"/>
        <v>739.5</v>
      </c>
      <c r="G103" s="5">
        <f t="shared" si="9"/>
        <v>0.5003380662609872</v>
      </c>
    </row>
    <row r="104" spans="1:7" ht="13">
      <c r="A104" s="4" t="s">
        <v>113</v>
      </c>
      <c r="B104" s="1">
        <v>6.02</v>
      </c>
      <c r="C104" s="1">
        <v>332</v>
      </c>
      <c r="D104" s="1" t="s">
        <v>38</v>
      </c>
      <c r="E104" s="1" t="s">
        <v>10</v>
      </c>
      <c r="F104" s="1">
        <f t="shared" si="10"/>
        <v>602</v>
      </c>
      <c r="G104" s="5">
        <f t="shared" si="9"/>
        <v>0.55149501661129563</v>
      </c>
    </row>
    <row r="105" spans="1:7" ht="13">
      <c r="A105" s="4" t="s">
        <v>113</v>
      </c>
      <c r="B105" s="1">
        <v>7.92</v>
      </c>
      <c r="C105" s="1">
        <v>218</v>
      </c>
      <c r="D105" s="1" t="s">
        <v>44</v>
      </c>
      <c r="E105" s="1" t="s">
        <v>24</v>
      </c>
      <c r="F105" s="1">
        <f t="shared" si="10"/>
        <v>792</v>
      </c>
      <c r="G105" s="5">
        <f t="shared" si="9"/>
        <v>0.27525252525252525</v>
      </c>
    </row>
    <row r="106" spans="1:7" ht="13">
      <c r="A106" s="4" t="s">
        <v>113</v>
      </c>
      <c r="B106" s="1">
        <v>6</v>
      </c>
      <c r="C106" s="1">
        <v>269</v>
      </c>
      <c r="D106" s="1" t="s">
        <v>11</v>
      </c>
      <c r="E106" s="1" t="s">
        <v>10</v>
      </c>
      <c r="F106" s="1">
        <f t="shared" si="10"/>
        <v>600</v>
      </c>
      <c r="G106" s="5">
        <f t="shared" si="9"/>
        <v>0.44833333333333331</v>
      </c>
    </row>
    <row r="107" spans="1:7" ht="13">
      <c r="A107" s="4" t="s">
        <v>113</v>
      </c>
      <c r="B107" s="1">
        <v>4</v>
      </c>
      <c r="C107" s="1">
        <v>175</v>
      </c>
      <c r="D107" s="1" t="s">
        <v>11</v>
      </c>
      <c r="E107" s="1" t="s">
        <v>22</v>
      </c>
      <c r="F107" s="1">
        <f t="shared" si="10"/>
        <v>400</v>
      </c>
      <c r="G107" s="5">
        <f t="shared" si="9"/>
        <v>0.4375</v>
      </c>
    </row>
    <row r="108" spans="1:7" ht="13">
      <c r="A108" s="4" t="s">
        <v>113</v>
      </c>
      <c r="B108" s="1">
        <v>4.6040000000000001</v>
      </c>
      <c r="C108" s="1">
        <v>180</v>
      </c>
      <c r="D108" s="1" t="s">
        <v>58</v>
      </c>
      <c r="E108" s="1" t="s">
        <v>14</v>
      </c>
      <c r="F108" s="1">
        <f t="shared" si="10"/>
        <v>460.40000000000003</v>
      </c>
      <c r="G108" s="5">
        <f t="shared" si="9"/>
        <v>0.39096437880104257</v>
      </c>
    </row>
    <row r="109" spans="1:7" ht="13">
      <c r="A109" s="4" t="s">
        <v>113</v>
      </c>
      <c r="B109" s="1">
        <v>5.2</v>
      </c>
      <c r="C109" s="1">
        <v>168</v>
      </c>
      <c r="D109" s="1" t="s">
        <v>53</v>
      </c>
      <c r="E109" s="1" t="s">
        <v>24</v>
      </c>
      <c r="F109" s="1">
        <f t="shared" si="10"/>
        <v>520</v>
      </c>
      <c r="G109" s="5">
        <f t="shared" si="9"/>
        <v>0.32307692307692309</v>
      </c>
    </row>
    <row r="110" spans="1:7" ht="13">
      <c r="A110" s="4" t="s">
        <v>113</v>
      </c>
      <c r="B110" s="1">
        <v>4.9000000000000004</v>
      </c>
      <c r="C110" s="1">
        <v>138</v>
      </c>
      <c r="D110" s="1" t="s">
        <v>33</v>
      </c>
      <c r="E110" s="1" t="s">
        <v>15</v>
      </c>
      <c r="F110" s="1">
        <f t="shared" si="10"/>
        <v>490.00000000000006</v>
      </c>
      <c r="G110" s="5">
        <f t="shared" si="9"/>
        <v>0.28163265306122448</v>
      </c>
    </row>
    <row r="111" spans="1:7" ht="13">
      <c r="A111" s="4" t="s">
        <v>113</v>
      </c>
      <c r="B111" s="1">
        <v>6.4</v>
      </c>
      <c r="C111" s="1">
        <v>332</v>
      </c>
      <c r="D111" s="1" t="s">
        <v>11</v>
      </c>
      <c r="E111" s="1" t="s">
        <v>32</v>
      </c>
      <c r="F111" s="1">
        <f t="shared" si="10"/>
        <v>640</v>
      </c>
      <c r="G111" s="5">
        <f t="shared" si="9"/>
        <v>0.51875000000000004</v>
      </c>
    </row>
    <row r="112" spans="1:7" ht="13">
      <c r="A112" s="4" t="s">
        <v>113</v>
      </c>
      <c r="B112" s="1">
        <v>9.1</v>
      </c>
      <c r="C112" s="1">
        <v>319</v>
      </c>
      <c r="D112" s="1" t="s">
        <v>39</v>
      </c>
      <c r="E112" s="1" t="s">
        <v>14</v>
      </c>
      <c r="F112" s="1">
        <f t="shared" si="10"/>
        <v>910</v>
      </c>
      <c r="G112" s="5">
        <f t="shared" si="9"/>
        <v>0.35054945054945053</v>
      </c>
    </row>
    <row r="113" spans="1:7" ht="13">
      <c r="A113" s="4" t="s">
        <v>113</v>
      </c>
      <c r="B113" s="1">
        <v>6</v>
      </c>
      <c r="C113" s="1">
        <v>220</v>
      </c>
      <c r="D113" s="1" t="s">
        <v>11</v>
      </c>
      <c r="E113" s="1" t="s">
        <v>20</v>
      </c>
      <c r="F113" s="1">
        <f t="shared" si="10"/>
        <v>600</v>
      </c>
      <c r="G113" s="5">
        <f t="shared" si="9"/>
        <v>0.36666666666666664</v>
      </c>
    </row>
    <row r="114" spans="1:7" ht="13">
      <c r="A114" s="4" t="s">
        <v>113</v>
      </c>
      <c r="B114" s="1">
        <v>6.1</v>
      </c>
      <c r="C114" s="1">
        <v>200</v>
      </c>
      <c r="D114" s="1" t="s">
        <v>33</v>
      </c>
      <c r="E114" s="1" t="s">
        <v>26</v>
      </c>
      <c r="F114" s="1">
        <f t="shared" si="10"/>
        <v>610</v>
      </c>
      <c r="G114" s="5">
        <f t="shared" si="9"/>
        <v>0.32786885245901637</v>
      </c>
    </row>
    <row r="115" spans="1:7" ht="13">
      <c r="A115" s="4" t="s">
        <v>113</v>
      </c>
      <c r="B115" s="1">
        <v>6450</v>
      </c>
      <c r="C115" s="1">
        <v>384</v>
      </c>
      <c r="D115" s="1" t="s">
        <v>11</v>
      </c>
      <c r="E115" s="1" t="s">
        <v>8</v>
      </c>
      <c r="F115" s="1">
        <f t="shared" si="10"/>
        <v>645000</v>
      </c>
      <c r="G115" s="5">
        <f t="shared" si="9"/>
        <v>5.9534883720930231E-4</v>
      </c>
    </row>
    <row r="116" spans="1:7" ht="13">
      <c r="A116" s="4" t="s">
        <v>113</v>
      </c>
      <c r="B116" s="1">
        <v>4.92</v>
      </c>
      <c r="C116" s="1">
        <v>150</v>
      </c>
      <c r="D116" s="1" t="s">
        <v>33</v>
      </c>
      <c r="E116" s="1" t="s">
        <v>8</v>
      </c>
      <c r="F116" s="1">
        <f t="shared" si="10"/>
        <v>492</v>
      </c>
      <c r="G116" s="5">
        <f t="shared" si="9"/>
        <v>0.3048780487804878</v>
      </c>
    </row>
    <row r="117" spans="1:7" ht="13">
      <c r="A117" s="4" t="s">
        <v>113</v>
      </c>
      <c r="B117" s="1">
        <v>7.4</v>
      </c>
      <c r="C117" s="1">
        <v>266</v>
      </c>
      <c r="D117" s="1" t="s">
        <v>44</v>
      </c>
      <c r="E117" s="1" t="s">
        <v>17</v>
      </c>
      <c r="F117" s="1">
        <f t="shared" si="10"/>
        <v>740</v>
      </c>
      <c r="G117" s="5">
        <f t="shared" si="9"/>
        <v>0.35945945945945945</v>
      </c>
    </row>
    <row r="118" spans="1:7" ht="13">
      <c r="A118" s="4" t="s">
        <v>113</v>
      </c>
      <c r="B118" s="1">
        <v>6.72</v>
      </c>
      <c r="C118" s="1">
        <v>327</v>
      </c>
      <c r="D118" s="1" t="s">
        <v>11</v>
      </c>
      <c r="E118" s="1" t="s">
        <v>24</v>
      </c>
      <c r="F118" s="1">
        <f t="shared" si="10"/>
        <v>672</v>
      </c>
      <c r="G118" s="5">
        <f t="shared" si="9"/>
        <v>0.48660714285714285</v>
      </c>
    </row>
    <row r="119" spans="1:7" ht="13">
      <c r="A119" s="4" t="s">
        <v>113</v>
      </c>
      <c r="B119" s="1">
        <v>7.2</v>
      </c>
      <c r="C119" s="1">
        <v>200</v>
      </c>
      <c r="D119" s="1" t="s">
        <v>33</v>
      </c>
      <c r="E119" s="1" t="s">
        <v>21</v>
      </c>
      <c r="F119" s="1">
        <f t="shared" si="10"/>
        <v>720</v>
      </c>
      <c r="G119" s="5">
        <f t="shared" si="9"/>
        <v>0.27777777777777779</v>
      </c>
    </row>
    <row r="120" spans="1:7" ht="13">
      <c r="A120" s="4" t="s">
        <v>113</v>
      </c>
      <c r="B120" s="1">
        <v>6.4</v>
      </c>
      <c r="C120" s="1">
        <v>241</v>
      </c>
      <c r="D120" s="1" t="s">
        <v>42</v>
      </c>
      <c r="E120" s="1" t="s">
        <v>18</v>
      </c>
      <c r="F120" s="1">
        <f t="shared" si="10"/>
        <v>640</v>
      </c>
      <c r="G120" s="5">
        <f t="shared" si="9"/>
        <v>0.37656250000000002</v>
      </c>
    </row>
    <row r="121" spans="1:7" ht="13">
      <c r="A121" s="4" t="s">
        <v>113</v>
      </c>
      <c r="B121" s="1">
        <v>6400</v>
      </c>
      <c r="C121" s="1">
        <v>364</v>
      </c>
      <c r="D121" s="1" t="s">
        <v>11</v>
      </c>
      <c r="E121" s="1" t="s">
        <v>26</v>
      </c>
      <c r="F121" s="1">
        <f t="shared" si="10"/>
        <v>640000</v>
      </c>
      <c r="G121" s="5">
        <f t="shared" si="9"/>
        <v>5.6875000000000003E-4</v>
      </c>
    </row>
    <row r="122" spans="1:7" ht="13">
      <c r="A122" s="4" t="s">
        <v>113</v>
      </c>
      <c r="B122" s="1">
        <v>5.7</v>
      </c>
      <c r="C122" s="1">
        <v>169</v>
      </c>
      <c r="D122" s="1" t="s">
        <v>33</v>
      </c>
      <c r="E122" s="1" t="s">
        <v>32</v>
      </c>
      <c r="F122" s="1">
        <f t="shared" si="10"/>
        <v>570</v>
      </c>
      <c r="G122" s="5">
        <f t="shared" si="9"/>
        <v>0.29649122807017542</v>
      </c>
    </row>
    <row r="123" spans="1:7" ht="13">
      <c r="A123" s="4" t="s">
        <v>113</v>
      </c>
      <c r="B123" s="1">
        <v>6.9</v>
      </c>
      <c r="C123" s="1">
        <v>260</v>
      </c>
      <c r="D123" s="1" t="s">
        <v>39</v>
      </c>
      <c r="E123" s="1" t="s">
        <v>15</v>
      </c>
      <c r="F123" s="1">
        <f t="shared" si="10"/>
        <v>690</v>
      </c>
      <c r="G123" s="5">
        <f t="shared" si="9"/>
        <v>0.37681159420289856</v>
      </c>
    </row>
    <row r="124" spans="1:7" ht="13">
      <c r="A124" s="4" t="s">
        <v>113</v>
      </c>
      <c r="B124" s="1">
        <v>4.5</v>
      </c>
      <c r="C124" s="1">
        <v>133</v>
      </c>
      <c r="D124" s="1" t="s">
        <v>33</v>
      </c>
      <c r="E124" s="1" t="s">
        <v>17</v>
      </c>
      <c r="F124" s="1">
        <f t="shared" si="10"/>
        <v>450</v>
      </c>
      <c r="G124" s="5">
        <f t="shared" si="9"/>
        <v>0.29555555555555557</v>
      </c>
    </row>
    <row r="125" spans="1:7" ht="13">
      <c r="A125" s="4" t="s">
        <v>113</v>
      </c>
      <c r="B125" s="1">
        <v>4.9000000000000004</v>
      </c>
      <c r="C125" s="1">
        <v>218</v>
      </c>
      <c r="D125" s="1" t="s">
        <v>44</v>
      </c>
      <c r="E125" s="1" t="s">
        <v>15</v>
      </c>
      <c r="F125" s="1">
        <f t="shared" si="10"/>
        <v>490.00000000000006</v>
      </c>
      <c r="G125" s="5">
        <f t="shared" si="9"/>
        <v>0.44489795918367342</v>
      </c>
    </row>
    <row r="126" spans="1:7" ht="13">
      <c r="A126" s="4" t="s">
        <v>113</v>
      </c>
      <c r="B126" s="1">
        <v>7.3</v>
      </c>
      <c r="C126" s="1">
        <v>330</v>
      </c>
      <c r="D126" s="1" t="s">
        <v>34</v>
      </c>
      <c r="E126" s="1" t="s">
        <v>10</v>
      </c>
      <c r="F126" s="1">
        <f t="shared" si="10"/>
        <v>730</v>
      </c>
      <c r="G126" s="5">
        <f t="shared" si="9"/>
        <v>0.45205479452054792</v>
      </c>
    </row>
    <row r="127" spans="1:7" ht="13">
      <c r="A127" s="4" t="s">
        <v>113</v>
      </c>
      <c r="B127" s="1">
        <v>6.23</v>
      </c>
      <c r="C127" s="1">
        <v>286.60000000000002</v>
      </c>
      <c r="D127" s="1" t="s">
        <v>11</v>
      </c>
      <c r="E127" s="1" t="s">
        <v>12</v>
      </c>
      <c r="F127" s="1">
        <f t="shared" si="10"/>
        <v>623</v>
      </c>
      <c r="G127" s="5">
        <f t="shared" si="9"/>
        <v>0.46003210272873196</v>
      </c>
    </row>
    <row r="128" spans="1:7" ht="13">
      <c r="A128" s="4" t="s">
        <v>113</v>
      </c>
      <c r="B128" s="1">
        <v>6</v>
      </c>
      <c r="C128" s="1">
        <v>242</v>
      </c>
      <c r="D128" s="1" t="s">
        <v>11</v>
      </c>
      <c r="E128" s="1" t="s">
        <v>23</v>
      </c>
      <c r="F128" s="1">
        <f t="shared" si="10"/>
        <v>600</v>
      </c>
      <c r="G128" s="5">
        <f t="shared" si="9"/>
        <v>0.40333333333333332</v>
      </c>
    </row>
    <row r="129" spans="1:7" ht="13">
      <c r="A129" s="4" t="s">
        <v>113</v>
      </c>
      <c r="B129" s="1">
        <v>4.8</v>
      </c>
      <c r="C129" s="1">
        <v>213</v>
      </c>
      <c r="D129" s="1" t="s">
        <v>38</v>
      </c>
      <c r="E129" s="1" t="s">
        <v>21</v>
      </c>
      <c r="F129" s="1">
        <f t="shared" si="10"/>
        <v>480</v>
      </c>
      <c r="G129" s="5">
        <f t="shared" si="9"/>
        <v>0.44374999999999998</v>
      </c>
    </row>
    <row r="130" spans="1:7" ht="13">
      <c r="A130" s="4" t="s">
        <v>113</v>
      </c>
      <c r="B130" s="1">
        <v>8.1</v>
      </c>
      <c r="C130" s="1">
        <v>310</v>
      </c>
      <c r="D130" s="1" t="s">
        <v>35</v>
      </c>
      <c r="E130" s="1" t="s">
        <v>7</v>
      </c>
      <c r="F130" s="1">
        <f t="shared" si="10"/>
        <v>810</v>
      </c>
      <c r="G130" s="5">
        <f t="shared" ref="G130:G193" si="11">C130/F130</f>
        <v>0.38271604938271603</v>
      </c>
    </row>
    <row r="131" spans="1:7" ht="13">
      <c r="A131" s="4" t="s">
        <v>113</v>
      </c>
      <c r="B131" s="1">
        <v>6.9</v>
      </c>
      <c r="C131" s="1">
        <v>266</v>
      </c>
      <c r="D131" s="1" t="s">
        <v>11</v>
      </c>
      <c r="E131" s="1" t="s">
        <v>26</v>
      </c>
      <c r="F131" s="1">
        <f t="shared" ref="F131:F194" si="12">B131*100</f>
        <v>690</v>
      </c>
      <c r="G131" s="5">
        <f t="shared" si="11"/>
        <v>0.38550724637681161</v>
      </c>
    </row>
    <row r="132" spans="1:7" ht="13">
      <c r="A132" s="4" t="s">
        <v>113</v>
      </c>
      <c r="B132" s="1">
        <v>8</v>
      </c>
      <c r="C132" s="1">
        <v>217</v>
      </c>
      <c r="D132" s="1" t="s">
        <v>33</v>
      </c>
      <c r="E132" s="1" t="s">
        <v>17</v>
      </c>
      <c r="F132" s="1">
        <f t="shared" si="12"/>
        <v>800</v>
      </c>
      <c r="G132" s="5">
        <f t="shared" si="11"/>
        <v>0.27124999999999999</v>
      </c>
    </row>
    <row r="133" spans="1:7" ht="13">
      <c r="A133" s="4" t="s">
        <v>113</v>
      </c>
      <c r="B133" s="1">
        <v>7.56</v>
      </c>
      <c r="C133" s="1">
        <v>379</v>
      </c>
      <c r="D133" s="1" t="s">
        <v>11</v>
      </c>
      <c r="E133" s="1" t="s">
        <v>27</v>
      </c>
      <c r="F133" s="1">
        <f t="shared" si="12"/>
        <v>756</v>
      </c>
      <c r="G133" s="5">
        <f t="shared" si="11"/>
        <v>0.50132275132275128</v>
      </c>
    </row>
    <row r="134" spans="1:7" ht="13">
      <c r="A134" s="4" t="s">
        <v>113</v>
      </c>
      <c r="B134" s="1">
        <v>4.0999999999999996</v>
      </c>
      <c r="C134" s="1">
        <v>184</v>
      </c>
      <c r="D134" s="1" t="s">
        <v>38</v>
      </c>
      <c r="E134" s="1" t="s">
        <v>16</v>
      </c>
      <c r="F134" s="1">
        <f t="shared" si="12"/>
        <v>409.99999999999994</v>
      </c>
      <c r="G134" s="5">
        <f t="shared" si="11"/>
        <v>0.44878048780487811</v>
      </c>
    </row>
    <row r="135" spans="1:7" ht="13">
      <c r="A135" s="4" t="s">
        <v>113</v>
      </c>
      <c r="B135" s="1">
        <v>7.56</v>
      </c>
      <c r="C135" s="1">
        <v>360</v>
      </c>
      <c r="D135" s="1" t="s">
        <v>11</v>
      </c>
      <c r="E135" s="1" t="s">
        <v>7</v>
      </c>
      <c r="F135" s="1">
        <f t="shared" si="12"/>
        <v>756</v>
      </c>
      <c r="G135" s="5">
        <f t="shared" si="11"/>
        <v>0.47619047619047616</v>
      </c>
    </row>
    <row r="136" spans="1:7" ht="13">
      <c r="A136" s="4" t="s">
        <v>113</v>
      </c>
      <c r="B136" s="1">
        <v>6.65</v>
      </c>
      <c r="C136" s="1">
        <v>218</v>
      </c>
      <c r="D136" s="1" t="s">
        <v>33</v>
      </c>
      <c r="E136" s="1" t="s">
        <v>22</v>
      </c>
      <c r="F136" s="1">
        <f t="shared" si="12"/>
        <v>665</v>
      </c>
      <c r="G136" s="5">
        <f t="shared" si="11"/>
        <v>0.32781954887218046</v>
      </c>
    </row>
    <row r="137" spans="1:7" ht="13">
      <c r="A137" s="4" t="s">
        <v>113</v>
      </c>
      <c r="B137" s="1">
        <v>7.7</v>
      </c>
      <c r="C137" s="1">
        <v>286</v>
      </c>
      <c r="D137" s="1" t="s">
        <v>39</v>
      </c>
      <c r="E137" s="1" t="s">
        <v>16</v>
      </c>
      <c r="F137" s="1">
        <f t="shared" si="12"/>
        <v>770</v>
      </c>
      <c r="G137" s="5">
        <f t="shared" si="11"/>
        <v>0.37142857142857144</v>
      </c>
    </row>
    <row r="138" spans="1:7" ht="13">
      <c r="A138" s="4" t="s">
        <v>113</v>
      </c>
      <c r="B138" s="1">
        <v>5.16</v>
      </c>
      <c r="C138" s="1">
        <v>159</v>
      </c>
      <c r="D138" s="1" t="s">
        <v>42</v>
      </c>
      <c r="E138" s="1" t="s">
        <v>22</v>
      </c>
      <c r="F138" s="1">
        <f t="shared" si="12"/>
        <v>516</v>
      </c>
      <c r="G138" s="5">
        <f t="shared" si="11"/>
        <v>0.30813953488372092</v>
      </c>
    </row>
    <row r="139" spans="1:7" ht="13">
      <c r="A139" s="4" t="s">
        <v>113</v>
      </c>
      <c r="B139" s="1">
        <v>6.8</v>
      </c>
      <c r="C139" s="1">
        <v>246</v>
      </c>
      <c r="D139" s="1" t="s">
        <v>47</v>
      </c>
      <c r="E139" s="1" t="s">
        <v>24</v>
      </c>
      <c r="F139" s="1">
        <f t="shared" si="12"/>
        <v>680</v>
      </c>
      <c r="G139" s="5">
        <f t="shared" si="11"/>
        <v>0.36176470588235293</v>
      </c>
    </row>
    <row r="140" spans="1:7" ht="13">
      <c r="A140" s="4" t="s">
        <v>113</v>
      </c>
      <c r="B140" s="1">
        <v>6.7</v>
      </c>
      <c r="C140" s="1">
        <v>284</v>
      </c>
      <c r="D140" s="1" t="s">
        <v>11</v>
      </c>
      <c r="E140" s="1" t="s">
        <v>16</v>
      </c>
      <c r="F140" s="1">
        <f t="shared" si="12"/>
        <v>670</v>
      </c>
      <c r="G140" s="5">
        <f t="shared" si="11"/>
        <v>0.42388059701492536</v>
      </c>
    </row>
    <row r="141" spans="1:7" ht="13">
      <c r="A141" s="4" t="s">
        <v>113</v>
      </c>
      <c r="B141" s="1">
        <v>6.8</v>
      </c>
      <c r="C141" s="1">
        <v>209</v>
      </c>
      <c r="D141" s="1" t="s">
        <v>64</v>
      </c>
      <c r="E141" s="1" t="s">
        <v>32</v>
      </c>
      <c r="F141" s="1">
        <f t="shared" si="12"/>
        <v>680</v>
      </c>
      <c r="G141" s="5">
        <f t="shared" si="11"/>
        <v>0.30735294117647061</v>
      </c>
    </row>
    <row r="142" spans="1:7" ht="13">
      <c r="A142" s="4" t="s">
        <v>113</v>
      </c>
      <c r="B142" s="1">
        <v>7.85</v>
      </c>
      <c r="C142" s="1">
        <v>375</v>
      </c>
      <c r="D142" s="1" t="s">
        <v>11</v>
      </c>
      <c r="E142" s="1" t="s">
        <v>8</v>
      </c>
      <c r="F142" s="1">
        <f t="shared" si="12"/>
        <v>785</v>
      </c>
      <c r="G142" s="5">
        <f t="shared" si="11"/>
        <v>0.47770700636942676</v>
      </c>
    </row>
    <row r="143" spans="1:7" ht="13">
      <c r="A143" s="4" t="s">
        <v>113</v>
      </c>
      <c r="B143" s="1">
        <v>8.8000000000000007</v>
      </c>
      <c r="C143" s="1">
        <v>230</v>
      </c>
      <c r="D143" s="1" t="s">
        <v>44</v>
      </c>
      <c r="E143" s="1" t="s">
        <v>25</v>
      </c>
      <c r="F143" s="1">
        <f t="shared" si="12"/>
        <v>880.00000000000011</v>
      </c>
      <c r="G143" s="5">
        <f t="shared" si="11"/>
        <v>0.26136363636363635</v>
      </c>
    </row>
    <row r="144" spans="1:7" ht="13">
      <c r="A144" s="4" t="s">
        <v>113</v>
      </c>
      <c r="B144" s="1">
        <v>5.12</v>
      </c>
      <c r="C144" s="1">
        <v>237</v>
      </c>
      <c r="D144" s="1" t="s">
        <v>11</v>
      </c>
      <c r="E144" s="1" t="s">
        <v>16</v>
      </c>
      <c r="F144" s="1">
        <f t="shared" si="12"/>
        <v>512</v>
      </c>
      <c r="G144" s="5">
        <f t="shared" si="11"/>
        <v>0.462890625</v>
      </c>
    </row>
    <row r="145" spans="1:7" ht="13">
      <c r="A145" s="4" t="s">
        <v>113</v>
      </c>
      <c r="B145" s="1">
        <v>7.4</v>
      </c>
      <c r="C145" s="1">
        <v>298</v>
      </c>
      <c r="D145" s="1" t="s">
        <v>39</v>
      </c>
      <c r="E145" s="1" t="s">
        <v>10</v>
      </c>
      <c r="F145" s="1">
        <f t="shared" si="12"/>
        <v>740</v>
      </c>
      <c r="G145" s="5">
        <f t="shared" si="11"/>
        <v>0.4027027027027027</v>
      </c>
    </row>
    <row r="146" spans="1:7" ht="13">
      <c r="A146" s="4" t="s">
        <v>113</v>
      </c>
      <c r="B146" s="1">
        <v>4.0999999999999996</v>
      </c>
      <c r="C146" s="1">
        <v>147</v>
      </c>
      <c r="D146" s="1" t="s">
        <v>40</v>
      </c>
      <c r="E146" s="1" t="s">
        <v>25</v>
      </c>
      <c r="F146" s="1">
        <f t="shared" si="12"/>
        <v>409.99999999999994</v>
      </c>
      <c r="G146" s="5">
        <f t="shared" si="11"/>
        <v>0.3585365853658537</v>
      </c>
    </row>
    <row r="147" spans="1:7" ht="13">
      <c r="A147" s="4" t="s">
        <v>113</v>
      </c>
      <c r="B147" s="1">
        <v>3</v>
      </c>
      <c r="C147" s="1">
        <v>136</v>
      </c>
      <c r="D147" s="1" t="s">
        <v>11</v>
      </c>
      <c r="E147" s="1" t="s">
        <v>15</v>
      </c>
      <c r="F147" s="1">
        <f t="shared" si="12"/>
        <v>300</v>
      </c>
      <c r="G147" s="5">
        <f t="shared" si="11"/>
        <v>0.45333333333333331</v>
      </c>
    </row>
    <row r="148" spans="1:7" ht="13">
      <c r="A148" s="4" t="s">
        <v>113</v>
      </c>
      <c r="B148" s="1">
        <v>6.88</v>
      </c>
      <c r="C148" s="1">
        <v>301</v>
      </c>
      <c r="D148" s="1" t="s">
        <v>11</v>
      </c>
      <c r="E148" s="1" t="s">
        <v>8</v>
      </c>
      <c r="F148" s="1">
        <f t="shared" si="12"/>
        <v>688</v>
      </c>
      <c r="G148" s="5">
        <f t="shared" si="11"/>
        <v>0.4375</v>
      </c>
    </row>
    <row r="149" spans="1:7" ht="13">
      <c r="A149" s="4" t="s">
        <v>113</v>
      </c>
      <c r="B149" s="1">
        <v>6.4</v>
      </c>
      <c r="C149" s="1">
        <v>190</v>
      </c>
      <c r="D149" s="1" t="s">
        <v>37</v>
      </c>
      <c r="E149" s="1" t="s">
        <v>20</v>
      </c>
      <c r="F149" s="1">
        <f t="shared" si="12"/>
        <v>640</v>
      </c>
      <c r="G149" s="5">
        <f t="shared" si="11"/>
        <v>0.296875</v>
      </c>
    </row>
    <row r="150" spans="1:7" ht="13">
      <c r="A150" s="4" t="s">
        <v>113</v>
      </c>
      <c r="B150" s="1">
        <v>4.5999999999999996</v>
      </c>
      <c r="C150" s="1">
        <v>221</v>
      </c>
      <c r="D150" s="1" t="s">
        <v>11</v>
      </c>
      <c r="E150" s="1" t="s">
        <v>28</v>
      </c>
      <c r="F150" s="1">
        <f t="shared" si="12"/>
        <v>459.99999999999994</v>
      </c>
      <c r="G150" s="5">
        <f t="shared" si="11"/>
        <v>0.48043478260869571</v>
      </c>
    </row>
    <row r="151" spans="1:7" ht="13">
      <c r="A151" s="4" t="s">
        <v>113</v>
      </c>
      <c r="B151" s="1">
        <v>6.2</v>
      </c>
      <c r="C151" s="1">
        <v>150</v>
      </c>
      <c r="D151" s="1" t="s">
        <v>33</v>
      </c>
      <c r="E151" s="1" t="s">
        <v>9</v>
      </c>
      <c r="F151" s="1">
        <f t="shared" si="12"/>
        <v>620</v>
      </c>
      <c r="G151" s="5">
        <f t="shared" si="11"/>
        <v>0.24193548387096775</v>
      </c>
    </row>
    <row r="152" spans="1:7" ht="13">
      <c r="A152" s="4" t="s">
        <v>113</v>
      </c>
      <c r="B152" s="1">
        <v>4.8</v>
      </c>
      <c r="C152" s="1">
        <v>216</v>
      </c>
      <c r="D152" s="1" t="s">
        <v>11</v>
      </c>
      <c r="E152" s="1" t="s">
        <v>21</v>
      </c>
      <c r="F152" s="1">
        <f t="shared" si="12"/>
        <v>480</v>
      </c>
      <c r="G152" s="5">
        <f t="shared" si="11"/>
        <v>0.45</v>
      </c>
    </row>
    <row r="153" spans="1:7" ht="13">
      <c r="A153" s="4" t="s">
        <v>113</v>
      </c>
      <c r="B153" s="1">
        <v>4.9800000000000004</v>
      </c>
      <c r="C153" s="1">
        <v>138</v>
      </c>
      <c r="D153" s="1" t="s">
        <v>35</v>
      </c>
      <c r="E153" s="1" t="s">
        <v>25</v>
      </c>
      <c r="F153" s="1">
        <f t="shared" si="12"/>
        <v>498.00000000000006</v>
      </c>
      <c r="G153" s="5">
        <f t="shared" si="11"/>
        <v>0.27710843373493971</v>
      </c>
    </row>
    <row r="154" spans="1:7" ht="13">
      <c r="A154" s="4" t="s">
        <v>113</v>
      </c>
      <c r="B154" s="1">
        <v>5.0999999999999996</v>
      </c>
      <c r="C154" s="1">
        <v>138</v>
      </c>
      <c r="D154" s="1" t="s">
        <v>55</v>
      </c>
      <c r="E154" s="1" t="s">
        <v>15</v>
      </c>
      <c r="F154" s="1">
        <f t="shared" si="12"/>
        <v>509.99999999999994</v>
      </c>
      <c r="G154" s="5">
        <f t="shared" si="11"/>
        <v>0.27058823529411768</v>
      </c>
    </row>
    <row r="155" spans="1:7" ht="13">
      <c r="A155" s="4" t="s">
        <v>113</v>
      </c>
      <c r="B155" s="1">
        <v>6</v>
      </c>
      <c r="C155" s="1">
        <v>256</v>
      </c>
      <c r="D155" s="1" t="s">
        <v>11</v>
      </c>
      <c r="E155" s="1" t="s">
        <v>19</v>
      </c>
      <c r="F155" s="1">
        <f t="shared" si="12"/>
        <v>600</v>
      </c>
      <c r="G155" s="5">
        <f t="shared" si="11"/>
        <v>0.42666666666666669</v>
      </c>
    </row>
    <row r="156" spans="1:7" ht="13">
      <c r="A156" s="4" t="s">
        <v>113</v>
      </c>
      <c r="B156" s="1">
        <v>6.09</v>
      </c>
      <c r="C156" s="1">
        <v>234</v>
      </c>
      <c r="D156" s="1" t="s">
        <v>63</v>
      </c>
      <c r="E156" s="1" t="s">
        <v>23</v>
      </c>
      <c r="F156" s="1">
        <f t="shared" si="12"/>
        <v>609</v>
      </c>
      <c r="G156" s="5">
        <f t="shared" si="11"/>
        <v>0.38423645320197042</v>
      </c>
    </row>
    <row r="157" spans="1:7" ht="13">
      <c r="A157" s="4" t="s">
        <v>113</v>
      </c>
      <c r="B157" s="1">
        <v>5.2</v>
      </c>
      <c r="C157" s="1">
        <v>166</v>
      </c>
      <c r="D157" s="1" t="s">
        <v>43</v>
      </c>
      <c r="E157" s="1" t="s">
        <v>25</v>
      </c>
      <c r="F157" s="1">
        <f t="shared" si="12"/>
        <v>520</v>
      </c>
      <c r="G157" s="5">
        <f t="shared" si="11"/>
        <v>0.31923076923076921</v>
      </c>
    </row>
    <row r="158" spans="1:7" ht="13">
      <c r="A158" s="4" t="s">
        <v>113</v>
      </c>
      <c r="B158" s="1">
        <v>7.7</v>
      </c>
      <c r="C158" s="1">
        <v>215</v>
      </c>
      <c r="D158" s="1" t="s">
        <v>33</v>
      </c>
      <c r="E158" s="1" t="s">
        <v>10</v>
      </c>
      <c r="F158" s="1">
        <f t="shared" si="12"/>
        <v>770</v>
      </c>
      <c r="G158" s="5">
        <f t="shared" si="11"/>
        <v>0.2792207792207792</v>
      </c>
    </row>
    <row r="159" spans="1:7" ht="13">
      <c r="A159" s="4" t="s">
        <v>113</v>
      </c>
      <c r="B159" s="1">
        <v>2.25</v>
      </c>
      <c r="C159" s="1">
        <v>51</v>
      </c>
      <c r="D159" s="1" t="s">
        <v>55</v>
      </c>
      <c r="E159" s="1" t="s">
        <v>15</v>
      </c>
      <c r="F159" s="1">
        <f t="shared" si="12"/>
        <v>225</v>
      </c>
      <c r="G159" s="5">
        <f t="shared" si="11"/>
        <v>0.22666666666666666</v>
      </c>
    </row>
    <row r="160" spans="1:7" ht="13">
      <c r="A160" s="4" t="s">
        <v>113</v>
      </c>
      <c r="B160" s="1">
        <v>7.2</v>
      </c>
      <c r="C160" s="1">
        <v>220</v>
      </c>
      <c r="D160" s="1" t="s">
        <v>33</v>
      </c>
      <c r="E160" s="1" t="s">
        <v>25</v>
      </c>
      <c r="F160" s="1">
        <f t="shared" si="12"/>
        <v>720</v>
      </c>
      <c r="G160" s="5">
        <f t="shared" si="11"/>
        <v>0.30555555555555558</v>
      </c>
    </row>
    <row r="161" spans="1:7" ht="13">
      <c r="A161" s="4" t="s">
        <v>113</v>
      </c>
      <c r="B161" s="1">
        <v>5.8</v>
      </c>
      <c r="C161" s="1">
        <v>214</v>
      </c>
      <c r="D161" s="1" t="s">
        <v>33</v>
      </c>
      <c r="E161" s="1" t="s">
        <v>10</v>
      </c>
      <c r="F161" s="1">
        <f t="shared" si="12"/>
        <v>580</v>
      </c>
      <c r="G161" s="5">
        <f t="shared" si="11"/>
        <v>0.36896551724137933</v>
      </c>
    </row>
    <row r="162" spans="1:7" ht="13">
      <c r="A162" s="4" t="s">
        <v>113</v>
      </c>
      <c r="B162" s="1">
        <v>7.2</v>
      </c>
      <c r="C162" s="1">
        <v>220</v>
      </c>
      <c r="D162" s="1" t="s">
        <v>33</v>
      </c>
      <c r="E162" s="1" t="s">
        <v>25</v>
      </c>
      <c r="F162" s="1">
        <f t="shared" si="12"/>
        <v>720</v>
      </c>
      <c r="G162" s="5">
        <f t="shared" si="11"/>
        <v>0.30555555555555558</v>
      </c>
    </row>
    <row r="163" spans="1:7" ht="13">
      <c r="A163" s="4" t="s">
        <v>113</v>
      </c>
      <c r="B163" s="1">
        <v>7.4</v>
      </c>
      <c r="C163" s="1">
        <v>299</v>
      </c>
      <c r="D163" s="1" t="s">
        <v>11</v>
      </c>
      <c r="E163" s="1" t="s">
        <v>25</v>
      </c>
      <c r="F163" s="1">
        <f t="shared" si="12"/>
        <v>740</v>
      </c>
      <c r="G163" s="5">
        <f t="shared" si="11"/>
        <v>0.40405405405405403</v>
      </c>
    </row>
    <row r="164" spans="1:7" ht="13">
      <c r="A164" s="4" t="s">
        <v>113</v>
      </c>
      <c r="B164" s="1">
        <v>8.4</v>
      </c>
      <c r="C164" s="1">
        <v>270</v>
      </c>
      <c r="D164" s="1" t="s">
        <v>39</v>
      </c>
      <c r="E164" s="1" t="s">
        <v>17</v>
      </c>
      <c r="F164" s="1">
        <f t="shared" si="12"/>
        <v>840</v>
      </c>
      <c r="G164" s="5">
        <f t="shared" si="11"/>
        <v>0.32142857142857145</v>
      </c>
    </row>
    <row r="165" spans="1:7" ht="13">
      <c r="A165" s="4" t="s">
        <v>113</v>
      </c>
      <c r="B165" s="1">
        <v>5.4</v>
      </c>
      <c r="C165" s="1">
        <v>238</v>
      </c>
      <c r="D165" s="1" t="s">
        <v>11</v>
      </c>
      <c r="E165" s="1" t="s">
        <v>8</v>
      </c>
      <c r="F165" s="1">
        <f t="shared" si="12"/>
        <v>540</v>
      </c>
      <c r="G165" s="5">
        <f t="shared" si="11"/>
        <v>0.44074074074074077</v>
      </c>
    </row>
    <row r="166" spans="1:7" ht="13">
      <c r="A166" s="4" t="s">
        <v>113</v>
      </c>
      <c r="B166" s="1">
        <v>6.2</v>
      </c>
      <c r="C166" s="1">
        <v>312</v>
      </c>
      <c r="D166" s="1" t="s">
        <v>11</v>
      </c>
      <c r="E166" s="1" t="s">
        <v>10</v>
      </c>
      <c r="F166" s="1">
        <f t="shared" si="12"/>
        <v>620</v>
      </c>
      <c r="G166" s="5">
        <f t="shared" si="11"/>
        <v>0.50322580645161286</v>
      </c>
    </row>
    <row r="167" spans="1:7" ht="13">
      <c r="A167" s="4" t="s">
        <v>113</v>
      </c>
      <c r="B167" s="1">
        <v>5.2</v>
      </c>
      <c r="C167" s="1">
        <v>191</v>
      </c>
      <c r="D167" s="1" t="s">
        <v>35</v>
      </c>
      <c r="E167" s="1" t="s">
        <v>41</v>
      </c>
      <c r="F167" s="1">
        <f t="shared" si="12"/>
        <v>520</v>
      </c>
      <c r="G167" s="5">
        <f t="shared" si="11"/>
        <v>0.36730769230769234</v>
      </c>
    </row>
    <row r="168" spans="1:7" ht="13">
      <c r="A168" s="4" t="s">
        <v>113</v>
      </c>
      <c r="B168" s="1">
        <v>7.8</v>
      </c>
      <c r="C168" s="1">
        <v>287</v>
      </c>
      <c r="D168" s="1" t="s">
        <v>65</v>
      </c>
      <c r="E168" s="1" t="s">
        <v>49</v>
      </c>
      <c r="F168" s="1">
        <f t="shared" si="12"/>
        <v>780</v>
      </c>
      <c r="G168" s="5">
        <f t="shared" si="11"/>
        <v>0.36794871794871797</v>
      </c>
    </row>
    <row r="169" spans="1:7" ht="13">
      <c r="A169" s="4" t="s">
        <v>113</v>
      </c>
      <c r="B169" s="1">
        <v>5</v>
      </c>
      <c r="C169" s="1">
        <v>205</v>
      </c>
      <c r="D169" s="1" t="s">
        <v>33</v>
      </c>
      <c r="E169" s="1" t="s">
        <v>32</v>
      </c>
      <c r="F169" s="1">
        <f t="shared" si="12"/>
        <v>500</v>
      </c>
      <c r="G169" s="5">
        <f t="shared" si="11"/>
        <v>0.41</v>
      </c>
    </row>
    <row r="170" spans="1:7" ht="13">
      <c r="A170" s="4" t="s">
        <v>113</v>
      </c>
      <c r="B170" s="1">
        <v>5.12</v>
      </c>
      <c r="C170" s="1">
        <v>234</v>
      </c>
      <c r="D170" s="1" t="s">
        <v>11</v>
      </c>
      <c r="E170" s="1" t="s">
        <v>9</v>
      </c>
      <c r="F170" s="1">
        <f t="shared" si="12"/>
        <v>512</v>
      </c>
      <c r="G170" s="5">
        <f t="shared" si="11"/>
        <v>0.45703125</v>
      </c>
    </row>
    <row r="171" spans="1:7" ht="13">
      <c r="A171" s="4" t="s">
        <v>113</v>
      </c>
      <c r="B171" s="1">
        <v>11.7</v>
      </c>
      <c r="C171" s="1">
        <v>354</v>
      </c>
      <c r="D171" s="1" t="s">
        <v>47</v>
      </c>
      <c r="E171" s="1" t="s">
        <v>14</v>
      </c>
      <c r="F171" s="1">
        <f t="shared" si="12"/>
        <v>1170</v>
      </c>
      <c r="G171" s="5">
        <f t="shared" si="11"/>
        <v>0.30256410256410254</v>
      </c>
    </row>
    <row r="172" spans="1:7" ht="13">
      <c r="A172" s="4" t="s">
        <v>113</v>
      </c>
      <c r="B172" s="1">
        <v>7.56</v>
      </c>
      <c r="C172" s="1">
        <v>235</v>
      </c>
      <c r="D172" s="1" t="s">
        <v>33</v>
      </c>
      <c r="E172" s="1" t="s">
        <v>31</v>
      </c>
      <c r="F172" s="1">
        <f t="shared" si="12"/>
        <v>756</v>
      </c>
      <c r="G172" s="5">
        <f t="shared" si="11"/>
        <v>0.31084656084656087</v>
      </c>
    </row>
    <row r="173" spans="1:7" ht="13">
      <c r="A173" s="4" t="s">
        <v>113</v>
      </c>
      <c r="B173" s="1">
        <v>6</v>
      </c>
      <c r="C173" s="1">
        <v>315</v>
      </c>
      <c r="D173" s="1" t="s">
        <v>47</v>
      </c>
      <c r="E173" s="1" t="s">
        <v>29</v>
      </c>
      <c r="F173" s="1">
        <f t="shared" si="12"/>
        <v>600</v>
      </c>
      <c r="G173" s="5">
        <f t="shared" si="11"/>
        <v>0.52500000000000002</v>
      </c>
    </row>
    <row r="174" spans="1:7" ht="13">
      <c r="A174" s="4" t="s">
        <v>113</v>
      </c>
      <c r="B174" s="1">
        <v>3.44</v>
      </c>
      <c r="C174" s="1">
        <v>172</v>
      </c>
      <c r="D174" s="1" t="s">
        <v>43</v>
      </c>
      <c r="E174" s="1" t="s">
        <v>8</v>
      </c>
      <c r="F174" s="1">
        <f t="shared" si="12"/>
        <v>344</v>
      </c>
      <c r="G174" s="5">
        <f t="shared" si="11"/>
        <v>0.5</v>
      </c>
    </row>
    <row r="175" spans="1:7" ht="13">
      <c r="A175" s="4" t="s">
        <v>113</v>
      </c>
      <c r="B175" s="1">
        <v>8.9700000000000006</v>
      </c>
      <c r="C175" s="1">
        <v>356</v>
      </c>
      <c r="D175" s="1" t="s">
        <v>11</v>
      </c>
      <c r="E175" s="1" t="s">
        <v>31</v>
      </c>
      <c r="F175" s="1">
        <f t="shared" si="12"/>
        <v>897.00000000000011</v>
      </c>
      <c r="G175" s="5">
        <f t="shared" si="11"/>
        <v>0.39687848383500551</v>
      </c>
    </row>
    <row r="176" spans="1:7" ht="13">
      <c r="A176" s="4" t="s">
        <v>113</v>
      </c>
      <c r="B176" s="1">
        <v>8.8000000000000007</v>
      </c>
      <c r="C176" s="1">
        <v>352</v>
      </c>
      <c r="D176" s="1" t="s">
        <v>47</v>
      </c>
      <c r="E176" s="1" t="s">
        <v>30</v>
      </c>
      <c r="F176" s="1">
        <f t="shared" si="12"/>
        <v>880.00000000000011</v>
      </c>
      <c r="G176" s="5">
        <f t="shared" si="11"/>
        <v>0.39999999999999997</v>
      </c>
    </row>
    <row r="177" spans="1:7" ht="13">
      <c r="A177" s="4" t="s">
        <v>113</v>
      </c>
      <c r="B177" s="1">
        <v>6</v>
      </c>
      <c r="C177" s="1">
        <v>284</v>
      </c>
      <c r="D177" s="1" t="s">
        <v>11</v>
      </c>
      <c r="E177" s="1" t="s">
        <v>22</v>
      </c>
      <c r="F177" s="1">
        <f t="shared" si="12"/>
        <v>600</v>
      </c>
      <c r="G177" s="5">
        <f t="shared" si="11"/>
        <v>0.47333333333333333</v>
      </c>
    </row>
    <row r="178" spans="1:7" ht="13">
      <c r="A178" s="4" t="s">
        <v>113</v>
      </c>
      <c r="B178" s="1">
        <v>6.5</v>
      </c>
      <c r="C178" s="1">
        <v>249</v>
      </c>
      <c r="D178" s="1" t="s">
        <v>47</v>
      </c>
      <c r="E178" s="1" t="s">
        <v>17</v>
      </c>
      <c r="F178" s="1">
        <f t="shared" si="12"/>
        <v>650</v>
      </c>
      <c r="G178" s="5">
        <f t="shared" si="11"/>
        <v>0.38307692307692309</v>
      </c>
    </row>
    <row r="179" spans="1:7" ht="13">
      <c r="A179" s="4" t="s">
        <v>113</v>
      </c>
      <c r="B179" s="1">
        <v>7.74</v>
      </c>
      <c r="C179" s="1">
        <v>313</v>
      </c>
      <c r="D179" s="1" t="s">
        <v>11</v>
      </c>
      <c r="E179" s="1" t="s">
        <v>22</v>
      </c>
      <c r="F179" s="1">
        <f t="shared" si="12"/>
        <v>774</v>
      </c>
      <c r="G179" s="5">
        <f t="shared" si="11"/>
        <v>0.40439276485788112</v>
      </c>
    </row>
    <row r="180" spans="1:7" ht="13">
      <c r="A180" s="4" t="s">
        <v>113</v>
      </c>
      <c r="B180" s="1">
        <v>8.69</v>
      </c>
      <c r="C180" s="1">
        <v>423</v>
      </c>
      <c r="D180" s="1" t="s">
        <v>11</v>
      </c>
      <c r="E180" s="1" t="s">
        <v>26</v>
      </c>
      <c r="F180" s="1">
        <f t="shared" si="12"/>
        <v>869</v>
      </c>
      <c r="G180" s="5">
        <f t="shared" si="11"/>
        <v>0.48676639815880324</v>
      </c>
    </row>
    <row r="181" spans="1:7" ht="13">
      <c r="A181" s="4" t="s">
        <v>113</v>
      </c>
      <c r="B181" s="1">
        <v>4.4800000000000004</v>
      </c>
      <c r="C181" s="1">
        <v>117</v>
      </c>
      <c r="D181" s="1" t="s">
        <v>35</v>
      </c>
      <c r="E181" s="1" t="s">
        <v>28</v>
      </c>
      <c r="F181" s="1">
        <f t="shared" si="12"/>
        <v>448.00000000000006</v>
      </c>
      <c r="G181" s="5">
        <f t="shared" si="11"/>
        <v>0.26116071428571425</v>
      </c>
    </row>
    <row r="182" spans="1:7" ht="13">
      <c r="A182" s="4" t="s">
        <v>113</v>
      </c>
      <c r="B182" s="1">
        <v>7.2249999999999996</v>
      </c>
      <c r="C182" s="1">
        <v>265</v>
      </c>
      <c r="D182" s="1" t="s">
        <v>11</v>
      </c>
      <c r="E182" s="1" t="s">
        <v>18</v>
      </c>
      <c r="F182" s="1">
        <f t="shared" si="12"/>
        <v>722.5</v>
      </c>
      <c r="G182" s="5">
        <f t="shared" si="11"/>
        <v>0.36678200692041524</v>
      </c>
    </row>
    <row r="183" spans="1:7" ht="13">
      <c r="A183" s="4" t="s">
        <v>113</v>
      </c>
      <c r="B183" s="1">
        <v>11</v>
      </c>
      <c r="C183" s="1">
        <v>375</v>
      </c>
      <c r="D183" s="1" t="s">
        <v>11</v>
      </c>
      <c r="E183" s="1" t="s">
        <v>10</v>
      </c>
      <c r="F183" s="1">
        <f t="shared" si="12"/>
        <v>1100</v>
      </c>
      <c r="G183" s="5">
        <f t="shared" si="11"/>
        <v>0.34090909090909088</v>
      </c>
    </row>
    <row r="184" spans="1:7" ht="13">
      <c r="A184" s="4" t="s">
        <v>113</v>
      </c>
      <c r="B184" s="1">
        <v>6.56</v>
      </c>
      <c r="C184" s="1">
        <v>214</v>
      </c>
      <c r="D184" s="1" t="s">
        <v>11</v>
      </c>
      <c r="E184" s="1" t="s">
        <v>18</v>
      </c>
      <c r="F184" s="1">
        <f t="shared" si="12"/>
        <v>656</v>
      </c>
      <c r="G184" s="5">
        <f t="shared" si="11"/>
        <v>0.32621951219512196</v>
      </c>
    </row>
    <row r="185" spans="1:7" ht="13">
      <c r="A185" s="4" t="s">
        <v>113</v>
      </c>
      <c r="B185" s="1">
        <v>7.74</v>
      </c>
      <c r="C185" s="1">
        <v>277</v>
      </c>
      <c r="D185" s="1" t="s">
        <v>11</v>
      </c>
      <c r="E185" s="1" t="s">
        <v>25</v>
      </c>
      <c r="F185" s="1">
        <f t="shared" si="12"/>
        <v>774</v>
      </c>
      <c r="G185" s="5">
        <f t="shared" si="11"/>
        <v>0.3578811369509044</v>
      </c>
    </row>
    <row r="186" spans="1:7" ht="13">
      <c r="A186" s="4" t="s">
        <v>113</v>
      </c>
      <c r="B186" s="1">
        <v>6</v>
      </c>
      <c r="C186" s="1">
        <v>200</v>
      </c>
      <c r="D186" s="1" t="s">
        <v>66</v>
      </c>
      <c r="E186" s="1" t="s">
        <v>49</v>
      </c>
      <c r="F186" s="1">
        <f t="shared" si="12"/>
        <v>600</v>
      </c>
      <c r="G186" s="5">
        <f t="shared" si="11"/>
        <v>0.33333333333333331</v>
      </c>
    </row>
    <row r="187" spans="1:7" ht="13">
      <c r="A187" s="4" t="s">
        <v>113</v>
      </c>
      <c r="B187" s="1">
        <v>6.4</v>
      </c>
      <c r="C187" s="1">
        <v>317</v>
      </c>
      <c r="D187" s="1" t="s">
        <v>11</v>
      </c>
      <c r="E187" s="1" t="s">
        <v>17</v>
      </c>
      <c r="F187" s="1">
        <f t="shared" si="12"/>
        <v>640</v>
      </c>
      <c r="G187" s="5">
        <f t="shared" si="11"/>
        <v>0.49531249999999999</v>
      </c>
    </row>
    <row r="188" spans="1:7" ht="13">
      <c r="A188" s="4" t="s">
        <v>113</v>
      </c>
      <c r="B188" s="1">
        <v>6.2</v>
      </c>
      <c r="C188" s="1">
        <v>189</v>
      </c>
      <c r="D188" s="1" t="s">
        <v>33</v>
      </c>
      <c r="E188" s="1" t="s">
        <v>15</v>
      </c>
      <c r="F188" s="1">
        <f t="shared" si="12"/>
        <v>620</v>
      </c>
      <c r="G188" s="5">
        <f t="shared" si="11"/>
        <v>0.30483870967741933</v>
      </c>
    </row>
    <row r="189" spans="1:7" ht="13">
      <c r="A189" s="4" t="s">
        <v>113</v>
      </c>
      <c r="B189" s="1">
        <v>4.3</v>
      </c>
      <c r="C189" s="1">
        <v>229</v>
      </c>
      <c r="D189" s="1" t="s">
        <v>11</v>
      </c>
      <c r="E189" s="1" t="s">
        <v>8</v>
      </c>
      <c r="F189" s="1">
        <f t="shared" si="12"/>
        <v>430</v>
      </c>
      <c r="G189" s="5">
        <f t="shared" si="11"/>
        <v>0.53255813953488373</v>
      </c>
    </row>
    <row r="190" spans="1:7" ht="13">
      <c r="A190" s="4" t="s">
        <v>113</v>
      </c>
      <c r="B190" s="1">
        <v>5.0999999999999996</v>
      </c>
      <c r="C190" s="1">
        <v>194</v>
      </c>
      <c r="D190" s="1" t="s">
        <v>39</v>
      </c>
      <c r="E190" s="1" t="s">
        <v>15</v>
      </c>
      <c r="F190" s="1">
        <f t="shared" si="12"/>
        <v>509.99999999999994</v>
      </c>
      <c r="G190" s="5">
        <f t="shared" si="11"/>
        <v>0.38039215686274513</v>
      </c>
    </row>
    <row r="191" spans="1:7" ht="13">
      <c r="A191" s="4" t="s">
        <v>113</v>
      </c>
      <c r="B191" s="1">
        <v>5</v>
      </c>
      <c r="C191" s="1">
        <v>219</v>
      </c>
      <c r="D191" s="1" t="s">
        <v>47</v>
      </c>
      <c r="E191" s="1" t="s">
        <v>26</v>
      </c>
      <c r="F191" s="1">
        <f t="shared" si="12"/>
        <v>500</v>
      </c>
      <c r="G191" s="5">
        <f t="shared" si="11"/>
        <v>0.438</v>
      </c>
    </row>
    <row r="192" spans="1:7" ht="13">
      <c r="A192" s="4" t="s">
        <v>113</v>
      </c>
      <c r="B192" s="1">
        <v>6.3</v>
      </c>
      <c r="C192" s="1">
        <v>248</v>
      </c>
      <c r="D192" s="1" t="s">
        <v>43</v>
      </c>
      <c r="E192" s="1" t="s">
        <v>29</v>
      </c>
      <c r="F192" s="1">
        <f t="shared" si="12"/>
        <v>630</v>
      </c>
      <c r="G192" s="5">
        <f t="shared" si="11"/>
        <v>0.39365079365079364</v>
      </c>
    </row>
    <row r="193" spans="1:7" ht="13">
      <c r="A193" s="4" t="s">
        <v>113</v>
      </c>
      <c r="B193" s="1">
        <v>5.88</v>
      </c>
      <c r="C193" s="1">
        <v>224</v>
      </c>
      <c r="D193" s="1" t="s">
        <v>11</v>
      </c>
      <c r="E193" s="1" t="s">
        <v>15</v>
      </c>
      <c r="F193" s="1">
        <f t="shared" si="12"/>
        <v>588</v>
      </c>
      <c r="G193" s="5">
        <f t="shared" si="11"/>
        <v>0.38095238095238093</v>
      </c>
    </row>
    <row r="194" spans="1:7" ht="13">
      <c r="A194" s="4" t="s">
        <v>113</v>
      </c>
      <c r="B194" s="1">
        <v>6.7</v>
      </c>
      <c r="C194" s="1">
        <v>295</v>
      </c>
      <c r="D194" s="1" t="s">
        <v>35</v>
      </c>
      <c r="E194" s="1" t="s">
        <v>10</v>
      </c>
      <c r="F194" s="1">
        <f t="shared" si="12"/>
        <v>670</v>
      </c>
      <c r="G194" s="5">
        <f t="shared" ref="G194:G257" si="13">C194/F194</f>
        <v>0.44029850746268656</v>
      </c>
    </row>
    <row r="195" spans="1:7" ht="13">
      <c r="A195" s="4" t="s">
        <v>113</v>
      </c>
      <c r="B195" s="1">
        <v>7.1</v>
      </c>
      <c r="C195" s="1">
        <v>331</v>
      </c>
      <c r="D195" s="1" t="s">
        <v>11</v>
      </c>
      <c r="E195" s="1" t="s">
        <v>10</v>
      </c>
      <c r="F195" s="1">
        <f t="shared" ref="F195:F258" si="14">B195*100</f>
        <v>710</v>
      </c>
      <c r="G195" s="5">
        <f t="shared" si="13"/>
        <v>0.46619718309859154</v>
      </c>
    </row>
    <row r="196" spans="1:7" ht="13">
      <c r="A196" s="4" t="s">
        <v>113</v>
      </c>
      <c r="B196" s="1">
        <v>6</v>
      </c>
      <c r="C196" s="1">
        <v>148</v>
      </c>
      <c r="D196" s="1" t="s">
        <v>33</v>
      </c>
      <c r="E196" s="1" t="s">
        <v>23</v>
      </c>
      <c r="F196" s="1">
        <f t="shared" si="14"/>
        <v>600</v>
      </c>
      <c r="G196" s="5">
        <f t="shared" si="13"/>
        <v>0.24666666666666667</v>
      </c>
    </row>
    <row r="197" spans="1:7" ht="13">
      <c r="A197" s="4" t="s">
        <v>113</v>
      </c>
      <c r="B197" s="1">
        <v>6.9</v>
      </c>
      <c r="C197" s="1">
        <v>238</v>
      </c>
      <c r="D197" s="1" t="s">
        <v>11</v>
      </c>
      <c r="E197" s="1" t="s">
        <v>7</v>
      </c>
      <c r="F197" s="1">
        <f t="shared" si="14"/>
        <v>690</v>
      </c>
      <c r="G197" s="5">
        <f t="shared" si="13"/>
        <v>0.34492753623188405</v>
      </c>
    </row>
    <row r="198" spans="1:7" ht="13">
      <c r="A198" s="4" t="s">
        <v>113</v>
      </c>
      <c r="B198" s="1">
        <v>6</v>
      </c>
      <c r="C198" s="1">
        <v>203</v>
      </c>
      <c r="D198" s="1" t="s">
        <v>40</v>
      </c>
      <c r="E198" s="1" t="s">
        <v>8</v>
      </c>
      <c r="F198" s="1">
        <f t="shared" si="14"/>
        <v>600</v>
      </c>
      <c r="G198" s="5">
        <f t="shared" si="13"/>
        <v>0.33833333333333332</v>
      </c>
    </row>
    <row r="199" spans="1:7" ht="13">
      <c r="A199" s="4" t="s">
        <v>113</v>
      </c>
      <c r="B199" s="1">
        <v>7.74</v>
      </c>
      <c r="C199" s="1">
        <v>238</v>
      </c>
      <c r="D199" s="1" t="s">
        <v>33</v>
      </c>
      <c r="E199" s="1" t="s">
        <v>16</v>
      </c>
      <c r="F199" s="1">
        <f t="shared" si="14"/>
        <v>774</v>
      </c>
      <c r="G199" s="5">
        <f t="shared" si="13"/>
        <v>0.30749354005167956</v>
      </c>
    </row>
    <row r="200" spans="1:7" ht="13">
      <c r="A200" s="4" t="s">
        <v>113</v>
      </c>
      <c r="B200" s="1">
        <v>7.3</v>
      </c>
      <c r="C200" s="1">
        <v>260</v>
      </c>
      <c r="D200" s="1" t="s">
        <v>33</v>
      </c>
      <c r="E200" s="1" t="s">
        <v>23</v>
      </c>
      <c r="F200" s="1">
        <f t="shared" si="14"/>
        <v>730</v>
      </c>
      <c r="G200" s="5">
        <f t="shared" si="13"/>
        <v>0.35616438356164382</v>
      </c>
    </row>
    <row r="201" spans="1:7" ht="13">
      <c r="A201" s="4" t="s">
        <v>113</v>
      </c>
      <c r="B201" s="1">
        <v>5.6</v>
      </c>
      <c r="C201" s="1">
        <v>116</v>
      </c>
      <c r="D201" s="1" t="s">
        <v>40</v>
      </c>
      <c r="E201" s="1" t="s">
        <v>7</v>
      </c>
      <c r="F201" s="1">
        <f t="shared" si="14"/>
        <v>560</v>
      </c>
      <c r="G201" s="5">
        <f t="shared" si="13"/>
        <v>0.20714285714285716</v>
      </c>
    </row>
    <row r="202" spans="1:7" ht="13">
      <c r="A202" s="4" t="s">
        <v>113</v>
      </c>
      <c r="B202" s="1">
        <v>7.56</v>
      </c>
      <c r="C202" s="1">
        <v>284</v>
      </c>
      <c r="D202" s="1" t="s">
        <v>11</v>
      </c>
      <c r="E202" s="1" t="s">
        <v>25</v>
      </c>
      <c r="F202" s="1">
        <f t="shared" si="14"/>
        <v>756</v>
      </c>
      <c r="G202" s="5">
        <f t="shared" si="13"/>
        <v>0.37566137566137564</v>
      </c>
    </row>
    <row r="203" spans="1:7" ht="13">
      <c r="A203" s="4" t="s">
        <v>113</v>
      </c>
      <c r="B203" s="1">
        <v>7</v>
      </c>
      <c r="C203" s="1">
        <v>225</v>
      </c>
      <c r="D203" s="1" t="s">
        <v>33</v>
      </c>
      <c r="E203" s="1" t="s">
        <v>20</v>
      </c>
      <c r="F203" s="1">
        <f t="shared" si="14"/>
        <v>700</v>
      </c>
      <c r="G203" s="5">
        <f t="shared" si="13"/>
        <v>0.32142857142857145</v>
      </c>
    </row>
    <row r="204" spans="1:7" ht="13">
      <c r="A204" s="4" t="s">
        <v>113</v>
      </c>
      <c r="B204" s="1">
        <v>9.3000000000000007</v>
      </c>
      <c r="C204" s="1">
        <v>456</v>
      </c>
      <c r="D204" s="1" t="s">
        <v>11</v>
      </c>
      <c r="E204" s="1" t="s">
        <v>20</v>
      </c>
      <c r="F204" s="1">
        <f t="shared" si="14"/>
        <v>930.00000000000011</v>
      </c>
      <c r="G204" s="5">
        <f t="shared" si="13"/>
        <v>0.49032258064516121</v>
      </c>
    </row>
    <row r="205" spans="1:7" ht="13">
      <c r="A205" s="4" t="s">
        <v>113</v>
      </c>
      <c r="B205" s="1">
        <v>6.7</v>
      </c>
      <c r="C205" s="1">
        <v>190</v>
      </c>
      <c r="D205" s="1" t="s">
        <v>33</v>
      </c>
      <c r="E205" s="1" t="s">
        <v>21</v>
      </c>
      <c r="F205" s="1">
        <f t="shared" si="14"/>
        <v>670</v>
      </c>
      <c r="G205" s="5">
        <f t="shared" si="13"/>
        <v>0.28358208955223879</v>
      </c>
    </row>
    <row r="206" spans="1:7" ht="13">
      <c r="A206" s="4" t="s">
        <v>113</v>
      </c>
      <c r="B206" s="1">
        <v>5</v>
      </c>
      <c r="C206" s="1">
        <v>263</v>
      </c>
      <c r="D206" s="1" t="s">
        <v>39</v>
      </c>
      <c r="E206" s="1" t="s">
        <v>30</v>
      </c>
      <c r="F206" s="1">
        <f t="shared" si="14"/>
        <v>500</v>
      </c>
      <c r="G206" s="5">
        <f t="shared" si="13"/>
        <v>0.52600000000000002</v>
      </c>
    </row>
    <row r="207" spans="1:7" ht="13">
      <c r="A207" s="4" t="s">
        <v>113</v>
      </c>
      <c r="B207" s="1">
        <v>6.96</v>
      </c>
      <c r="C207" s="1">
        <v>317</v>
      </c>
      <c r="D207" s="1" t="s">
        <v>11</v>
      </c>
      <c r="E207" s="1" t="s">
        <v>14</v>
      </c>
      <c r="F207" s="1">
        <f t="shared" si="14"/>
        <v>696</v>
      </c>
      <c r="G207" s="5">
        <f t="shared" si="13"/>
        <v>0.45545977011494254</v>
      </c>
    </row>
    <row r="208" spans="1:7" ht="13">
      <c r="A208" s="4" t="s">
        <v>113</v>
      </c>
      <c r="B208" s="1">
        <v>7.8</v>
      </c>
      <c r="C208" s="1">
        <v>313</v>
      </c>
      <c r="D208" s="1" t="s">
        <v>11</v>
      </c>
      <c r="E208" s="1" t="s">
        <v>21</v>
      </c>
      <c r="F208" s="1">
        <f t="shared" si="14"/>
        <v>780</v>
      </c>
      <c r="G208" s="5">
        <f t="shared" si="13"/>
        <v>0.4012820512820513</v>
      </c>
    </row>
    <row r="209" spans="1:7" ht="13">
      <c r="A209" s="4" t="s">
        <v>113</v>
      </c>
      <c r="B209" s="1">
        <v>8.6</v>
      </c>
      <c r="C209" s="1">
        <v>411</v>
      </c>
      <c r="D209" s="1" t="s">
        <v>11</v>
      </c>
      <c r="E209" s="1" t="s">
        <v>19</v>
      </c>
      <c r="F209" s="1">
        <f t="shared" si="14"/>
        <v>860</v>
      </c>
      <c r="G209" s="5">
        <f t="shared" si="13"/>
        <v>0.47790697674418603</v>
      </c>
    </row>
    <row r="210" spans="1:7" ht="13">
      <c r="A210" s="4" t="s">
        <v>113</v>
      </c>
      <c r="B210" s="1">
        <v>4.92</v>
      </c>
      <c r="C210" s="1">
        <v>223</v>
      </c>
      <c r="D210" s="1" t="s">
        <v>11</v>
      </c>
      <c r="E210" s="1" t="s">
        <v>17</v>
      </c>
      <c r="F210" s="1">
        <f t="shared" si="14"/>
        <v>492</v>
      </c>
      <c r="G210" s="5">
        <f t="shared" si="13"/>
        <v>0.4532520325203252</v>
      </c>
    </row>
    <row r="211" spans="1:7" ht="13">
      <c r="A211" s="4" t="s">
        <v>113</v>
      </c>
      <c r="B211" s="1">
        <v>2.5</v>
      </c>
      <c r="C211" s="1">
        <v>105</v>
      </c>
      <c r="D211" s="1" t="s">
        <v>11</v>
      </c>
      <c r="E211" s="1" t="s">
        <v>24</v>
      </c>
      <c r="F211" s="1">
        <f t="shared" si="14"/>
        <v>250</v>
      </c>
      <c r="G211" s="5">
        <f t="shared" si="13"/>
        <v>0.42</v>
      </c>
    </row>
    <row r="212" spans="1:7" ht="13">
      <c r="A212" s="4" t="s">
        <v>113</v>
      </c>
      <c r="B212" s="1">
        <v>4.2</v>
      </c>
      <c r="C212" s="1">
        <v>214</v>
      </c>
      <c r="D212" s="1" t="s">
        <v>11</v>
      </c>
      <c r="E212" s="1" t="s">
        <v>15</v>
      </c>
      <c r="F212" s="1">
        <f t="shared" si="14"/>
        <v>420</v>
      </c>
      <c r="G212" s="5">
        <f t="shared" si="13"/>
        <v>0.50952380952380949</v>
      </c>
    </row>
    <row r="213" spans="1:7" ht="13">
      <c r="A213" s="4" t="s">
        <v>113</v>
      </c>
      <c r="B213" s="1">
        <v>5.46</v>
      </c>
      <c r="C213" s="1">
        <v>166.3</v>
      </c>
      <c r="D213" s="1" t="s">
        <v>33</v>
      </c>
      <c r="E213" s="1" t="s">
        <v>14</v>
      </c>
      <c r="F213" s="1">
        <f t="shared" si="14"/>
        <v>546</v>
      </c>
      <c r="G213" s="5">
        <f t="shared" si="13"/>
        <v>0.30457875457875461</v>
      </c>
    </row>
    <row r="214" spans="1:7" ht="13">
      <c r="A214" s="4" t="s">
        <v>113</v>
      </c>
      <c r="B214" s="1">
        <v>6.72</v>
      </c>
      <c r="C214" s="1">
        <v>197</v>
      </c>
      <c r="D214" s="1" t="s">
        <v>33</v>
      </c>
      <c r="E214" s="1" t="s">
        <v>27</v>
      </c>
      <c r="F214" s="1">
        <f t="shared" si="14"/>
        <v>672</v>
      </c>
      <c r="G214" s="5">
        <f t="shared" si="13"/>
        <v>0.29315476190476192</v>
      </c>
    </row>
    <row r="215" spans="1:7" ht="13">
      <c r="A215" s="4" t="s">
        <v>113</v>
      </c>
      <c r="B215" s="1">
        <v>4.5</v>
      </c>
      <c r="C215" s="1">
        <v>130</v>
      </c>
      <c r="D215" s="1" t="s">
        <v>37</v>
      </c>
      <c r="E215" s="1" t="s">
        <v>15</v>
      </c>
      <c r="F215" s="1">
        <f t="shared" si="14"/>
        <v>450</v>
      </c>
      <c r="G215" s="5">
        <f t="shared" si="13"/>
        <v>0.28888888888888886</v>
      </c>
    </row>
    <row r="216" spans="1:7" ht="13">
      <c r="A216" s="4" t="s">
        <v>113</v>
      </c>
      <c r="B216" s="1">
        <v>6.4</v>
      </c>
      <c r="C216" s="1">
        <v>321</v>
      </c>
      <c r="D216" s="1" t="s">
        <v>11</v>
      </c>
      <c r="E216" s="1" t="s">
        <v>16</v>
      </c>
      <c r="F216" s="1">
        <f t="shared" si="14"/>
        <v>640</v>
      </c>
      <c r="G216" s="5">
        <f t="shared" si="13"/>
        <v>0.50156250000000002</v>
      </c>
    </row>
    <row r="217" spans="1:7" ht="13">
      <c r="A217" s="4" t="s">
        <v>113</v>
      </c>
      <c r="B217" s="1">
        <v>5.81</v>
      </c>
      <c r="C217" s="1">
        <v>300</v>
      </c>
      <c r="D217" s="1" t="s">
        <v>38</v>
      </c>
      <c r="E217" s="1" t="s">
        <v>8</v>
      </c>
      <c r="F217" s="1">
        <f t="shared" si="14"/>
        <v>581</v>
      </c>
      <c r="G217" s="5">
        <f t="shared" si="13"/>
        <v>0.51635111876075734</v>
      </c>
    </row>
    <row r="218" spans="1:7" ht="13">
      <c r="A218" s="4" t="s">
        <v>113</v>
      </c>
      <c r="B218" s="1">
        <v>6</v>
      </c>
      <c r="C218" s="1">
        <v>283</v>
      </c>
      <c r="D218" s="1" t="s">
        <v>11</v>
      </c>
      <c r="E218" s="1" t="s">
        <v>29</v>
      </c>
      <c r="F218" s="1">
        <f t="shared" si="14"/>
        <v>600</v>
      </c>
      <c r="G218" s="5">
        <f t="shared" si="13"/>
        <v>0.47166666666666668</v>
      </c>
    </row>
    <row r="219" spans="1:7" ht="13">
      <c r="A219" s="4" t="s">
        <v>113</v>
      </c>
      <c r="B219" s="1">
        <v>5.0999999999999996</v>
      </c>
      <c r="C219" s="1">
        <v>122</v>
      </c>
      <c r="D219" s="1" t="s">
        <v>33</v>
      </c>
      <c r="E219" s="1" t="s">
        <v>15</v>
      </c>
      <c r="F219" s="1">
        <f t="shared" si="14"/>
        <v>509.99999999999994</v>
      </c>
      <c r="G219" s="5">
        <f t="shared" si="13"/>
        <v>0.23921568627450984</v>
      </c>
    </row>
    <row r="220" spans="1:7" ht="13">
      <c r="A220" s="4" t="s">
        <v>113</v>
      </c>
      <c r="B220" s="1">
        <v>5.0999999999999996</v>
      </c>
      <c r="C220" s="1">
        <v>122</v>
      </c>
      <c r="D220" s="1" t="s">
        <v>33</v>
      </c>
      <c r="E220" s="1" t="s">
        <v>15</v>
      </c>
      <c r="F220" s="1">
        <f t="shared" si="14"/>
        <v>509.99999999999994</v>
      </c>
      <c r="G220" s="5">
        <f t="shared" si="13"/>
        <v>0.23921568627450984</v>
      </c>
    </row>
    <row r="221" spans="1:7" ht="13">
      <c r="A221" s="4" t="s">
        <v>113</v>
      </c>
      <c r="B221" s="1">
        <v>8.4</v>
      </c>
      <c r="C221" s="1">
        <v>272</v>
      </c>
      <c r="D221" s="1" t="s">
        <v>33</v>
      </c>
      <c r="E221" s="1" t="s">
        <v>10</v>
      </c>
      <c r="F221" s="1">
        <f t="shared" si="14"/>
        <v>840</v>
      </c>
      <c r="G221" s="5">
        <f t="shared" si="13"/>
        <v>0.32380952380952382</v>
      </c>
    </row>
    <row r="222" spans="1:7" ht="13">
      <c r="A222" s="4" t="s">
        <v>113</v>
      </c>
      <c r="B222" s="1">
        <v>5.6</v>
      </c>
      <c r="C222" s="1">
        <v>195</v>
      </c>
      <c r="D222" s="1" t="s">
        <v>11</v>
      </c>
      <c r="E222" s="1" t="s">
        <v>21</v>
      </c>
      <c r="F222" s="1">
        <f t="shared" si="14"/>
        <v>560</v>
      </c>
      <c r="G222" s="5">
        <f t="shared" si="13"/>
        <v>0.3482142857142857</v>
      </c>
    </row>
    <row r="223" spans="1:7" ht="13">
      <c r="A223" s="4" t="s">
        <v>113</v>
      </c>
      <c r="B223" s="1">
        <v>4.2</v>
      </c>
      <c r="C223" s="1">
        <v>155</v>
      </c>
      <c r="D223" s="1" t="s">
        <v>44</v>
      </c>
      <c r="E223" s="1" t="s">
        <v>15</v>
      </c>
      <c r="F223" s="1">
        <f t="shared" si="14"/>
        <v>420</v>
      </c>
      <c r="G223" s="5">
        <f t="shared" si="13"/>
        <v>0.36904761904761907</v>
      </c>
    </row>
    <row r="224" spans="1:7" ht="13">
      <c r="A224" s="4" t="s">
        <v>113</v>
      </c>
      <c r="B224" s="1">
        <v>6.8</v>
      </c>
      <c r="C224" s="1">
        <v>222</v>
      </c>
      <c r="D224" s="1" t="s">
        <v>11</v>
      </c>
      <c r="E224" s="1" t="s">
        <v>46</v>
      </c>
      <c r="F224" s="1">
        <f t="shared" si="14"/>
        <v>680</v>
      </c>
      <c r="G224" s="5">
        <f t="shared" si="13"/>
        <v>0.32647058823529412</v>
      </c>
    </row>
    <row r="225" spans="1:7" ht="13">
      <c r="A225" s="4" t="s">
        <v>113</v>
      </c>
      <c r="B225" s="1">
        <v>6.1</v>
      </c>
      <c r="C225" s="1">
        <v>237</v>
      </c>
      <c r="D225" s="1" t="s">
        <v>42</v>
      </c>
      <c r="E225" s="1" t="s">
        <v>17</v>
      </c>
      <c r="F225" s="1">
        <f t="shared" si="14"/>
        <v>610</v>
      </c>
      <c r="G225" s="5">
        <f t="shared" si="13"/>
        <v>0.38852459016393442</v>
      </c>
    </row>
    <row r="226" spans="1:7" ht="13">
      <c r="A226" s="4" t="s">
        <v>113</v>
      </c>
      <c r="B226" s="1">
        <v>6.7</v>
      </c>
      <c r="C226" s="1">
        <v>234</v>
      </c>
      <c r="D226" s="1" t="s">
        <v>53</v>
      </c>
      <c r="E226" s="1" t="s">
        <v>8</v>
      </c>
      <c r="F226" s="1">
        <f t="shared" si="14"/>
        <v>670</v>
      </c>
      <c r="G226" s="5">
        <f t="shared" si="13"/>
        <v>0.34925373134328358</v>
      </c>
    </row>
    <row r="227" spans="1:7" ht="13">
      <c r="A227" s="4" t="s">
        <v>113</v>
      </c>
      <c r="B227" s="1">
        <v>5.81</v>
      </c>
      <c r="C227" s="1">
        <v>279</v>
      </c>
      <c r="D227" s="1" t="s">
        <v>38</v>
      </c>
      <c r="E227" s="1" t="s">
        <v>8</v>
      </c>
      <c r="F227" s="1">
        <f t="shared" si="14"/>
        <v>581</v>
      </c>
      <c r="G227" s="5">
        <f t="shared" si="13"/>
        <v>0.48020654044750433</v>
      </c>
    </row>
    <row r="228" spans="1:7" ht="13">
      <c r="A228" s="4" t="s">
        <v>113</v>
      </c>
      <c r="B228" s="1">
        <v>10.199999999999999</v>
      </c>
      <c r="C228" s="1">
        <v>329</v>
      </c>
      <c r="D228" s="1" t="s">
        <v>11</v>
      </c>
      <c r="E228" s="1" t="s">
        <v>7</v>
      </c>
      <c r="F228" s="1">
        <f t="shared" si="14"/>
        <v>1019.9999999999999</v>
      </c>
      <c r="G228" s="5">
        <f t="shared" si="13"/>
        <v>0.32254901960784316</v>
      </c>
    </row>
    <row r="229" spans="1:7" ht="13">
      <c r="A229" s="4" t="s">
        <v>113</v>
      </c>
      <c r="B229" s="1">
        <v>6.04</v>
      </c>
      <c r="C229" s="1">
        <v>291</v>
      </c>
      <c r="D229" s="1" t="s">
        <v>42</v>
      </c>
      <c r="E229" s="1" t="s">
        <v>8</v>
      </c>
      <c r="F229" s="1">
        <f t="shared" si="14"/>
        <v>604</v>
      </c>
      <c r="G229" s="5">
        <f t="shared" si="13"/>
        <v>0.48178807947019869</v>
      </c>
    </row>
    <row r="230" spans="1:7" ht="13">
      <c r="A230" s="4" t="s">
        <v>113</v>
      </c>
      <c r="B230" s="1">
        <v>5.6</v>
      </c>
      <c r="C230" s="1">
        <v>215</v>
      </c>
      <c r="D230" s="1" t="s">
        <v>54</v>
      </c>
      <c r="E230" s="1" t="s">
        <v>22</v>
      </c>
      <c r="F230" s="1">
        <f t="shared" si="14"/>
        <v>560</v>
      </c>
      <c r="G230" s="5">
        <f t="shared" si="13"/>
        <v>0.38392857142857145</v>
      </c>
    </row>
    <row r="231" spans="1:7" ht="13">
      <c r="A231" s="4" t="s">
        <v>113</v>
      </c>
      <c r="B231" s="1">
        <v>6</v>
      </c>
      <c r="C231" s="1">
        <v>265</v>
      </c>
      <c r="D231" s="1" t="s">
        <v>42</v>
      </c>
      <c r="E231" s="1" t="s">
        <v>26</v>
      </c>
      <c r="F231" s="1">
        <f t="shared" si="14"/>
        <v>600</v>
      </c>
      <c r="G231" s="5">
        <f t="shared" si="13"/>
        <v>0.44166666666666665</v>
      </c>
    </row>
    <row r="232" spans="1:7" ht="13">
      <c r="A232" s="4" t="s">
        <v>113</v>
      </c>
      <c r="B232" s="1">
        <v>6</v>
      </c>
      <c r="C232" s="1">
        <v>193</v>
      </c>
      <c r="D232" s="1" t="s">
        <v>11</v>
      </c>
      <c r="E232" s="1" t="s">
        <v>8</v>
      </c>
      <c r="F232" s="1">
        <f t="shared" si="14"/>
        <v>600</v>
      </c>
      <c r="G232" s="5">
        <f t="shared" si="13"/>
        <v>0.32166666666666666</v>
      </c>
    </row>
    <row r="233" spans="1:7" ht="13">
      <c r="A233" s="4" t="s">
        <v>113</v>
      </c>
      <c r="B233" s="1">
        <v>6.9</v>
      </c>
      <c r="C233" s="1">
        <v>301</v>
      </c>
      <c r="D233" s="1" t="s">
        <v>39</v>
      </c>
      <c r="E233" s="1" t="s">
        <v>8</v>
      </c>
      <c r="F233" s="1">
        <f t="shared" si="14"/>
        <v>690</v>
      </c>
      <c r="G233" s="5">
        <f t="shared" si="13"/>
        <v>0.43623188405797103</v>
      </c>
    </row>
    <row r="234" spans="1:7" ht="13">
      <c r="A234" s="4" t="s">
        <v>113</v>
      </c>
      <c r="B234" s="1">
        <v>6.96</v>
      </c>
      <c r="C234" s="1">
        <v>371</v>
      </c>
      <c r="D234" s="1" t="s">
        <v>11</v>
      </c>
      <c r="E234" s="1" t="s">
        <v>8</v>
      </c>
      <c r="F234" s="1">
        <f t="shared" si="14"/>
        <v>696</v>
      </c>
      <c r="G234" s="5">
        <f t="shared" si="13"/>
        <v>0.53304597701149425</v>
      </c>
    </row>
    <row r="235" spans="1:7" ht="13">
      <c r="A235" s="4" t="s">
        <v>113</v>
      </c>
      <c r="B235" s="1">
        <v>9.4600000000000009</v>
      </c>
      <c r="C235" s="1">
        <v>345</v>
      </c>
      <c r="D235" s="1" t="s">
        <v>52</v>
      </c>
      <c r="E235" s="1" t="s">
        <v>18</v>
      </c>
      <c r="F235" s="1">
        <f t="shared" si="14"/>
        <v>946.00000000000011</v>
      </c>
      <c r="G235" s="5">
        <f t="shared" si="13"/>
        <v>0.36469344608879489</v>
      </c>
    </row>
    <row r="236" spans="1:7" ht="13">
      <c r="A236" s="4" t="s">
        <v>113</v>
      </c>
      <c r="B236" s="1">
        <v>8.1</v>
      </c>
      <c r="C236" s="1">
        <v>364</v>
      </c>
      <c r="D236" s="1" t="s">
        <v>42</v>
      </c>
      <c r="E236" s="1" t="s">
        <v>10</v>
      </c>
      <c r="F236" s="1">
        <f t="shared" si="14"/>
        <v>810</v>
      </c>
      <c r="G236" s="5">
        <f t="shared" si="13"/>
        <v>0.44938271604938274</v>
      </c>
    </row>
    <row r="237" spans="1:7" ht="13">
      <c r="A237" s="4" t="s">
        <v>113</v>
      </c>
      <c r="B237" s="1">
        <v>4.92</v>
      </c>
      <c r="C237" s="1">
        <v>203.1</v>
      </c>
      <c r="D237" s="1" t="s">
        <v>47</v>
      </c>
      <c r="E237" s="1" t="s">
        <v>10</v>
      </c>
      <c r="F237" s="1">
        <f t="shared" si="14"/>
        <v>492</v>
      </c>
      <c r="G237" s="5">
        <f t="shared" si="13"/>
        <v>0.41280487804878047</v>
      </c>
    </row>
    <row r="238" spans="1:7" ht="13">
      <c r="A238" s="4" t="s">
        <v>113</v>
      </c>
      <c r="B238" s="1">
        <v>9</v>
      </c>
      <c r="C238" s="1">
        <v>188</v>
      </c>
      <c r="D238" s="1" t="s">
        <v>60</v>
      </c>
      <c r="E238" s="1" t="s">
        <v>17</v>
      </c>
      <c r="F238" s="1">
        <f t="shared" si="14"/>
        <v>900</v>
      </c>
      <c r="G238" s="5">
        <f t="shared" si="13"/>
        <v>0.2088888888888889</v>
      </c>
    </row>
    <row r="239" spans="1:7" ht="13">
      <c r="A239" s="4" t="s">
        <v>113</v>
      </c>
      <c r="B239" s="1">
        <v>6.2</v>
      </c>
      <c r="C239" s="1">
        <v>262</v>
      </c>
      <c r="D239" s="1" t="s">
        <v>11</v>
      </c>
      <c r="E239" s="1" t="s">
        <v>7</v>
      </c>
      <c r="F239" s="1">
        <f t="shared" si="14"/>
        <v>620</v>
      </c>
      <c r="G239" s="5">
        <f t="shared" si="13"/>
        <v>0.42258064516129035</v>
      </c>
    </row>
    <row r="240" spans="1:7" ht="13">
      <c r="A240" s="4" t="s">
        <v>113</v>
      </c>
      <c r="B240" s="1">
        <v>6.72</v>
      </c>
      <c r="C240" s="1">
        <v>206</v>
      </c>
      <c r="D240" s="1" t="s">
        <v>33</v>
      </c>
      <c r="E240" s="1" t="s">
        <v>20</v>
      </c>
      <c r="F240" s="1">
        <f t="shared" si="14"/>
        <v>672</v>
      </c>
      <c r="G240" s="5">
        <f t="shared" si="13"/>
        <v>0.30654761904761907</v>
      </c>
    </row>
    <row r="241" spans="1:7" ht="13">
      <c r="A241" s="4" t="s">
        <v>113</v>
      </c>
      <c r="B241" s="1">
        <v>6.02</v>
      </c>
      <c r="C241" s="1">
        <v>230</v>
      </c>
      <c r="D241" s="1" t="s">
        <v>43</v>
      </c>
      <c r="E241" s="1" t="s">
        <v>21</v>
      </c>
      <c r="F241" s="1">
        <f t="shared" si="14"/>
        <v>602</v>
      </c>
      <c r="G241" s="5">
        <f t="shared" si="13"/>
        <v>0.38205980066445183</v>
      </c>
    </row>
    <row r="242" spans="1:7" ht="13">
      <c r="A242" s="4" t="s">
        <v>113</v>
      </c>
      <c r="B242" s="1">
        <v>4.9000000000000004</v>
      </c>
      <c r="C242" s="1">
        <v>209</v>
      </c>
      <c r="D242" s="1" t="s">
        <v>47</v>
      </c>
      <c r="E242" s="1" t="s">
        <v>19</v>
      </c>
      <c r="F242" s="1">
        <f t="shared" si="14"/>
        <v>490.00000000000006</v>
      </c>
      <c r="G242" s="5">
        <f t="shared" si="13"/>
        <v>0.42653061224489791</v>
      </c>
    </row>
    <row r="243" spans="1:7" ht="13">
      <c r="A243" s="4" t="s">
        <v>113</v>
      </c>
      <c r="B243" s="1">
        <v>8.5</v>
      </c>
      <c r="C243" s="1">
        <v>337</v>
      </c>
      <c r="D243" s="1" t="s">
        <v>39</v>
      </c>
      <c r="E243" s="1" t="s">
        <v>20</v>
      </c>
      <c r="F243" s="1">
        <f t="shared" si="14"/>
        <v>850</v>
      </c>
      <c r="G243" s="5">
        <f t="shared" si="13"/>
        <v>0.39647058823529413</v>
      </c>
    </row>
    <row r="244" spans="1:7" ht="13">
      <c r="A244" s="4" t="s">
        <v>113</v>
      </c>
      <c r="B244" s="1">
        <v>7.5</v>
      </c>
      <c r="C244" s="1">
        <v>299</v>
      </c>
      <c r="D244" s="1" t="s">
        <v>67</v>
      </c>
      <c r="E244" s="1" t="s">
        <v>21</v>
      </c>
      <c r="F244" s="1">
        <f t="shared" si="14"/>
        <v>750</v>
      </c>
      <c r="G244" s="5">
        <f t="shared" si="13"/>
        <v>0.39866666666666667</v>
      </c>
    </row>
    <row r="245" spans="1:7" ht="13">
      <c r="A245" s="4" t="s">
        <v>113</v>
      </c>
      <c r="B245" s="1">
        <v>4950</v>
      </c>
      <c r="C245" s="1">
        <v>233</v>
      </c>
      <c r="D245" s="1" t="s">
        <v>11</v>
      </c>
      <c r="E245" s="1" t="s">
        <v>10</v>
      </c>
      <c r="F245" s="1">
        <f t="shared" si="14"/>
        <v>495000</v>
      </c>
      <c r="G245" s="5">
        <f t="shared" si="13"/>
        <v>4.7070707070707068E-4</v>
      </c>
    </row>
    <row r="246" spans="1:7" ht="13">
      <c r="A246" s="4" t="s">
        <v>113</v>
      </c>
      <c r="B246" s="1">
        <v>7.56</v>
      </c>
      <c r="C246" s="1">
        <v>355</v>
      </c>
      <c r="D246" s="1" t="s">
        <v>11</v>
      </c>
      <c r="E246" s="1" t="s">
        <v>9</v>
      </c>
      <c r="F246" s="1">
        <f t="shared" si="14"/>
        <v>756</v>
      </c>
      <c r="G246" s="5">
        <f t="shared" si="13"/>
        <v>0.46957671957671959</v>
      </c>
    </row>
    <row r="247" spans="1:7" ht="13">
      <c r="A247" s="4" t="s">
        <v>113</v>
      </c>
      <c r="B247" s="1">
        <v>5.4</v>
      </c>
      <c r="C247" s="1">
        <v>229</v>
      </c>
      <c r="D247" s="1" t="s">
        <v>35</v>
      </c>
      <c r="E247" s="1" t="s">
        <v>8</v>
      </c>
      <c r="F247" s="1">
        <f t="shared" si="14"/>
        <v>540</v>
      </c>
      <c r="G247" s="5">
        <f t="shared" si="13"/>
        <v>0.42407407407407405</v>
      </c>
    </row>
    <row r="248" spans="1:7" ht="13">
      <c r="A248" s="4" t="s">
        <v>113</v>
      </c>
      <c r="B248" s="1">
        <v>6.4</v>
      </c>
      <c r="C248" s="1">
        <v>208.5</v>
      </c>
      <c r="D248" s="1" t="s">
        <v>35</v>
      </c>
      <c r="E248" s="1" t="s">
        <v>18</v>
      </c>
      <c r="F248" s="1">
        <f t="shared" si="14"/>
        <v>640</v>
      </c>
      <c r="G248" s="5">
        <f t="shared" si="13"/>
        <v>0.32578125000000002</v>
      </c>
    </row>
    <row r="249" spans="1:7" ht="13">
      <c r="A249" s="4" t="s">
        <v>113</v>
      </c>
      <c r="B249" s="1">
        <v>5.915</v>
      </c>
      <c r="C249" s="1">
        <v>211</v>
      </c>
      <c r="D249" s="1" t="s">
        <v>39</v>
      </c>
      <c r="E249" s="1" t="s">
        <v>24</v>
      </c>
      <c r="F249" s="1">
        <f t="shared" si="14"/>
        <v>591.5</v>
      </c>
      <c r="G249" s="5">
        <f t="shared" si="13"/>
        <v>0.35672020287404904</v>
      </c>
    </row>
    <row r="250" spans="1:7" ht="13">
      <c r="A250" s="4" t="s">
        <v>113</v>
      </c>
      <c r="B250" s="1">
        <v>5</v>
      </c>
      <c r="C250" s="1">
        <v>213</v>
      </c>
      <c r="D250" s="1" t="s">
        <v>42</v>
      </c>
      <c r="E250" s="1" t="s">
        <v>30</v>
      </c>
      <c r="F250" s="1">
        <f t="shared" si="14"/>
        <v>500</v>
      </c>
      <c r="G250" s="5">
        <f t="shared" si="13"/>
        <v>0.42599999999999999</v>
      </c>
    </row>
    <row r="251" spans="1:7" ht="13">
      <c r="A251" s="4" t="s">
        <v>113</v>
      </c>
      <c r="B251" s="1">
        <v>8</v>
      </c>
      <c r="C251" s="1">
        <v>293</v>
      </c>
      <c r="D251" s="1" t="s">
        <v>11</v>
      </c>
      <c r="E251" s="1" t="s">
        <v>22</v>
      </c>
      <c r="F251" s="1">
        <f t="shared" si="14"/>
        <v>800</v>
      </c>
      <c r="G251" s="5">
        <f t="shared" si="13"/>
        <v>0.36625000000000002</v>
      </c>
    </row>
    <row r="252" spans="1:7" ht="13">
      <c r="A252" s="4" t="s">
        <v>113</v>
      </c>
      <c r="B252" s="1">
        <v>4.3</v>
      </c>
      <c r="C252" s="1">
        <v>154</v>
      </c>
      <c r="D252" s="1" t="s">
        <v>33</v>
      </c>
      <c r="E252" s="1" t="s">
        <v>16</v>
      </c>
      <c r="F252" s="1">
        <f t="shared" si="14"/>
        <v>430</v>
      </c>
      <c r="G252" s="5">
        <f t="shared" si="13"/>
        <v>0.35813953488372091</v>
      </c>
    </row>
    <row r="253" spans="1:7" ht="13">
      <c r="A253" s="4" t="s">
        <v>113</v>
      </c>
      <c r="B253" s="1">
        <v>6</v>
      </c>
      <c r="C253" s="1">
        <v>156</v>
      </c>
      <c r="D253" s="1" t="s">
        <v>33</v>
      </c>
      <c r="E253" s="1" t="s">
        <v>9</v>
      </c>
      <c r="F253" s="1">
        <f t="shared" si="14"/>
        <v>600</v>
      </c>
      <c r="G253" s="5">
        <f t="shared" si="13"/>
        <v>0.26</v>
      </c>
    </row>
    <row r="254" spans="1:7" ht="13">
      <c r="A254" s="4" t="s">
        <v>113</v>
      </c>
      <c r="B254" s="1">
        <v>6.72</v>
      </c>
      <c r="C254" s="1">
        <v>212.36</v>
      </c>
      <c r="D254" s="1" t="s">
        <v>33</v>
      </c>
      <c r="E254" s="1" t="s">
        <v>10</v>
      </c>
      <c r="F254" s="1">
        <f t="shared" si="14"/>
        <v>672</v>
      </c>
      <c r="G254" s="5">
        <f t="shared" si="13"/>
        <v>0.31601190476190477</v>
      </c>
    </row>
    <row r="255" spans="1:7" ht="13">
      <c r="A255" s="4" t="s">
        <v>113</v>
      </c>
      <c r="B255" s="1">
        <v>7.8</v>
      </c>
      <c r="C255" s="1">
        <v>198</v>
      </c>
      <c r="D255" s="1" t="s">
        <v>33</v>
      </c>
      <c r="E255" s="1" t="s">
        <v>25</v>
      </c>
      <c r="F255" s="1">
        <f t="shared" si="14"/>
        <v>780</v>
      </c>
      <c r="G255" s="5">
        <f t="shared" si="13"/>
        <v>0.25384615384615383</v>
      </c>
    </row>
    <row r="256" spans="1:7" ht="13">
      <c r="A256" s="4" t="s">
        <v>113</v>
      </c>
      <c r="B256" s="1">
        <v>6.5</v>
      </c>
      <c r="C256" s="1">
        <v>360</v>
      </c>
      <c r="D256" s="1" t="s">
        <v>11</v>
      </c>
      <c r="E256" s="1" t="s">
        <v>15</v>
      </c>
      <c r="F256" s="1">
        <f t="shared" si="14"/>
        <v>650</v>
      </c>
      <c r="G256" s="5">
        <f t="shared" si="13"/>
        <v>0.55384615384615388</v>
      </c>
    </row>
    <row r="257" spans="1:7" ht="13">
      <c r="A257" s="4" t="s">
        <v>113</v>
      </c>
      <c r="B257" s="1">
        <v>5.0999999999999996</v>
      </c>
      <c r="C257" s="1">
        <v>149</v>
      </c>
      <c r="D257" s="1" t="s">
        <v>40</v>
      </c>
      <c r="E257" s="1" t="s">
        <v>15</v>
      </c>
      <c r="F257" s="1">
        <f t="shared" si="14"/>
        <v>509.99999999999994</v>
      </c>
      <c r="G257" s="5">
        <f t="shared" si="13"/>
        <v>0.29215686274509806</v>
      </c>
    </row>
    <row r="258" spans="1:7" ht="13">
      <c r="A258" s="4" t="s">
        <v>113</v>
      </c>
      <c r="B258" s="1">
        <v>6.72</v>
      </c>
      <c r="C258" s="1">
        <v>168</v>
      </c>
      <c r="D258" s="1" t="s">
        <v>39</v>
      </c>
      <c r="E258" s="1" t="s">
        <v>25</v>
      </c>
      <c r="F258" s="1">
        <f t="shared" si="14"/>
        <v>672</v>
      </c>
      <c r="G258" s="5">
        <f t="shared" ref="G258:G321" si="15">C258/F258</f>
        <v>0.25</v>
      </c>
    </row>
    <row r="259" spans="1:7" ht="13">
      <c r="A259" s="4" t="s">
        <v>113</v>
      </c>
      <c r="B259" s="1">
        <v>8.7200000000000006</v>
      </c>
      <c r="C259" s="1">
        <v>369</v>
      </c>
      <c r="D259" s="1" t="s">
        <v>47</v>
      </c>
      <c r="E259" s="1" t="s">
        <v>31</v>
      </c>
      <c r="F259" s="1">
        <f t="shared" ref="F259:F322" si="16">B259*100</f>
        <v>872.00000000000011</v>
      </c>
      <c r="G259" s="5">
        <f t="shared" si="15"/>
        <v>0.42316513761467883</v>
      </c>
    </row>
    <row r="260" spans="1:7" ht="13">
      <c r="A260" s="4" t="s">
        <v>113</v>
      </c>
      <c r="B260" s="1">
        <v>4</v>
      </c>
      <c r="C260" s="1">
        <v>210</v>
      </c>
      <c r="D260" s="1" t="s">
        <v>38</v>
      </c>
      <c r="E260" s="1" t="s">
        <v>24</v>
      </c>
      <c r="F260" s="1">
        <f t="shared" si="16"/>
        <v>400</v>
      </c>
      <c r="G260" s="5">
        <f t="shared" si="15"/>
        <v>0.52500000000000002</v>
      </c>
    </row>
    <row r="261" spans="1:7" ht="13">
      <c r="A261" s="4" t="s">
        <v>113</v>
      </c>
      <c r="B261" s="1">
        <v>3.25</v>
      </c>
      <c r="C261" s="1">
        <v>143</v>
      </c>
      <c r="D261" s="1" t="s">
        <v>11</v>
      </c>
      <c r="E261" s="1" t="s">
        <v>22</v>
      </c>
      <c r="F261" s="1">
        <f t="shared" si="16"/>
        <v>325</v>
      </c>
      <c r="G261" s="5">
        <f t="shared" si="15"/>
        <v>0.44</v>
      </c>
    </row>
    <row r="262" spans="1:7" ht="13">
      <c r="A262" s="4" t="s">
        <v>113</v>
      </c>
      <c r="B262" s="1">
        <v>6.88</v>
      </c>
      <c r="C262" s="1">
        <v>218</v>
      </c>
      <c r="D262" s="1" t="s">
        <v>53</v>
      </c>
      <c r="E262" s="1" t="s">
        <v>16</v>
      </c>
      <c r="F262" s="1">
        <f t="shared" si="16"/>
        <v>688</v>
      </c>
      <c r="G262" s="5">
        <f t="shared" si="15"/>
        <v>0.31686046511627908</v>
      </c>
    </row>
    <row r="263" spans="1:7" ht="13">
      <c r="A263" s="4" t="s">
        <v>113</v>
      </c>
      <c r="B263" s="1">
        <v>7.83</v>
      </c>
      <c r="C263" s="1">
        <v>265</v>
      </c>
      <c r="D263" s="1" t="s">
        <v>33</v>
      </c>
      <c r="E263" s="1" t="s">
        <v>9</v>
      </c>
      <c r="F263" s="1">
        <f t="shared" si="16"/>
        <v>783</v>
      </c>
      <c r="G263" s="5">
        <f t="shared" si="15"/>
        <v>0.3384418901660281</v>
      </c>
    </row>
    <row r="264" spans="1:7" ht="13">
      <c r="A264" s="4" t="s">
        <v>113</v>
      </c>
      <c r="B264" s="1">
        <v>5.6</v>
      </c>
      <c r="C264" s="1">
        <v>151</v>
      </c>
      <c r="D264" s="1" t="s">
        <v>11</v>
      </c>
      <c r="E264" s="1" t="s">
        <v>21</v>
      </c>
      <c r="F264" s="1">
        <f t="shared" si="16"/>
        <v>560</v>
      </c>
      <c r="G264" s="5">
        <f t="shared" si="15"/>
        <v>0.26964285714285713</v>
      </c>
    </row>
    <row r="265" spans="1:7" ht="13">
      <c r="A265" s="4" t="s">
        <v>113</v>
      </c>
      <c r="B265" s="1">
        <v>7.83</v>
      </c>
      <c r="C265" s="1">
        <v>295</v>
      </c>
      <c r="D265" s="1" t="s">
        <v>11</v>
      </c>
      <c r="E265" s="1" t="s">
        <v>21</v>
      </c>
      <c r="F265" s="1">
        <f t="shared" si="16"/>
        <v>783</v>
      </c>
      <c r="G265" s="5">
        <f t="shared" si="15"/>
        <v>0.37675606641123882</v>
      </c>
    </row>
    <row r="266" spans="1:7" ht="13">
      <c r="A266" s="4" t="s">
        <v>113</v>
      </c>
      <c r="B266" s="1">
        <v>6.4</v>
      </c>
      <c r="C266" s="1">
        <v>307</v>
      </c>
      <c r="D266" s="1" t="s">
        <v>11</v>
      </c>
      <c r="E266" s="1" t="s">
        <v>8</v>
      </c>
      <c r="F266" s="1">
        <f t="shared" si="16"/>
        <v>640</v>
      </c>
      <c r="G266" s="5">
        <f t="shared" si="15"/>
        <v>0.47968749999999999</v>
      </c>
    </row>
    <row r="267" spans="1:7" ht="13">
      <c r="A267" s="4" t="s">
        <v>113</v>
      </c>
      <c r="B267" s="1">
        <v>7.5</v>
      </c>
      <c r="C267" s="1">
        <v>185.3</v>
      </c>
      <c r="D267" s="1" t="s">
        <v>47</v>
      </c>
      <c r="E267" s="1" t="s">
        <v>22</v>
      </c>
      <c r="F267" s="1">
        <f t="shared" si="16"/>
        <v>750</v>
      </c>
      <c r="G267" s="5">
        <f t="shared" si="15"/>
        <v>0.24706666666666668</v>
      </c>
    </row>
    <row r="268" spans="1:7" ht="13">
      <c r="A268" s="4" t="s">
        <v>113</v>
      </c>
      <c r="B268" s="1">
        <v>7.74</v>
      </c>
      <c r="C268" s="1">
        <v>381.4</v>
      </c>
      <c r="D268" s="1" t="s">
        <v>11</v>
      </c>
      <c r="E268" s="1" t="s">
        <v>29</v>
      </c>
      <c r="F268" s="1">
        <f t="shared" si="16"/>
        <v>774</v>
      </c>
      <c r="G268" s="5">
        <f t="shared" si="15"/>
        <v>0.49276485788113694</v>
      </c>
    </row>
    <row r="269" spans="1:7" ht="13">
      <c r="A269" s="4" t="s">
        <v>113</v>
      </c>
      <c r="B269" s="1">
        <v>7.47</v>
      </c>
      <c r="C269" s="1">
        <v>269</v>
      </c>
      <c r="D269" s="1" t="s">
        <v>33</v>
      </c>
      <c r="E269" s="1" t="s">
        <v>8</v>
      </c>
      <c r="F269" s="1">
        <f t="shared" si="16"/>
        <v>747</v>
      </c>
      <c r="G269" s="5">
        <f t="shared" si="15"/>
        <v>0.36010709504685406</v>
      </c>
    </row>
    <row r="270" spans="1:7" ht="13">
      <c r="A270" s="4" t="s">
        <v>113</v>
      </c>
      <c r="B270" s="1">
        <v>5.6</v>
      </c>
      <c r="C270" s="1">
        <v>210</v>
      </c>
      <c r="D270" s="1" t="s">
        <v>53</v>
      </c>
      <c r="E270" s="1" t="s">
        <v>8</v>
      </c>
      <c r="F270" s="1">
        <f t="shared" si="16"/>
        <v>560</v>
      </c>
      <c r="G270" s="5">
        <f t="shared" si="15"/>
        <v>0.375</v>
      </c>
    </row>
    <row r="271" spans="1:7" ht="13">
      <c r="A271" s="4" t="s">
        <v>113</v>
      </c>
      <c r="B271" s="1">
        <v>4.5999999999999996</v>
      </c>
      <c r="C271" s="1">
        <v>188</v>
      </c>
      <c r="D271" s="1" t="s">
        <v>11</v>
      </c>
      <c r="E271" s="1" t="s">
        <v>9</v>
      </c>
      <c r="F271" s="1">
        <f t="shared" si="16"/>
        <v>459.99999999999994</v>
      </c>
      <c r="G271" s="5">
        <f t="shared" si="15"/>
        <v>0.40869565217391307</v>
      </c>
    </row>
    <row r="272" spans="1:7" ht="13">
      <c r="A272" s="4" t="s">
        <v>113</v>
      </c>
      <c r="B272" s="1">
        <v>19.600000000000001</v>
      </c>
      <c r="C272" s="1">
        <v>585</v>
      </c>
      <c r="D272" s="1" t="s">
        <v>43</v>
      </c>
      <c r="E272" s="1" t="s">
        <v>23</v>
      </c>
      <c r="F272" s="1">
        <f t="shared" si="16"/>
        <v>1960.0000000000002</v>
      </c>
      <c r="G272" s="5">
        <f t="shared" si="15"/>
        <v>0.29846938775510201</v>
      </c>
    </row>
    <row r="273" spans="1:7" ht="13">
      <c r="A273" s="4" t="s">
        <v>113</v>
      </c>
      <c r="B273" s="1">
        <v>8.1999999999999993</v>
      </c>
      <c r="C273" s="1">
        <v>315</v>
      </c>
      <c r="D273" s="1" t="s">
        <v>11</v>
      </c>
      <c r="E273" s="1" t="s">
        <v>12</v>
      </c>
      <c r="F273" s="1">
        <f t="shared" si="16"/>
        <v>819.99999999999989</v>
      </c>
      <c r="G273" s="5">
        <f t="shared" si="15"/>
        <v>0.3841463414634147</v>
      </c>
    </row>
    <row r="274" spans="1:7" ht="13">
      <c r="A274" s="4" t="s">
        <v>113</v>
      </c>
      <c r="B274" s="1">
        <v>4.08</v>
      </c>
      <c r="C274" s="1">
        <v>131</v>
      </c>
      <c r="D274" s="1" t="s">
        <v>33</v>
      </c>
      <c r="E274" s="1" t="s">
        <v>26</v>
      </c>
      <c r="F274" s="1">
        <f t="shared" si="16"/>
        <v>408</v>
      </c>
      <c r="G274" s="5">
        <f t="shared" si="15"/>
        <v>0.32107843137254904</v>
      </c>
    </row>
    <row r="275" spans="1:7" ht="13">
      <c r="A275" s="4" t="s">
        <v>113</v>
      </c>
      <c r="B275" s="1">
        <v>3</v>
      </c>
      <c r="C275" s="1">
        <v>192.6</v>
      </c>
      <c r="D275" s="1" t="s">
        <v>43</v>
      </c>
      <c r="E275" s="1" t="s">
        <v>18</v>
      </c>
      <c r="F275" s="1">
        <f t="shared" si="16"/>
        <v>300</v>
      </c>
      <c r="G275" s="5">
        <f t="shared" si="15"/>
        <v>0.64200000000000002</v>
      </c>
    </row>
    <row r="276" spans="1:7" ht="13">
      <c r="A276" s="4" t="s">
        <v>113</v>
      </c>
      <c r="B276" s="1">
        <v>4.2</v>
      </c>
      <c r="C276" s="1">
        <v>209</v>
      </c>
      <c r="D276" s="1" t="s">
        <v>11</v>
      </c>
      <c r="E276" s="1" t="s">
        <v>25</v>
      </c>
      <c r="F276" s="1">
        <f t="shared" si="16"/>
        <v>420</v>
      </c>
      <c r="G276" s="5">
        <f t="shared" si="15"/>
        <v>0.49761904761904763</v>
      </c>
    </row>
    <row r="277" spans="1:7" ht="13">
      <c r="A277" s="4" t="s">
        <v>113</v>
      </c>
      <c r="B277" s="1">
        <v>7.74</v>
      </c>
      <c r="C277" s="1">
        <v>269</v>
      </c>
      <c r="D277" s="1" t="s">
        <v>11</v>
      </c>
      <c r="E277" s="1" t="s">
        <v>25</v>
      </c>
      <c r="F277" s="1">
        <f t="shared" si="16"/>
        <v>774</v>
      </c>
      <c r="G277" s="5">
        <f t="shared" si="15"/>
        <v>0.34754521963824292</v>
      </c>
    </row>
    <row r="278" spans="1:7" ht="13">
      <c r="A278" s="4" t="s">
        <v>113</v>
      </c>
      <c r="B278" s="1">
        <v>4.7</v>
      </c>
      <c r="C278" s="1">
        <v>204</v>
      </c>
      <c r="D278" s="1" t="s">
        <v>11</v>
      </c>
      <c r="E278" s="1" t="s">
        <v>18</v>
      </c>
      <c r="F278" s="1">
        <f t="shared" si="16"/>
        <v>470</v>
      </c>
      <c r="G278" s="5">
        <f t="shared" si="15"/>
        <v>0.43404255319148938</v>
      </c>
    </row>
    <row r="279" spans="1:7" ht="13">
      <c r="A279" s="4" t="s">
        <v>113</v>
      </c>
      <c r="B279" s="1">
        <v>5.59</v>
      </c>
      <c r="C279" s="1">
        <v>178</v>
      </c>
      <c r="D279" s="1" t="s">
        <v>36</v>
      </c>
      <c r="E279" s="1" t="s">
        <v>9</v>
      </c>
      <c r="F279" s="1">
        <f t="shared" si="16"/>
        <v>559</v>
      </c>
      <c r="G279" s="5">
        <f t="shared" si="15"/>
        <v>0.31842576028622538</v>
      </c>
    </row>
    <row r="280" spans="1:7" ht="13">
      <c r="A280" s="4" t="s">
        <v>113</v>
      </c>
      <c r="B280" s="1">
        <v>8.6</v>
      </c>
      <c r="C280" s="1">
        <v>400</v>
      </c>
      <c r="D280" s="1" t="s">
        <v>11</v>
      </c>
      <c r="E280" s="1" t="s">
        <v>68</v>
      </c>
      <c r="F280" s="1">
        <f t="shared" si="16"/>
        <v>860</v>
      </c>
      <c r="G280" s="5">
        <f t="shared" si="15"/>
        <v>0.46511627906976744</v>
      </c>
    </row>
    <row r="281" spans="1:7" ht="13">
      <c r="A281" s="4" t="s">
        <v>113</v>
      </c>
      <c r="B281" s="1">
        <v>7</v>
      </c>
      <c r="C281" s="1">
        <v>170</v>
      </c>
      <c r="D281" s="1" t="s">
        <v>33</v>
      </c>
      <c r="E281" s="1" t="s">
        <v>8</v>
      </c>
      <c r="F281" s="1">
        <f t="shared" si="16"/>
        <v>700</v>
      </c>
      <c r="G281" s="5">
        <f t="shared" si="15"/>
        <v>0.24285714285714285</v>
      </c>
    </row>
    <row r="282" spans="1:7" ht="13">
      <c r="A282" s="4" t="s">
        <v>113</v>
      </c>
      <c r="B282" s="1">
        <v>6</v>
      </c>
      <c r="C282" s="1">
        <v>231</v>
      </c>
      <c r="D282" s="1" t="s">
        <v>11</v>
      </c>
      <c r="E282" s="1" t="s">
        <v>14</v>
      </c>
      <c r="F282" s="1">
        <f t="shared" si="16"/>
        <v>600</v>
      </c>
      <c r="G282" s="5">
        <f t="shared" si="15"/>
        <v>0.38500000000000001</v>
      </c>
    </row>
    <row r="283" spans="1:7" ht="13">
      <c r="A283" s="4" t="s">
        <v>113</v>
      </c>
      <c r="B283" s="1">
        <v>8.5</v>
      </c>
      <c r="C283" s="1">
        <v>359</v>
      </c>
      <c r="D283" s="1" t="s">
        <v>11</v>
      </c>
      <c r="E283" s="1" t="s">
        <v>12</v>
      </c>
      <c r="F283" s="1">
        <f t="shared" si="16"/>
        <v>850</v>
      </c>
      <c r="G283" s="5">
        <f t="shared" si="15"/>
        <v>0.4223529411764706</v>
      </c>
    </row>
    <row r="284" spans="1:7" ht="13">
      <c r="A284" s="4" t="s">
        <v>113</v>
      </c>
      <c r="B284" s="1">
        <v>16.5</v>
      </c>
      <c r="C284" s="1">
        <v>750</v>
      </c>
      <c r="D284" s="1" t="s">
        <v>45</v>
      </c>
      <c r="E284" s="1" t="s">
        <v>25</v>
      </c>
      <c r="F284" s="1">
        <f t="shared" si="16"/>
        <v>1650</v>
      </c>
      <c r="G284" s="5">
        <f t="shared" si="15"/>
        <v>0.45454545454545453</v>
      </c>
    </row>
    <row r="285" spans="1:7" ht="13">
      <c r="A285" s="4" t="s">
        <v>113</v>
      </c>
      <c r="B285" s="1">
        <v>7.4</v>
      </c>
      <c r="C285" s="1">
        <v>231</v>
      </c>
      <c r="D285" s="1" t="s">
        <v>33</v>
      </c>
      <c r="E285" s="1" t="s">
        <v>17</v>
      </c>
      <c r="F285" s="1">
        <f t="shared" si="16"/>
        <v>740</v>
      </c>
      <c r="G285" s="5">
        <f t="shared" si="15"/>
        <v>0.31216216216216214</v>
      </c>
    </row>
    <row r="286" spans="1:7" ht="13">
      <c r="A286" s="4" t="s">
        <v>113</v>
      </c>
      <c r="B286" s="1">
        <v>6.45</v>
      </c>
      <c r="C286" s="1">
        <v>262</v>
      </c>
      <c r="D286" s="1" t="s">
        <v>11</v>
      </c>
      <c r="E286" s="1" t="s">
        <v>30</v>
      </c>
      <c r="F286" s="1">
        <f t="shared" si="16"/>
        <v>645</v>
      </c>
      <c r="G286" s="5">
        <f t="shared" si="15"/>
        <v>0.40620155038759692</v>
      </c>
    </row>
    <row r="287" spans="1:7" ht="13">
      <c r="A287" s="4" t="s">
        <v>113</v>
      </c>
      <c r="B287" s="1">
        <v>9.1300000000000008</v>
      </c>
      <c r="C287" s="1">
        <v>380</v>
      </c>
      <c r="D287" s="1" t="s">
        <v>11</v>
      </c>
      <c r="E287" s="1" t="s">
        <v>19</v>
      </c>
      <c r="F287" s="1">
        <f t="shared" si="16"/>
        <v>913.00000000000011</v>
      </c>
      <c r="G287" s="5">
        <f t="shared" si="15"/>
        <v>0.41621029572836798</v>
      </c>
    </row>
    <row r="288" spans="1:7" ht="13">
      <c r="A288" s="4" t="s">
        <v>113</v>
      </c>
      <c r="B288" s="1">
        <v>8.32</v>
      </c>
      <c r="C288" s="1">
        <v>326</v>
      </c>
      <c r="D288" s="1" t="s">
        <v>11</v>
      </c>
      <c r="E288" s="1" t="s">
        <v>19</v>
      </c>
      <c r="F288" s="1">
        <f t="shared" si="16"/>
        <v>832</v>
      </c>
      <c r="G288" s="5">
        <f t="shared" si="15"/>
        <v>0.39182692307692307</v>
      </c>
    </row>
    <row r="289" spans="1:7" ht="13">
      <c r="A289" s="4" t="s">
        <v>113</v>
      </c>
      <c r="B289" s="1">
        <v>32</v>
      </c>
      <c r="C289" s="1">
        <v>600</v>
      </c>
      <c r="D289" s="1" t="s">
        <v>40</v>
      </c>
      <c r="E289" s="1" t="s">
        <v>69</v>
      </c>
      <c r="F289" s="1">
        <f t="shared" si="16"/>
        <v>3200</v>
      </c>
      <c r="G289" s="5">
        <f t="shared" si="15"/>
        <v>0.1875</v>
      </c>
    </row>
    <row r="290" spans="1:7" ht="13">
      <c r="A290" s="4" t="s">
        <v>113</v>
      </c>
      <c r="B290" s="1">
        <v>5.22</v>
      </c>
      <c r="C290" s="1">
        <v>184</v>
      </c>
      <c r="D290" s="1" t="s">
        <v>45</v>
      </c>
      <c r="E290" s="1" t="s">
        <v>15</v>
      </c>
      <c r="F290" s="1">
        <f t="shared" si="16"/>
        <v>522</v>
      </c>
      <c r="G290" s="5">
        <f t="shared" si="15"/>
        <v>0.35249042145593867</v>
      </c>
    </row>
    <row r="291" spans="1:7" ht="13">
      <c r="A291" s="4" t="s">
        <v>113</v>
      </c>
      <c r="B291" s="1">
        <v>2.6</v>
      </c>
      <c r="C291" s="1">
        <v>130</v>
      </c>
      <c r="D291" s="1" t="s">
        <v>11</v>
      </c>
      <c r="E291" s="1" t="s">
        <v>15</v>
      </c>
      <c r="F291" s="1">
        <f t="shared" si="16"/>
        <v>260</v>
      </c>
      <c r="G291" s="5">
        <f t="shared" si="15"/>
        <v>0.5</v>
      </c>
    </row>
    <row r="292" spans="1:7" ht="13">
      <c r="A292" s="4" t="s">
        <v>113</v>
      </c>
      <c r="B292" s="1">
        <v>7</v>
      </c>
      <c r="C292" s="1">
        <v>246</v>
      </c>
      <c r="D292" s="1" t="s">
        <v>33</v>
      </c>
      <c r="E292" s="1" t="s">
        <v>7</v>
      </c>
      <c r="F292" s="1">
        <f t="shared" si="16"/>
        <v>700</v>
      </c>
      <c r="G292" s="5">
        <f t="shared" si="15"/>
        <v>0.35142857142857142</v>
      </c>
    </row>
    <row r="293" spans="1:7" ht="13">
      <c r="A293" s="4" t="s">
        <v>113</v>
      </c>
      <c r="B293" s="1">
        <v>6.8</v>
      </c>
      <c r="C293" s="1">
        <v>211</v>
      </c>
      <c r="D293" s="1" t="s">
        <v>33</v>
      </c>
      <c r="E293" s="1" t="s">
        <v>20</v>
      </c>
      <c r="F293" s="1">
        <f t="shared" si="16"/>
        <v>680</v>
      </c>
      <c r="G293" s="5">
        <f t="shared" si="15"/>
        <v>0.31029411764705883</v>
      </c>
    </row>
    <row r="294" spans="1:7" ht="13">
      <c r="A294" s="4" t="s">
        <v>113</v>
      </c>
      <c r="B294" s="1">
        <v>7.7</v>
      </c>
      <c r="C294" s="1">
        <v>265</v>
      </c>
      <c r="D294" s="1" t="s">
        <v>53</v>
      </c>
      <c r="E294" s="1" t="s">
        <v>17</v>
      </c>
      <c r="F294" s="1">
        <f t="shared" si="16"/>
        <v>770</v>
      </c>
      <c r="G294" s="5">
        <f t="shared" si="15"/>
        <v>0.34415584415584416</v>
      </c>
    </row>
    <row r="295" spans="1:7" ht="13">
      <c r="A295" s="4" t="s">
        <v>113</v>
      </c>
      <c r="B295" s="1">
        <v>7.29</v>
      </c>
      <c r="C295" s="1">
        <v>372</v>
      </c>
      <c r="D295" s="1" t="s">
        <v>11</v>
      </c>
      <c r="E295" s="1" t="s">
        <v>27</v>
      </c>
      <c r="F295" s="1">
        <f t="shared" si="16"/>
        <v>729</v>
      </c>
      <c r="G295" s="5">
        <f t="shared" si="15"/>
        <v>0.51028806584362141</v>
      </c>
    </row>
    <row r="296" spans="1:7" ht="13">
      <c r="A296" s="4" t="s">
        <v>113</v>
      </c>
      <c r="B296" s="1">
        <v>6.9</v>
      </c>
      <c r="C296" s="1">
        <v>289</v>
      </c>
      <c r="D296" s="1" t="s">
        <v>11</v>
      </c>
      <c r="E296" s="1" t="s">
        <v>22</v>
      </c>
      <c r="F296" s="1">
        <f t="shared" si="16"/>
        <v>690</v>
      </c>
      <c r="G296" s="5">
        <f t="shared" si="15"/>
        <v>0.41884057971014493</v>
      </c>
    </row>
    <row r="297" spans="1:7" ht="13">
      <c r="A297" s="4" t="s">
        <v>113</v>
      </c>
      <c r="B297" s="1">
        <v>3.9</v>
      </c>
      <c r="C297" s="1">
        <v>147</v>
      </c>
      <c r="D297" s="1" t="s">
        <v>11</v>
      </c>
      <c r="E297" s="1" t="s">
        <v>15</v>
      </c>
      <c r="F297" s="1">
        <f t="shared" si="16"/>
        <v>390</v>
      </c>
      <c r="G297" s="5">
        <f t="shared" si="15"/>
        <v>0.37692307692307692</v>
      </c>
    </row>
    <row r="298" spans="1:7" ht="13">
      <c r="A298" s="4" t="s">
        <v>113</v>
      </c>
      <c r="B298" s="1">
        <v>6.3</v>
      </c>
      <c r="C298" s="1">
        <v>204</v>
      </c>
      <c r="D298" s="1" t="s">
        <v>39</v>
      </c>
      <c r="E298" s="1" t="s">
        <v>15</v>
      </c>
      <c r="F298" s="1">
        <f t="shared" si="16"/>
        <v>630</v>
      </c>
      <c r="G298" s="5">
        <f t="shared" si="15"/>
        <v>0.32380952380952382</v>
      </c>
    </row>
    <row r="299" spans="1:7" ht="13">
      <c r="A299" s="4" t="s">
        <v>113</v>
      </c>
      <c r="B299" s="1">
        <v>7.2</v>
      </c>
      <c r="C299" s="1">
        <v>252</v>
      </c>
      <c r="D299" s="1" t="s">
        <v>43</v>
      </c>
      <c r="E299" s="1" t="s">
        <v>17</v>
      </c>
      <c r="F299" s="1">
        <f t="shared" si="16"/>
        <v>720</v>
      </c>
      <c r="G299" s="5">
        <f t="shared" si="15"/>
        <v>0.35</v>
      </c>
    </row>
    <row r="300" spans="1:7" ht="13">
      <c r="A300" s="4" t="s">
        <v>113</v>
      </c>
      <c r="B300" s="1">
        <v>6.02</v>
      </c>
      <c r="C300" s="1">
        <v>249</v>
      </c>
      <c r="D300" s="1" t="s">
        <v>47</v>
      </c>
      <c r="E300" s="1" t="s">
        <v>20</v>
      </c>
      <c r="F300" s="1">
        <f t="shared" si="16"/>
        <v>602</v>
      </c>
      <c r="G300" s="5">
        <f t="shared" si="15"/>
        <v>0.41362126245847175</v>
      </c>
    </row>
    <row r="301" spans="1:7" ht="13">
      <c r="A301" s="4" t="s">
        <v>113</v>
      </c>
      <c r="B301" s="1">
        <v>6.8</v>
      </c>
      <c r="C301" s="1">
        <v>298</v>
      </c>
      <c r="D301" s="1" t="s">
        <v>11</v>
      </c>
      <c r="E301" s="1" t="s">
        <v>23</v>
      </c>
      <c r="F301" s="1">
        <f t="shared" si="16"/>
        <v>680</v>
      </c>
      <c r="G301" s="5">
        <f t="shared" si="15"/>
        <v>0.43823529411764706</v>
      </c>
    </row>
    <row r="302" spans="1:7" ht="13">
      <c r="A302" s="4" t="s">
        <v>113</v>
      </c>
      <c r="B302" s="1">
        <v>4.2</v>
      </c>
      <c r="C302" s="1">
        <v>218.07</v>
      </c>
      <c r="D302" s="1" t="s">
        <v>11</v>
      </c>
      <c r="E302" s="1" t="s">
        <v>16</v>
      </c>
      <c r="F302" s="1">
        <f t="shared" si="16"/>
        <v>420</v>
      </c>
      <c r="G302" s="5">
        <f t="shared" si="15"/>
        <v>0.51921428571428574</v>
      </c>
    </row>
    <row r="303" spans="1:7" ht="13">
      <c r="A303" s="4" t="s">
        <v>113</v>
      </c>
      <c r="B303" s="1">
        <v>2.25</v>
      </c>
      <c r="C303" s="1">
        <v>72</v>
      </c>
      <c r="D303" s="1" t="s">
        <v>55</v>
      </c>
      <c r="E303" s="1" t="s">
        <v>15</v>
      </c>
      <c r="F303" s="1">
        <f t="shared" si="16"/>
        <v>225</v>
      </c>
      <c r="G303" s="5">
        <f t="shared" si="15"/>
        <v>0.32</v>
      </c>
    </row>
    <row r="304" spans="1:7" ht="13">
      <c r="A304" s="4" t="s">
        <v>113</v>
      </c>
      <c r="B304" s="1">
        <v>9.1300000000000008</v>
      </c>
      <c r="C304" s="1">
        <v>298</v>
      </c>
      <c r="D304" s="1" t="s">
        <v>33</v>
      </c>
      <c r="E304" s="1" t="s">
        <v>20</v>
      </c>
      <c r="F304" s="1">
        <f t="shared" si="16"/>
        <v>913.00000000000011</v>
      </c>
      <c r="G304" s="5">
        <f t="shared" si="15"/>
        <v>0.32639649507119384</v>
      </c>
    </row>
    <row r="305" spans="1:7" ht="13">
      <c r="A305" s="4" t="s">
        <v>113</v>
      </c>
      <c r="B305" s="1">
        <v>5.52</v>
      </c>
      <c r="C305" s="1">
        <v>279</v>
      </c>
      <c r="D305" s="1" t="s">
        <v>11</v>
      </c>
      <c r="E305" s="1" t="s">
        <v>26</v>
      </c>
      <c r="F305" s="1">
        <f t="shared" si="16"/>
        <v>552</v>
      </c>
      <c r="G305" s="5">
        <f t="shared" si="15"/>
        <v>0.50543478260869568</v>
      </c>
    </row>
    <row r="306" spans="1:7" ht="13">
      <c r="A306" s="4" t="s">
        <v>113</v>
      </c>
      <c r="B306" s="1">
        <v>5.2</v>
      </c>
      <c r="C306" s="1">
        <v>210</v>
      </c>
      <c r="D306" s="1" t="s">
        <v>43</v>
      </c>
      <c r="E306" s="1" t="s">
        <v>18</v>
      </c>
      <c r="F306" s="1">
        <f t="shared" si="16"/>
        <v>520</v>
      </c>
      <c r="G306" s="5">
        <f t="shared" si="15"/>
        <v>0.40384615384615385</v>
      </c>
    </row>
    <row r="307" spans="1:7" ht="13">
      <c r="A307" s="4" t="s">
        <v>113</v>
      </c>
      <c r="B307" s="1">
        <v>6.96</v>
      </c>
      <c r="C307" s="1">
        <v>316</v>
      </c>
      <c r="D307" s="1" t="s">
        <v>11</v>
      </c>
      <c r="E307" s="1" t="s">
        <v>20</v>
      </c>
      <c r="F307" s="1">
        <f t="shared" si="16"/>
        <v>696</v>
      </c>
      <c r="G307" s="5">
        <f t="shared" si="15"/>
        <v>0.45402298850574713</v>
      </c>
    </row>
    <row r="308" spans="1:7" ht="13">
      <c r="A308" s="4" t="s">
        <v>113</v>
      </c>
      <c r="B308" s="1">
        <v>7.39</v>
      </c>
      <c r="C308" s="1">
        <v>251</v>
      </c>
      <c r="D308" s="1" t="s">
        <v>52</v>
      </c>
      <c r="E308" s="1" t="s">
        <v>25</v>
      </c>
      <c r="F308" s="1">
        <f t="shared" si="16"/>
        <v>739</v>
      </c>
      <c r="G308" s="5">
        <f t="shared" si="15"/>
        <v>0.33964817320703655</v>
      </c>
    </row>
    <row r="309" spans="1:7" ht="13">
      <c r="A309" s="4" t="s">
        <v>113</v>
      </c>
      <c r="B309" s="1">
        <v>6.88</v>
      </c>
      <c r="C309" s="1">
        <v>230</v>
      </c>
      <c r="D309" s="1" t="s">
        <v>33</v>
      </c>
      <c r="E309" s="1" t="s">
        <v>8</v>
      </c>
      <c r="F309" s="1">
        <f t="shared" si="16"/>
        <v>688</v>
      </c>
      <c r="G309" s="5">
        <f t="shared" si="15"/>
        <v>0.33430232558139533</v>
      </c>
    </row>
    <row r="310" spans="1:7" ht="13">
      <c r="A310" s="4" t="s">
        <v>113</v>
      </c>
      <c r="B310" s="1">
        <v>4.8</v>
      </c>
      <c r="C310" s="1">
        <v>122</v>
      </c>
      <c r="D310" s="1" t="s">
        <v>11</v>
      </c>
      <c r="E310" s="1" t="s">
        <v>10</v>
      </c>
      <c r="F310" s="1">
        <f t="shared" si="16"/>
        <v>480</v>
      </c>
      <c r="G310" s="5">
        <f t="shared" si="15"/>
        <v>0.25416666666666665</v>
      </c>
    </row>
    <row r="311" spans="1:7" ht="13">
      <c r="A311" s="4" t="s">
        <v>113</v>
      </c>
      <c r="B311" s="1">
        <v>5.5</v>
      </c>
      <c r="C311" s="1">
        <v>192</v>
      </c>
      <c r="D311" s="1" t="s">
        <v>43</v>
      </c>
      <c r="E311" s="1" t="s">
        <v>25</v>
      </c>
      <c r="F311" s="1">
        <f t="shared" si="16"/>
        <v>550</v>
      </c>
      <c r="G311" s="5">
        <f t="shared" si="15"/>
        <v>0.34909090909090912</v>
      </c>
    </row>
    <row r="312" spans="1:7" ht="13">
      <c r="A312" s="4" t="s">
        <v>113</v>
      </c>
      <c r="B312" s="1">
        <v>9</v>
      </c>
      <c r="C312" s="1">
        <v>240.34</v>
      </c>
      <c r="D312" s="1" t="s">
        <v>33</v>
      </c>
      <c r="E312" s="1" t="s">
        <v>12</v>
      </c>
      <c r="F312" s="1">
        <f t="shared" si="16"/>
        <v>900</v>
      </c>
      <c r="G312" s="5">
        <f t="shared" si="15"/>
        <v>0.26704444444444447</v>
      </c>
    </row>
    <row r="313" spans="1:7" ht="13">
      <c r="A313" s="4" t="s">
        <v>114</v>
      </c>
      <c r="B313" s="1">
        <v>7.5</v>
      </c>
      <c r="C313" s="1">
        <v>402</v>
      </c>
      <c r="D313" s="1" t="s">
        <v>11</v>
      </c>
      <c r="E313" s="1" t="s">
        <v>7</v>
      </c>
      <c r="F313" s="1">
        <f t="shared" si="16"/>
        <v>750</v>
      </c>
      <c r="G313" s="5">
        <f t="shared" si="15"/>
        <v>0.53600000000000003</v>
      </c>
    </row>
    <row r="314" spans="1:7" ht="13">
      <c r="A314" s="4" t="s">
        <v>114</v>
      </c>
      <c r="B314" s="1">
        <v>5.2</v>
      </c>
      <c r="C314" s="1">
        <v>366.3</v>
      </c>
      <c r="D314" s="1" t="s">
        <v>39</v>
      </c>
      <c r="E314" s="1" t="s">
        <v>25</v>
      </c>
      <c r="F314" s="1">
        <f t="shared" si="16"/>
        <v>520</v>
      </c>
      <c r="G314" s="5">
        <f t="shared" si="15"/>
        <v>0.70442307692307693</v>
      </c>
    </row>
    <row r="315" spans="1:7" ht="13">
      <c r="A315" s="4" t="s">
        <v>114</v>
      </c>
      <c r="B315" s="1">
        <v>5.6</v>
      </c>
      <c r="C315" s="1">
        <v>291</v>
      </c>
      <c r="D315" s="1" t="s">
        <v>33</v>
      </c>
      <c r="E315" s="1" t="s">
        <v>16</v>
      </c>
      <c r="F315" s="1">
        <f t="shared" si="16"/>
        <v>560</v>
      </c>
      <c r="G315" s="5">
        <f t="shared" si="15"/>
        <v>0.51964285714285718</v>
      </c>
    </row>
    <row r="316" spans="1:7" ht="13">
      <c r="A316" s="4" t="s">
        <v>114</v>
      </c>
      <c r="B316" s="1">
        <v>8</v>
      </c>
      <c r="C316" s="1">
        <v>431</v>
      </c>
      <c r="D316" s="1" t="s">
        <v>33</v>
      </c>
      <c r="E316" s="1" t="s">
        <v>17</v>
      </c>
      <c r="F316" s="1">
        <f t="shared" si="16"/>
        <v>800</v>
      </c>
      <c r="G316" s="5">
        <f t="shared" si="15"/>
        <v>0.53874999999999995</v>
      </c>
    </row>
    <row r="317" spans="1:7" ht="13">
      <c r="A317" s="4" t="s">
        <v>114</v>
      </c>
      <c r="B317" s="1">
        <v>6</v>
      </c>
      <c r="C317" s="1">
        <v>360</v>
      </c>
      <c r="D317" s="1" t="s">
        <v>11</v>
      </c>
      <c r="E317" s="1" t="s">
        <v>9</v>
      </c>
      <c r="F317" s="1">
        <f t="shared" si="16"/>
        <v>600</v>
      </c>
      <c r="G317" s="5">
        <f t="shared" si="15"/>
        <v>0.6</v>
      </c>
    </row>
    <row r="318" spans="1:7" ht="13">
      <c r="A318" s="4" t="s">
        <v>114</v>
      </c>
      <c r="B318" s="1">
        <v>9.1</v>
      </c>
      <c r="C318" s="1">
        <v>548</v>
      </c>
      <c r="D318" s="1" t="s">
        <v>44</v>
      </c>
      <c r="E318" s="1" t="s">
        <v>8</v>
      </c>
      <c r="F318" s="1">
        <f t="shared" si="16"/>
        <v>910</v>
      </c>
      <c r="G318" s="5">
        <f t="shared" si="15"/>
        <v>0.60219780219780217</v>
      </c>
    </row>
    <row r="319" spans="1:7" ht="13">
      <c r="A319" s="4" t="s">
        <v>114</v>
      </c>
      <c r="B319" s="1">
        <v>5.4</v>
      </c>
      <c r="C319" s="1">
        <v>432</v>
      </c>
      <c r="D319" s="1" t="s">
        <v>11</v>
      </c>
      <c r="E319" s="1" t="s">
        <v>8</v>
      </c>
      <c r="F319" s="1">
        <f t="shared" si="16"/>
        <v>540</v>
      </c>
      <c r="G319" s="5">
        <f t="shared" si="15"/>
        <v>0.8</v>
      </c>
    </row>
    <row r="320" spans="1:7" ht="13">
      <c r="A320" s="4" t="s">
        <v>114</v>
      </c>
      <c r="B320" s="1">
        <v>5</v>
      </c>
      <c r="C320" s="1">
        <v>421</v>
      </c>
      <c r="D320" s="1" t="s">
        <v>11</v>
      </c>
      <c r="E320" s="1" t="s">
        <v>8</v>
      </c>
      <c r="F320" s="1">
        <f t="shared" si="16"/>
        <v>500</v>
      </c>
      <c r="G320" s="5">
        <f t="shared" si="15"/>
        <v>0.84199999999999997</v>
      </c>
    </row>
    <row r="321" spans="1:7" ht="13">
      <c r="A321" s="4" t="s">
        <v>114</v>
      </c>
      <c r="B321" s="1">
        <v>7</v>
      </c>
      <c r="C321" s="1">
        <v>402</v>
      </c>
      <c r="D321" s="1" t="s">
        <v>33</v>
      </c>
      <c r="E321" s="1" t="s">
        <v>20</v>
      </c>
      <c r="F321" s="1">
        <f t="shared" si="16"/>
        <v>700</v>
      </c>
      <c r="G321" s="5">
        <f t="shared" si="15"/>
        <v>0.57428571428571429</v>
      </c>
    </row>
    <row r="322" spans="1:7" ht="13">
      <c r="A322" s="4" t="s">
        <v>114</v>
      </c>
      <c r="B322" s="1">
        <v>5.2</v>
      </c>
      <c r="C322" s="1">
        <v>256</v>
      </c>
      <c r="D322" s="1" t="s">
        <v>59</v>
      </c>
      <c r="E322" s="1" t="s">
        <v>16</v>
      </c>
      <c r="F322" s="1">
        <f t="shared" si="16"/>
        <v>520</v>
      </c>
      <c r="G322" s="5">
        <f t="shared" ref="G322:G385" si="17">C322/F322</f>
        <v>0.49230769230769234</v>
      </c>
    </row>
    <row r="323" spans="1:7" ht="13">
      <c r="A323" s="4" t="s">
        <v>114</v>
      </c>
      <c r="B323" s="1">
        <v>6</v>
      </c>
      <c r="C323" s="1">
        <v>372</v>
      </c>
      <c r="D323" s="1" t="s">
        <v>11</v>
      </c>
      <c r="E323" s="1" t="s">
        <v>68</v>
      </c>
      <c r="F323" s="1">
        <f t="shared" ref="F323:F386" si="18">B323*100</f>
        <v>600</v>
      </c>
      <c r="G323" s="5">
        <f t="shared" si="17"/>
        <v>0.62</v>
      </c>
    </row>
    <row r="324" spans="1:7" ht="13">
      <c r="A324" s="4" t="s">
        <v>114</v>
      </c>
      <c r="B324" s="1">
        <v>8</v>
      </c>
      <c r="C324" s="1">
        <v>312</v>
      </c>
      <c r="D324" s="1" t="s">
        <v>40</v>
      </c>
      <c r="E324" s="1" t="s">
        <v>27</v>
      </c>
      <c r="F324" s="1">
        <f t="shared" si="18"/>
        <v>800</v>
      </c>
      <c r="G324" s="5">
        <f t="shared" si="17"/>
        <v>0.39</v>
      </c>
    </row>
    <row r="325" spans="1:7" ht="13">
      <c r="A325" s="4" t="s">
        <v>114</v>
      </c>
      <c r="B325" s="1">
        <v>5.915</v>
      </c>
      <c r="C325" s="1">
        <v>335</v>
      </c>
      <c r="D325" s="1" t="s">
        <v>55</v>
      </c>
      <c r="E325" s="1" t="s">
        <v>24</v>
      </c>
      <c r="F325" s="1">
        <f t="shared" si="18"/>
        <v>591.5</v>
      </c>
      <c r="G325" s="5">
        <f t="shared" si="17"/>
        <v>0.56635672020287409</v>
      </c>
    </row>
    <row r="326" spans="1:7" ht="13">
      <c r="A326" s="4" t="s">
        <v>114</v>
      </c>
      <c r="B326" s="1">
        <v>6.4</v>
      </c>
      <c r="C326" s="1">
        <v>415</v>
      </c>
      <c r="D326" s="1" t="s">
        <v>11</v>
      </c>
      <c r="E326" s="1" t="s">
        <v>25</v>
      </c>
      <c r="F326" s="1">
        <f t="shared" si="18"/>
        <v>640</v>
      </c>
      <c r="G326" s="5">
        <f t="shared" si="17"/>
        <v>0.6484375</v>
      </c>
    </row>
    <row r="327" spans="1:7" ht="13">
      <c r="A327" s="4" t="s">
        <v>114</v>
      </c>
      <c r="B327" s="1">
        <v>5.22</v>
      </c>
      <c r="C327" s="1">
        <v>331</v>
      </c>
      <c r="D327" s="1" t="s">
        <v>50</v>
      </c>
      <c r="E327" s="1" t="s">
        <v>16</v>
      </c>
      <c r="F327" s="1">
        <f t="shared" si="18"/>
        <v>522</v>
      </c>
      <c r="G327" s="5">
        <f t="shared" si="17"/>
        <v>0.63409961685823757</v>
      </c>
    </row>
    <row r="328" spans="1:7" ht="13">
      <c r="A328" s="4" t="s">
        <v>114</v>
      </c>
      <c r="B328" s="1">
        <v>5.4</v>
      </c>
      <c r="C328" s="1">
        <v>364</v>
      </c>
      <c r="D328" s="1" t="s">
        <v>33</v>
      </c>
      <c r="E328" s="1" t="s">
        <v>17</v>
      </c>
      <c r="F328" s="1">
        <f t="shared" si="18"/>
        <v>540</v>
      </c>
      <c r="G328" s="5">
        <f t="shared" si="17"/>
        <v>0.67407407407407405</v>
      </c>
    </row>
    <row r="329" spans="1:7" ht="13">
      <c r="A329" s="4" t="s">
        <v>114</v>
      </c>
      <c r="B329" s="1">
        <v>6.03</v>
      </c>
      <c r="C329" s="1">
        <v>432</v>
      </c>
      <c r="D329" s="1" t="s">
        <v>47</v>
      </c>
      <c r="E329" s="1" t="s">
        <v>20</v>
      </c>
      <c r="F329" s="1">
        <f t="shared" si="18"/>
        <v>603</v>
      </c>
      <c r="G329" s="5">
        <f t="shared" si="17"/>
        <v>0.71641791044776115</v>
      </c>
    </row>
    <row r="330" spans="1:7" ht="13">
      <c r="A330" s="4" t="s">
        <v>114</v>
      </c>
      <c r="B330" s="1">
        <v>5</v>
      </c>
      <c r="C330" s="1">
        <v>256</v>
      </c>
      <c r="D330" s="1" t="s">
        <v>33</v>
      </c>
      <c r="E330" s="1" t="s">
        <v>15</v>
      </c>
      <c r="F330" s="1">
        <f t="shared" si="18"/>
        <v>500</v>
      </c>
      <c r="G330" s="5">
        <f t="shared" si="17"/>
        <v>0.51200000000000001</v>
      </c>
    </row>
    <row r="331" spans="1:7" ht="13">
      <c r="A331" s="4" t="s">
        <v>114</v>
      </c>
      <c r="B331" s="1">
        <v>4</v>
      </c>
      <c r="C331" s="1">
        <v>231</v>
      </c>
      <c r="D331" s="1" t="s">
        <v>33</v>
      </c>
      <c r="E331" s="1" t="s">
        <v>8</v>
      </c>
      <c r="F331" s="1">
        <f t="shared" si="18"/>
        <v>400</v>
      </c>
      <c r="G331" s="5">
        <f t="shared" si="17"/>
        <v>0.57750000000000001</v>
      </c>
    </row>
    <row r="332" spans="1:7" ht="13">
      <c r="A332" s="4" t="s">
        <v>114</v>
      </c>
      <c r="B332" s="1">
        <v>4</v>
      </c>
      <c r="C332" s="1">
        <v>319</v>
      </c>
      <c r="D332" s="1" t="s">
        <v>11</v>
      </c>
      <c r="E332" s="1" t="s">
        <v>24</v>
      </c>
      <c r="F332" s="1">
        <f t="shared" si="18"/>
        <v>400</v>
      </c>
      <c r="G332" s="5">
        <f t="shared" si="17"/>
        <v>0.79749999999999999</v>
      </c>
    </row>
    <row r="333" spans="1:7" ht="13">
      <c r="A333" s="4" t="s">
        <v>114</v>
      </c>
      <c r="B333" s="1">
        <v>6.9</v>
      </c>
      <c r="C333" s="1">
        <v>339.9</v>
      </c>
      <c r="D333" s="1" t="s">
        <v>38</v>
      </c>
      <c r="E333" s="1" t="s">
        <v>30</v>
      </c>
      <c r="F333" s="1">
        <f t="shared" si="18"/>
        <v>690</v>
      </c>
      <c r="G333" s="5">
        <f t="shared" si="17"/>
        <v>0.49260869565217386</v>
      </c>
    </row>
    <row r="334" spans="1:7" ht="13">
      <c r="A334" s="4" t="s">
        <v>114</v>
      </c>
      <c r="B334" s="1">
        <v>5.8</v>
      </c>
      <c r="C334" s="1">
        <v>5</v>
      </c>
      <c r="D334" s="1" t="s">
        <v>58</v>
      </c>
      <c r="E334" s="1" t="s">
        <v>12</v>
      </c>
      <c r="F334" s="1">
        <f t="shared" si="18"/>
        <v>580</v>
      </c>
      <c r="G334" s="5">
        <f t="shared" si="17"/>
        <v>8.6206896551724137E-3</v>
      </c>
    </row>
    <row r="335" spans="1:7" ht="13">
      <c r="A335" s="4" t="s">
        <v>114</v>
      </c>
      <c r="B335" s="1">
        <v>6.4</v>
      </c>
      <c r="C335" s="1">
        <v>416</v>
      </c>
      <c r="D335" s="1" t="s">
        <v>42</v>
      </c>
      <c r="E335" s="1" t="s">
        <v>18</v>
      </c>
      <c r="F335" s="1">
        <f t="shared" si="18"/>
        <v>640</v>
      </c>
      <c r="G335" s="5">
        <f t="shared" si="17"/>
        <v>0.65</v>
      </c>
    </row>
    <row r="336" spans="1:7" ht="13">
      <c r="A336" s="4" t="s">
        <v>114</v>
      </c>
      <c r="B336" s="1">
        <v>7.7</v>
      </c>
      <c r="C336" s="1">
        <v>529</v>
      </c>
      <c r="D336" s="1" t="s">
        <v>11</v>
      </c>
      <c r="E336" s="1" t="s">
        <v>49</v>
      </c>
      <c r="F336" s="1">
        <f t="shared" si="18"/>
        <v>770</v>
      </c>
      <c r="G336" s="5">
        <f t="shared" si="17"/>
        <v>0.68701298701298696</v>
      </c>
    </row>
    <row r="337" spans="1:7" ht="13">
      <c r="A337" s="4" t="s">
        <v>114</v>
      </c>
      <c r="B337" s="1">
        <v>3.6</v>
      </c>
      <c r="C337" s="1">
        <v>205</v>
      </c>
      <c r="D337" s="1" t="s">
        <v>44</v>
      </c>
      <c r="E337" s="1" t="s">
        <v>15</v>
      </c>
      <c r="F337" s="1">
        <f t="shared" si="18"/>
        <v>360</v>
      </c>
      <c r="G337" s="5">
        <f t="shared" si="17"/>
        <v>0.56944444444444442</v>
      </c>
    </row>
    <row r="338" spans="1:7" ht="13">
      <c r="A338" s="4" t="s">
        <v>114</v>
      </c>
      <c r="B338" s="1">
        <v>6.9</v>
      </c>
      <c r="C338" s="1">
        <v>339.9</v>
      </c>
      <c r="D338" s="1" t="s">
        <v>38</v>
      </c>
      <c r="E338" s="1" t="s">
        <v>30</v>
      </c>
      <c r="F338" s="1">
        <f t="shared" si="18"/>
        <v>690</v>
      </c>
      <c r="G338" s="5">
        <f t="shared" si="17"/>
        <v>0.49260869565217386</v>
      </c>
    </row>
    <row r="339" spans="1:7" ht="13">
      <c r="A339" s="4" t="s">
        <v>114</v>
      </c>
      <c r="B339" s="1">
        <v>9.4600000000000009</v>
      </c>
      <c r="C339" s="1">
        <v>538</v>
      </c>
      <c r="D339" s="1" t="s">
        <v>52</v>
      </c>
      <c r="E339" s="1" t="s">
        <v>18</v>
      </c>
      <c r="F339" s="1">
        <f t="shared" si="18"/>
        <v>946.00000000000011</v>
      </c>
      <c r="G339" s="5">
        <f t="shared" si="17"/>
        <v>0.56871035940803372</v>
      </c>
    </row>
    <row r="340" spans="1:7" ht="13">
      <c r="A340" s="4" t="s">
        <v>114</v>
      </c>
      <c r="B340" s="1">
        <v>4.0999999999999996</v>
      </c>
      <c r="C340" s="1">
        <v>267</v>
      </c>
      <c r="D340" s="1" t="s">
        <v>43</v>
      </c>
      <c r="E340" s="1" t="s">
        <v>25</v>
      </c>
      <c r="F340" s="1">
        <f t="shared" si="18"/>
        <v>409.99999999999994</v>
      </c>
      <c r="G340" s="5">
        <f t="shared" si="17"/>
        <v>0.65121951219512209</v>
      </c>
    </row>
    <row r="341" spans="1:7" ht="13">
      <c r="A341" s="4" t="s">
        <v>114</v>
      </c>
      <c r="B341" s="1">
        <v>10</v>
      </c>
      <c r="C341" s="1">
        <v>500</v>
      </c>
      <c r="D341" s="1" t="s">
        <v>33</v>
      </c>
      <c r="E341" s="1" t="s">
        <v>21</v>
      </c>
      <c r="F341" s="1">
        <f t="shared" si="18"/>
        <v>1000</v>
      </c>
      <c r="G341" s="5">
        <f t="shared" si="17"/>
        <v>0.5</v>
      </c>
    </row>
    <row r="342" spans="1:7" ht="13">
      <c r="A342" s="4" t="s">
        <v>114</v>
      </c>
      <c r="B342" s="1">
        <v>5.22</v>
      </c>
      <c r="C342" s="1">
        <v>322</v>
      </c>
      <c r="D342" s="1" t="s">
        <v>34</v>
      </c>
      <c r="E342" s="1" t="s">
        <v>21</v>
      </c>
      <c r="F342" s="1">
        <f t="shared" si="18"/>
        <v>522</v>
      </c>
      <c r="G342" s="5">
        <f t="shared" si="17"/>
        <v>0.61685823754789271</v>
      </c>
    </row>
    <row r="343" spans="1:7" ht="13">
      <c r="A343" s="4" t="s">
        <v>114</v>
      </c>
      <c r="B343" s="1">
        <v>8.5</v>
      </c>
      <c r="C343" s="1">
        <v>440</v>
      </c>
      <c r="D343" s="1" t="s">
        <v>33</v>
      </c>
      <c r="E343" s="1" t="s">
        <v>46</v>
      </c>
      <c r="F343" s="1">
        <f t="shared" si="18"/>
        <v>850</v>
      </c>
      <c r="G343" s="5">
        <f t="shared" si="17"/>
        <v>0.51764705882352946</v>
      </c>
    </row>
    <row r="344" spans="1:7" ht="13">
      <c r="A344" s="4" t="s">
        <v>114</v>
      </c>
      <c r="B344" s="1">
        <v>6.2</v>
      </c>
      <c r="C344" s="1">
        <v>362.8</v>
      </c>
      <c r="D344" s="1" t="s">
        <v>47</v>
      </c>
      <c r="E344" s="1" t="s">
        <v>24</v>
      </c>
      <c r="F344" s="1">
        <f t="shared" si="18"/>
        <v>620</v>
      </c>
      <c r="G344" s="5">
        <f t="shared" si="17"/>
        <v>0.58516129032258068</v>
      </c>
    </row>
    <row r="345" spans="1:7" ht="13">
      <c r="A345" s="4" t="s">
        <v>114</v>
      </c>
      <c r="B345" s="1">
        <v>396</v>
      </c>
      <c r="C345" s="1">
        <v>7.74</v>
      </c>
      <c r="D345" s="1" t="s">
        <v>40</v>
      </c>
      <c r="E345" s="1" t="s">
        <v>8</v>
      </c>
      <c r="F345" s="1">
        <f t="shared" si="18"/>
        <v>39600</v>
      </c>
      <c r="G345" s="5">
        <f t="shared" si="17"/>
        <v>1.9545454545454545E-4</v>
      </c>
    </row>
    <row r="346" spans="1:7" ht="13">
      <c r="A346" s="4" t="s">
        <v>114</v>
      </c>
      <c r="B346" s="1">
        <v>6</v>
      </c>
      <c r="C346" s="1">
        <v>371</v>
      </c>
      <c r="D346" s="1" t="s">
        <v>11</v>
      </c>
      <c r="E346" s="1" t="s">
        <v>19</v>
      </c>
      <c r="F346" s="1">
        <f t="shared" si="18"/>
        <v>600</v>
      </c>
      <c r="G346" s="5">
        <f t="shared" si="17"/>
        <v>0.61833333333333329</v>
      </c>
    </row>
    <row r="347" spans="1:7" ht="13">
      <c r="A347" s="4" t="s">
        <v>114</v>
      </c>
      <c r="B347" s="1">
        <v>6.8</v>
      </c>
      <c r="C347" s="1">
        <v>454</v>
      </c>
      <c r="D347" s="1" t="s">
        <v>11</v>
      </c>
      <c r="E347" s="1" t="s">
        <v>31</v>
      </c>
      <c r="F347" s="1">
        <f t="shared" si="18"/>
        <v>680</v>
      </c>
      <c r="G347" s="5">
        <f t="shared" si="17"/>
        <v>0.66764705882352937</v>
      </c>
    </row>
    <row r="348" spans="1:7" ht="13">
      <c r="A348" s="4" t="s">
        <v>114</v>
      </c>
      <c r="B348" s="1">
        <v>7.2</v>
      </c>
      <c r="C348" s="1">
        <v>485</v>
      </c>
      <c r="D348" s="1" t="s">
        <v>33</v>
      </c>
      <c r="E348" s="1" t="s">
        <v>8</v>
      </c>
      <c r="F348" s="1">
        <f t="shared" si="18"/>
        <v>720</v>
      </c>
      <c r="G348" s="5">
        <f t="shared" si="17"/>
        <v>0.67361111111111116</v>
      </c>
    </row>
    <row r="349" spans="1:7" ht="13">
      <c r="A349" s="4" t="s">
        <v>114</v>
      </c>
      <c r="B349" s="1">
        <v>5.0999999999999996</v>
      </c>
      <c r="C349" s="1">
        <v>375</v>
      </c>
      <c r="D349" s="1" t="s">
        <v>11</v>
      </c>
      <c r="E349" s="1" t="s">
        <v>9</v>
      </c>
      <c r="F349" s="1">
        <f t="shared" si="18"/>
        <v>509.99999999999994</v>
      </c>
      <c r="G349" s="5">
        <f t="shared" si="17"/>
        <v>0.73529411764705888</v>
      </c>
    </row>
    <row r="350" spans="1:7" ht="13">
      <c r="A350" s="4" t="s">
        <v>114</v>
      </c>
      <c r="B350" s="1">
        <v>3.4</v>
      </c>
      <c r="C350" s="1">
        <v>220</v>
      </c>
      <c r="D350" s="1" t="s">
        <v>11</v>
      </c>
      <c r="E350" s="1" t="s">
        <v>15</v>
      </c>
      <c r="F350" s="1">
        <f t="shared" si="18"/>
        <v>340</v>
      </c>
      <c r="G350" s="5">
        <f t="shared" si="17"/>
        <v>0.6470588235294118</v>
      </c>
    </row>
    <row r="351" spans="1:7" ht="13">
      <c r="A351" s="4" t="s">
        <v>114</v>
      </c>
      <c r="B351" s="1">
        <v>10.3</v>
      </c>
      <c r="C351" s="1">
        <v>600</v>
      </c>
      <c r="D351" s="1" t="s">
        <v>37</v>
      </c>
      <c r="E351" s="1" t="s">
        <v>26</v>
      </c>
      <c r="F351" s="1">
        <f t="shared" si="18"/>
        <v>1030</v>
      </c>
      <c r="G351" s="5">
        <f t="shared" si="17"/>
        <v>0.58252427184466016</v>
      </c>
    </row>
    <row r="352" spans="1:7" ht="13">
      <c r="A352" s="4" t="s">
        <v>114</v>
      </c>
      <c r="B352" s="1">
        <v>5.81</v>
      </c>
      <c r="C352" s="1">
        <v>407</v>
      </c>
      <c r="D352" s="1" t="s">
        <v>38</v>
      </c>
      <c r="E352" s="1" t="s">
        <v>8</v>
      </c>
      <c r="F352" s="1">
        <f t="shared" si="18"/>
        <v>581</v>
      </c>
      <c r="G352" s="5">
        <f t="shared" si="17"/>
        <v>0.70051635111876076</v>
      </c>
    </row>
    <row r="353" spans="1:7" ht="13">
      <c r="A353" s="4" t="s">
        <v>114</v>
      </c>
      <c r="B353" s="1">
        <v>5.4</v>
      </c>
      <c r="C353" s="1">
        <v>251.4</v>
      </c>
      <c r="D353" s="1" t="s">
        <v>53</v>
      </c>
      <c r="E353" s="1" t="s">
        <v>25</v>
      </c>
      <c r="F353" s="1">
        <f t="shared" si="18"/>
        <v>540</v>
      </c>
      <c r="G353" s="5">
        <f t="shared" si="17"/>
        <v>0.46555555555555556</v>
      </c>
    </row>
    <row r="354" spans="1:7" ht="13">
      <c r="A354" s="4" t="s">
        <v>114</v>
      </c>
      <c r="B354" s="1">
        <v>2.87</v>
      </c>
      <c r="C354" s="1">
        <v>234</v>
      </c>
      <c r="D354" s="1" t="s">
        <v>11</v>
      </c>
      <c r="E354" s="1" t="s">
        <v>8</v>
      </c>
      <c r="F354" s="1">
        <f t="shared" si="18"/>
        <v>287</v>
      </c>
      <c r="G354" s="5">
        <f t="shared" si="17"/>
        <v>0.81533101045296164</v>
      </c>
    </row>
    <row r="355" spans="1:7" ht="13">
      <c r="A355" s="4" t="s">
        <v>114</v>
      </c>
      <c r="B355" s="1">
        <v>6.4</v>
      </c>
      <c r="C355" s="1">
        <v>333</v>
      </c>
      <c r="D355" s="1" t="s">
        <v>70</v>
      </c>
      <c r="E355" s="1" t="s">
        <v>8</v>
      </c>
      <c r="F355" s="1">
        <f t="shared" si="18"/>
        <v>640</v>
      </c>
      <c r="G355" s="5">
        <f t="shared" si="17"/>
        <v>0.52031249999999996</v>
      </c>
    </row>
    <row r="356" spans="1:7" ht="13">
      <c r="A356" s="4" t="s">
        <v>114</v>
      </c>
      <c r="B356" s="1">
        <v>6.3</v>
      </c>
      <c r="C356" s="1">
        <v>166</v>
      </c>
      <c r="D356" s="1" t="s">
        <v>38</v>
      </c>
      <c r="E356" s="1" t="s">
        <v>15</v>
      </c>
      <c r="F356" s="1">
        <f t="shared" si="18"/>
        <v>630</v>
      </c>
      <c r="G356" s="5">
        <f t="shared" si="17"/>
        <v>0.2634920634920635</v>
      </c>
    </row>
    <row r="357" spans="1:7" ht="13">
      <c r="A357" s="4" t="s">
        <v>114</v>
      </c>
      <c r="B357" s="1">
        <v>4.9000000000000004</v>
      </c>
      <c r="C357" s="1">
        <v>313</v>
      </c>
      <c r="D357" s="1" t="s">
        <v>44</v>
      </c>
      <c r="E357" s="1" t="s">
        <v>15</v>
      </c>
      <c r="F357" s="1">
        <f t="shared" si="18"/>
        <v>490.00000000000006</v>
      </c>
      <c r="G357" s="5">
        <f t="shared" si="17"/>
        <v>0.63877551020408152</v>
      </c>
    </row>
    <row r="358" spans="1:7" ht="13">
      <c r="A358" s="4" t="s">
        <v>114</v>
      </c>
      <c r="B358" s="1">
        <v>6.33</v>
      </c>
      <c r="C358" s="1">
        <v>420</v>
      </c>
      <c r="D358" s="1" t="s">
        <v>67</v>
      </c>
      <c r="E358" s="1" t="s">
        <v>62</v>
      </c>
      <c r="F358" s="1">
        <f t="shared" si="18"/>
        <v>633</v>
      </c>
      <c r="G358" s="5">
        <f t="shared" si="17"/>
        <v>0.6635071090047393</v>
      </c>
    </row>
    <row r="359" spans="1:7" ht="13">
      <c r="A359" s="4" t="s">
        <v>114</v>
      </c>
      <c r="B359" s="1">
        <v>6.4</v>
      </c>
      <c r="C359" s="1">
        <v>463</v>
      </c>
      <c r="D359" s="1" t="s">
        <v>11</v>
      </c>
      <c r="E359" s="1" t="s">
        <v>8</v>
      </c>
      <c r="F359" s="1">
        <f t="shared" si="18"/>
        <v>640</v>
      </c>
      <c r="G359" s="5">
        <f t="shared" si="17"/>
        <v>0.72343749999999996</v>
      </c>
    </row>
    <row r="360" spans="1:7" ht="13">
      <c r="A360" s="4" t="s">
        <v>114</v>
      </c>
      <c r="B360" s="1">
        <v>4.3</v>
      </c>
      <c r="C360" s="1">
        <v>250</v>
      </c>
      <c r="D360" s="1" t="s">
        <v>35</v>
      </c>
      <c r="E360" s="1" t="s">
        <v>10</v>
      </c>
      <c r="F360" s="1">
        <f t="shared" si="18"/>
        <v>430</v>
      </c>
      <c r="G360" s="5">
        <f t="shared" si="17"/>
        <v>0.58139534883720934</v>
      </c>
    </row>
    <row r="361" spans="1:7" ht="13">
      <c r="A361" s="4" t="s">
        <v>114</v>
      </c>
      <c r="B361" s="1">
        <v>4.2</v>
      </c>
      <c r="C361" s="1">
        <v>310</v>
      </c>
      <c r="D361" s="1" t="s">
        <v>11</v>
      </c>
      <c r="E361" s="1" t="s">
        <v>15</v>
      </c>
      <c r="F361" s="1">
        <f t="shared" si="18"/>
        <v>420</v>
      </c>
      <c r="G361" s="5">
        <f t="shared" si="17"/>
        <v>0.73809523809523814</v>
      </c>
    </row>
    <row r="362" spans="1:7" ht="13">
      <c r="A362" s="4" t="s">
        <v>114</v>
      </c>
      <c r="B362" s="1">
        <v>8</v>
      </c>
      <c r="C362" s="1">
        <v>421</v>
      </c>
      <c r="D362" s="1" t="s">
        <v>11</v>
      </c>
      <c r="E362" s="1" t="s">
        <v>22</v>
      </c>
      <c r="F362" s="1">
        <f t="shared" si="18"/>
        <v>800</v>
      </c>
      <c r="G362" s="5">
        <f t="shared" si="17"/>
        <v>0.52625</v>
      </c>
    </row>
    <row r="363" spans="1:7" ht="13">
      <c r="A363" s="4" t="s">
        <v>114</v>
      </c>
      <c r="B363" s="1">
        <v>4300</v>
      </c>
      <c r="C363" s="1">
        <v>337</v>
      </c>
      <c r="D363" s="1" t="s">
        <v>43</v>
      </c>
      <c r="E363" s="1" t="s">
        <v>8</v>
      </c>
      <c r="F363" s="1">
        <f t="shared" si="18"/>
        <v>430000</v>
      </c>
      <c r="G363" s="5">
        <f t="shared" si="17"/>
        <v>7.8372093023255809E-4</v>
      </c>
    </row>
    <row r="364" spans="1:7" ht="13">
      <c r="A364" s="4" t="s">
        <v>114</v>
      </c>
      <c r="B364" s="1">
        <v>7</v>
      </c>
      <c r="C364" s="1">
        <v>502</v>
      </c>
      <c r="D364" s="1" t="s">
        <v>42</v>
      </c>
      <c r="E364" s="1" t="s">
        <v>10</v>
      </c>
      <c r="F364" s="1">
        <f t="shared" si="18"/>
        <v>700</v>
      </c>
      <c r="G364" s="5">
        <f t="shared" si="17"/>
        <v>0.71714285714285719</v>
      </c>
    </row>
    <row r="365" spans="1:7" ht="13">
      <c r="A365" s="4" t="s">
        <v>114</v>
      </c>
      <c r="B365" s="1">
        <v>8.4</v>
      </c>
      <c r="C365" s="1">
        <v>598</v>
      </c>
      <c r="D365" s="1" t="s">
        <v>11</v>
      </c>
      <c r="E365" s="1" t="s">
        <v>24</v>
      </c>
      <c r="F365" s="1">
        <f t="shared" si="18"/>
        <v>840</v>
      </c>
      <c r="G365" s="5">
        <f t="shared" si="17"/>
        <v>0.71190476190476193</v>
      </c>
    </row>
    <row r="366" spans="1:7" ht="13">
      <c r="A366" s="4" t="s">
        <v>114</v>
      </c>
      <c r="B366" s="1">
        <v>4.3</v>
      </c>
      <c r="C366" s="1">
        <v>280</v>
      </c>
      <c r="D366" s="1" t="s">
        <v>43</v>
      </c>
      <c r="E366" s="1" t="s">
        <v>31</v>
      </c>
      <c r="F366" s="1">
        <f t="shared" si="18"/>
        <v>430</v>
      </c>
      <c r="G366" s="5">
        <f t="shared" si="17"/>
        <v>0.65116279069767447</v>
      </c>
    </row>
    <row r="367" spans="1:7" ht="13">
      <c r="A367" s="4" t="s">
        <v>114</v>
      </c>
      <c r="B367" s="1">
        <v>645</v>
      </c>
      <c r="C367" s="1">
        <v>561</v>
      </c>
      <c r="D367" s="1" t="s">
        <v>11</v>
      </c>
      <c r="E367" s="1" t="s">
        <v>8</v>
      </c>
      <c r="F367" s="1">
        <f t="shared" si="18"/>
        <v>64500</v>
      </c>
      <c r="G367" s="5">
        <f t="shared" si="17"/>
        <v>8.6976744186046517E-3</v>
      </c>
    </row>
    <row r="368" spans="1:7" ht="13">
      <c r="A368" s="4" t="s">
        <v>114</v>
      </c>
      <c r="B368" s="1">
        <v>7.7</v>
      </c>
      <c r="C368" s="1">
        <v>479</v>
      </c>
      <c r="D368" s="1" t="s">
        <v>33</v>
      </c>
      <c r="E368" s="1" t="s">
        <v>15</v>
      </c>
      <c r="F368" s="1">
        <f t="shared" si="18"/>
        <v>770</v>
      </c>
      <c r="G368" s="5">
        <f t="shared" si="17"/>
        <v>0.62207792207792212</v>
      </c>
    </row>
    <row r="369" spans="1:7" ht="13">
      <c r="A369" s="4" t="s">
        <v>114</v>
      </c>
      <c r="B369" s="1">
        <v>3.48</v>
      </c>
      <c r="C369" s="1">
        <v>241</v>
      </c>
      <c r="D369" s="1" t="s">
        <v>39</v>
      </c>
      <c r="E369" s="1" t="s">
        <v>15</v>
      </c>
      <c r="F369" s="1">
        <f t="shared" si="18"/>
        <v>348</v>
      </c>
      <c r="G369" s="5">
        <f t="shared" si="17"/>
        <v>0.69252873563218387</v>
      </c>
    </row>
    <row r="370" spans="1:7" ht="13">
      <c r="A370" s="4" t="s">
        <v>114</v>
      </c>
      <c r="B370" s="1">
        <v>7.3</v>
      </c>
      <c r="C370" s="1">
        <v>461</v>
      </c>
      <c r="D370" s="1" t="s">
        <v>38</v>
      </c>
      <c r="E370" s="1" t="s">
        <v>28</v>
      </c>
      <c r="F370" s="1">
        <f t="shared" si="18"/>
        <v>730</v>
      </c>
      <c r="G370" s="5">
        <f t="shared" si="17"/>
        <v>0.63150684931506851</v>
      </c>
    </row>
    <row r="371" spans="1:7" ht="13">
      <c r="A371" s="4" t="s">
        <v>114</v>
      </c>
      <c r="B371" s="1">
        <v>5.88</v>
      </c>
      <c r="C371" s="1">
        <v>356</v>
      </c>
      <c r="D371" s="1" t="s">
        <v>11</v>
      </c>
      <c r="E371" s="1" t="s">
        <v>15</v>
      </c>
      <c r="F371" s="1">
        <f t="shared" si="18"/>
        <v>588</v>
      </c>
      <c r="G371" s="5">
        <f t="shared" si="17"/>
        <v>0.60544217687074831</v>
      </c>
    </row>
    <row r="372" spans="1:7" ht="13">
      <c r="A372" s="4" t="s">
        <v>114</v>
      </c>
      <c r="B372" s="1">
        <v>5.6</v>
      </c>
      <c r="C372" s="1">
        <v>265</v>
      </c>
      <c r="D372" s="1" t="s">
        <v>53</v>
      </c>
      <c r="E372" s="1" t="s">
        <v>8</v>
      </c>
      <c r="F372" s="1">
        <f t="shared" si="18"/>
        <v>560</v>
      </c>
      <c r="G372" s="5">
        <f t="shared" si="17"/>
        <v>0.4732142857142857</v>
      </c>
    </row>
    <row r="373" spans="1:7" ht="13">
      <c r="A373" s="4" t="s">
        <v>114</v>
      </c>
      <c r="B373" s="1">
        <v>4.8600000000000003</v>
      </c>
      <c r="C373" s="1">
        <v>328</v>
      </c>
      <c r="D373" s="1" t="s">
        <v>38</v>
      </c>
      <c r="E373" s="1" t="s">
        <v>15</v>
      </c>
      <c r="F373" s="1">
        <f t="shared" si="18"/>
        <v>486.00000000000006</v>
      </c>
      <c r="G373" s="5">
        <f t="shared" si="17"/>
        <v>0.67489711934156371</v>
      </c>
    </row>
    <row r="374" spans="1:7" ht="13">
      <c r="A374" s="4" t="s">
        <v>114</v>
      </c>
      <c r="B374" s="1">
        <v>4.9000000000000004</v>
      </c>
      <c r="C374" s="1">
        <v>326</v>
      </c>
      <c r="D374" s="1" t="s">
        <v>11</v>
      </c>
      <c r="E374" s="1" t="s">
        <v>8</v>
      </c>
      <c r="F374" s="1">
        <f t="shared" si="18"/>
        <v>490.00000000000006</v>
      </c>
      <c r="G374" s="5">
        <f t="shared" si="17"/>
        <v>0.66530612244897946</v>
      </c>
    </row>
    <row r="375" spans="1:7" ht="13">
      <c r="A375" s="4" t="s">
        <v>114</v>
      </c>
      <c r="B375" s="1">
        <v>6.32</v>
      </c>
      <c r="C375" s="1">
        <v>468</v>
      </c>
      <c r="D375" s="1" t="s">
        <v>11</v>
      </c>
      <c r="E375" s="1" t="s">
        <v>8</v>
      </c>
      <c r="F375" s="1">
        <f t="shared" si="18"/>
        <v>632</v>
      </c>
      <c r="G375" s="5">
        <f t="shared" si="17"/>
        <v>0.740506329113924</v>
      </c>
    </row>
    <row r="376" spans="1:7" ht="13">
      <c r="A376" s="4" t="s">
        <v>114</v>
      </c>
      <c r="B376" s="1">
        <v>6</v>
      </c>
      <c r="C376" s="1">
        <v>412</v>
      </c>
      <c r="D376" s="1" t="s">
        <v>43</v>
      </c>
      <c r="E376" s="1" t="s">
        <v>21</v>
      </c>
      <c r="F376" s="1">
        <f t="shared" si="18"/>
        <v>600</v>
      </c>
      <c r="G376" s="5">
        <f t="shared" si="17"/>
        <v>0.68666666666666665</v>
      </c>
    </row>
    <row r="377" spans="1:7" ht="13">
      <c r="A377" s="4" t="s">
        <v>114</v>
      </c>
      <c r="B377" s="1">
        <v>7.74</v>
      </c>
      <c r="C377" s="1">
        <v>478</v>
      </c>
      <c r="D377" s="1" t="s">
        <v>11</v>
      </c>
      <c r="E377" s="1" t="s">
        <v>25</v>
      </c>
      <c r="F377" s="1">
        <f t="shared" si="18"/>
        <v>774</v>
      </c>
      <c r="G377" s="5">
        <f t="shared" si="17"/>
        <v>0.61757105943152457</v>
      </c>
    </row>
    <row r="378" spans="1:7" ht="13">
      <c r="A378" s="4" t="s">
        <v>114</v>
      </c>
      <c r="B378" s="1">
        <v>7.5</v>
      </c>
      <c r="C378" s="1">
        <v>506</v>
      </c>
      <c r="D378" s="1" t="s">
        <v>11</v>
      </c>
      <c r="E378" s="1" t="s">
        <v>27</v>
      </c>
      <c r="F378" s="1">
        <f t="shared" si="18"/>
        <v>750</v>
      </c>
      <c r="G378" s="5">
        <f t="shared" si="17"/>
        <v>0.67466666666666664</v>
      </c>
    </row>
    <row r="379" spans="1:7" ht="13">
      <c r="A379" s="4" t="s">
        <v>114</v>
      </c>
      <c r="B379" s="1">
        <v>7.3</v>
      </c>
      <c r="C379" s="1">
        <v>453</v>
      </c>
      <c r="D379" s="1" t="s">
        <v>33</v>
      </c>
      <c r="E379" s="1" t="s">
        <v>23</v>
      </c>
      <c r="F379" s="1">
        <f t="shared" si="18"/>
        <v>730</v>
      </c>
      <c r="G379" s="5">
        <f t="shared" si="17"/>
        <v>0.6205479452054794</v>
      </c>
    </row>
    <row r="380" spans="1:7" ht="13">
      <c r="A380" s="4" t="s">
        <v>114</v>
      </c>
      <c r="B380" s="1">
        <v>4897</v>
      </c>
      <c r="C380" s="1">
        <v>407</v>
      </c>
      <c r="D380" s="1" t="s">
        <v>11</v>
      </c>
      <c r="E380" s="1" t="s">
        <v>16</v>
      </c>
      <c r="F380" s="1">
        <f t="shared" si="18"/>
        <v>489700</v>
      </c>
      <c r="G380" s="5">
        <f t="shared" si="17"/>
        <v>8.3112109454768228E-4</v>
      </c>
    </row>
    <row r="381" spans="1:7" ht="13">
      <c r="A381" s="4" t="s">
        <v>114</v>
      </c>
      <c r="B381" s="1">
        <v>6.96</v>
      </c>
      <c r="C381" s="1">
        <v>394</v>
      </c>
      <c r="D381" s="1" t="s">
        <v>33</v>
      </c>
      <c r="E381" s="1" t="s">
        <v>8</v>
      </c>
      <c r="F381" s="1">
        <f t="shared" si="18"/>
        <v>696</v>
      </c>
      <c r="G381" s="5">
        <f t="shared" si="17"/>
        <v>0.56609195402298851</v>
      </c>
    </row>
    <row r="382" spans="1:7" ht="13">
      <c r="A382" s="4" t="s">
        <v>114</v>
      </c>
      <c r="B382" s="1">
        <v>5.12</v>
      </c>
      <c r="C382" s="1">
        <v>268</v>
      </c>
      <c r="D382" s="1" t="s">
        <v>53</v>
      </c>
      <c r="E382" s="1" t="s">
        <v>24</v>
      </c>
      <c r="F382" s="1">
        <f t="shared" si="18"/>
        <v>512</v>
      </c>
      <c r="G382" s="5">
        <f t="shared" si="17"/>
        <v>0.5234375</v>
      </c>
    </row>
    <row r="383" spans="1:7" ht="13">
      <c r="A383" s="4" t="s">
        <v>114</v>
      </c>
      <c r="B383" s="1">
        <v>6.3</v>
      </c>
      <c r="C383" s="1">
        <v>378</v>
      </c>
      <c r="D383" s="1" t="s">
        <v>43</v>
      </c>
      <c r="E383" s="1" t="s">
        <v>29</v>
      </c>
      <c r="F383" s="1">
        <f t="shared" si="18"/>
        <v>630</v>
      </c>
      <c r="G383" s="5">
        <f t="shared" si="17"/>
        <v>0.6</v>
      </c>
    </row>
    <row r="384" spans="1:7" ht="13">
      <c r="A384" s="4" t="s">
        <v>114</v>
      </c>
      <c r="B384" s="1">
        <v>4.3</v>
      </c>
      <c r="C384" s="1">
        <v>214</v>
      </c>
      <c r="D384" s="1" t="s">
        <v>33</v>
      </c>
      <c r="E384" s="1" t="s">
        <v>15</v>
      </c>
      <c r="F384" s="1">
        <f t="shared" si="18"/>
        <v>430</v>
      </c>
      <c r="G384" s="5">
        <f t="shared" si="17"/>
        <v>0.49767441860465117</v>
      </c>
    </row>
    <row r="385" spans="1:7" ht="13">
      <c r="A385" s="4" t="s">
        <v>114</v>
      </c>
      <c r="B385" s="1">
        <v>6.2</v>
      </c>
      <c r="C385" s="1">
        <v>535</v>
      </c>
      <c r="D385" s="1" t="s">
        <v>11</v>
      </c>
      <c r="E385" s="1" t="s">
        <v>10</v>
      </c>
      <c r="F385" s="1">
        <f t="shared" si="18"/>
        <v>620</v>
      </c>
      <c r="G385" s="5">
        <f t="shared" si="17"/>
        <v>0.86290322580645162</v>
      </c>
    </row>
    <row r="386" spans="1:7" ht="13">
      <c r="A386" s="4" t="s">
        <v>114</v>
      </c>
      <c r="B386" s="1">
        <v>6.9</v>
      </c>
      <c r="C386" s="1">
        <v>316</v>
      </c>
      <c r="D386" s="1" t="s">
        <v>11</v>
      </c>
      <c r="E386" s="1" t="s">
        <v>46</v>
      </c>
      <c r="F386" s="1">
        <f t="shared" si="18"/>
        <v>690</v>
      </c>
      <c r="G386" s="5">
        <f t="shared" ref="G386:G449" si="19">C386/F386</f>
        <v>0.45797101449275363</v>
      </c>
    </row>
    <row r="387" spans="1:7" ht="13">
      <c r="A387" s="4" t="s">
        <v>114</v>
      </c>
      <c r="B387" s="1">
        <v>6.72</v>
      </c>
      <c r="C387" s="1">
        <v>444</v>
      </c>
      <c r="D387" s="1" t="s">
        <v>11</v>
      </c>
      <c r="E387" s="1" t="s">
        <v>24</v>
      </c>
      <c r="F387" s="1">
        <f t="shared" ref="F387:F450" si="20">B387*100</f>
        <v>672</v>
      </c>
      <c r="G387" s="5">
        <f t="shared" si="19"/>
        <v>0.6607142857142857</v>
      </c>
    </row>
    <row r="388" spans="1:7" ht="13">
      <c r="A388" s="4" t="s">
        <v>114</v>
      </c>
      <c r="B388" s="1">
        <v>6.72</v>
      </c>
      <c r="C388" s="1">
        <v>366</v>
      </c>
      <c r="D388" s="1" t="s">
        <v>33</v>
      </c>
      <c r="E388" s="1" t="s">
        <v>12</v>
      </c>
      <c r="F388" s="1">
        <f t="shared" si="20"/>
        <v>672</v>
      </c>
      <c r="G388" s="5">
        <f t="shared" si="19"/>
        <v>0.5446428571428571</v>
      </c>
    </row>
    <row r="389" spans="1:7" ht="13">
      <c r="A389" s="4" t="s">
        <v>114</v>
      </c>
      <c r="B389" s="1">
        <v>5.4</v>
      </c>
      <c r="C389" s="1">
        <v>322</v>
      </c>
      <c r="D389" s="1" t="s">
        <v>55</v>
      </c>
      <c r="E389" s="1" t="s">
        <v>21</v>
      </c>
      <c r="F389" s="1">
        <f t="shared" si="20"/>
        <v>540</v>
      </c>
      <c r="G389" s="5">
        <f t="shared" si="19"/>
        <v>0.59629629629629632</v>
      </c>
    </row>
    <row r="390" spans="1:7" ht="13">
      <c r="A390" s="4" t="s">
        <v>114</v>
      </c>
      <c r="B390" s="1">
        <v>7.2</v>
      </c>
      <c r="C390" s="1">
        <v>351</v>
      </c>
      <c r="D390" s="1" t="s">
        <v>43</v>
      </c>
      <c r="E390" s="1" t="s">
        <v>13</v>
      </c>
      <c r="F390" s="1">
        <f t="shared" si="20"/>
        <v>720</v>
      </c>
      <c r="G390" s="5">
        <f t="shared" si="19"/>
        <v>0.48749999999999999</v>
      </c>
    </row>
    <row r="391" spans="1:7" ht="13">
      <c r="A391" s="4" t="s">
        <v>114</v>
      </c>
      <c r="B391" s="1">
        <v>4.4000000000000004</v>
      </c>
      <c r="C391" s="1">
        <v>283</v>
      </c>
      <c r="D391" s="1" t="s">
        <v>11</v>
      </c>
      <c r="E391" s="1" t="s">
        <v>15</v>
      </c>
      <c r="F391" s="1">
        <f t="shared" si="20"/>
        <v>440.00000000000006</v>
      </c>
      <c r="G391" s="5">
        <f t="shared" si="19"/>
        <v>0.64318181818181808</v>
      </c>
    </row>
    <row r="392" spans="1:7" ht="13">
      <c r="A392" s="4" t="s">
        <v>114</v>
      </c>
      <c r="B392" s="1">
        <v>6.97</v>
      </c>
      <c r="C392" s="1">
        <v>490</v>
      </c>
      <c r="D392" s="1" t="s">
        <v>11</v>
      </c>
      <c r="E392" s="1" t="s">
        <v>8</v>
      </c>
      <c r="F392" s="1">
        <f t="shared" si="20"/>
        <v>697</v>
      </c>
      <c r="G392" s="5">
        <f t="shared" si="19"/>
        <v>0.70301291248206599</v>
      </c>
    </row>
    <row r="393" spans="1:7" ht="13">
      <c r="A393" s="4" t="s">
        <v>114</v>
      </c>
      <c r="B393" s="1">
        <v>11.2</v>
      </c>
      <c r="C393" s="1">
        <v>665</v>
      </c>
      <c r="D393" s="1" t="s">
        <v>42</v>
      </c>
      <c r="E393" s="1" t="s">
        <v>12</v>
      </c>
      <c r="F393" s="1">
        <f t="shared" si="20"/>
        <v>1120</v>
      </c>
      <c r="G393" s="5">
        <f t="shared" si="19"/>
        <v>0.59375</v>
      </c>
    </row>
    <row r="394" spans="1:7" ht="13">
      <c r="A394" s="4" t="s">
        <v>114</v>
      </c>
      <c r="B394" s="1">
        <v>6.7</v>
      </c>
      <c r="C394" s="1">
        <v>391</v>
      </c>
      <c r="D394" s="1" t="s">
        <v>33</v>
      </c>
      <c r="E394" s="1" t="s">
        <v>21</v>
      </c>
      <c r="F394" s="1">
        <f t="shared" si="20"/>
        <v>670</v>
      </c>
      <c r="G394" s="5">
        <f t="shared" si="19"/>
        <v>0.58358208955223878</v>
      </c>
    </row>
    <row r="395" spans="1:7" ht="13">
      <c r="A395" s="4" t="s">
        <v>114</v>
      </c>
      <c r="B395" s="1">
        <v>5</v>
      </c>
      <c r="C395" s="1">
        <v>351</v>
      </c>
      <c r="D395" s="1" t="s">
        <v>42</v>
      </c>
      <c r="E395" s="1" t="s">
        <v>30</v>
      </c>
      <c r="F395" s="1">
        <f t="shared" si="20"/>
        <v>500</v>
      </c>
      <c r="G395" s="5">
        <f t="shared" si="19"/>
        <v>0.70199999999999996</v>
      </c>
    </row>
    <row r="396" spans="1:7" ht="13">
      <c r="A396" s="4" t="s">
        <v>114</v>
      </c>
      <c r="B396" s="1">
        <v>6</v>
      </c>
      <c r="C396" s="1">
        <v>324</v>
      </c>
      <c r="D396" s="1" t="s">
        <v>33</v>
      </c>
      <c r="E396" s="1" t="s">
        <v>21</v>
      </c>
      <c r="F396" s="1">
        <f t="shared" si="20"/>
        <v>600</v>
      </c>
      <c r="G396" s="5">
        <f t="shared" si="19"/>
        <v>0.54</v>
      </c>
    </row>
    <row r="397" spans="1:7" ht="13">
      <c r="A397" s="4" t="s">
        <v>114</v>
      </c>
      <c r="B397" s="1">
        <v>6.02</v>
      </c>
      <c r="C397" s="1">
        <v>376</v>
      </c>
      <c r="D397" s="1" t="s">
        <v>42</v>
      </c>
      <c r="E397" s="1" t="s">
        <v>14</v>
      </c>
      <c r="F397" s="1">
        <f t="shared" si="20"/>
        <v>602</v>
      </c>
      <c r="G397" s="5">
        <f t="shared" si="19"/>
        <v>0.62458471760797341</v>
      </c>
    </row>
    <row r="398" spans="1:7" ht="13">
      <c r="A398" s="4" t="s">
        <v>114</v>
      </c>
      <c r="B398" s="1">
        <v>9.4600000000000009</v>
      </c>
      <c r="C398" s="1">
        <v>697</v>
      </c>
      <c r="D398" s="1" t="s">
        <v>11</v>
      </c>
      <c r="E398" s="1" t="s">
        <v>25</v>
      </c>
      <c r="F398" s="1">
        <f t="shared" si="20"/>
        <v>946.00000000000011</v>
      </c>
      <c r="G398" s="5">
        <f t="shared" si="19"/>
        <v>0.73678646934460879</v>
      </c>
    </row>
    <row r="399" spans="1:7" ht="13">
      <c r="A399" s="4" t="s">
        <v>114</v>
      </c>
      <c r="B399" s="1">
        <v>4.3</v>
      </c>
      <c r="C399" s="1">
        <v>269</v>
      </c>
      <c r="D399" s="1" t="s">
        <v>47</v>
      </c>
      <c r="E399" s="1" t="s">
        <v>15</v>
      </c>
      <c r="F399" s="1">
        <f t="shared" si="20"/>
        <v>430</v>
      </c>
      <c r="G399" s="5">
        <f t="shared" si="19"/>
        <v>0.62558139534883717</v>
      </c>
    </row>
    <row r="400" spans="1:7" ht="13">
      <c r="A400" s="4" t="s">
        <v>114</v>
      </c>
      <c r="B400" s="1">
        <v>7.2</v>
      </c>
      <c r="C400" s="1">
        <v>492</v>
      </c>
      <c r="D400" s="1" t="s">
        <v>11</v>
      </c>
      <c r="E400" s="1" t="s">
        <v>23</v>
      </c>
      <c r="F400" s="1">
        <f t="shared" si="20"/>
        <v>720</v>
      </c>
      <c r="G400" s="5">
        <f t="shared" si="19"/>
        <v>0.68333333333333335</v>
      </c>
    </row>
    <row r="401" spans="1:7" ht="13">
      <c r="A401" s="4" t="s">
        <v>114</v>
      </c>
      <c r="B401" s="1">
        <v>5.28</v>
      </c>
      <c r="C401" s="1">
        <v>264</v>
      </c>
      <c r="D401" s="1" t="s">
        <v>38</v>
      </c>
      <c r="E401" s="1" t="s">
        <v>62</v>
      </c>
      <c r="F401" s="1">
        <f t="shared" si="20"/>
        <v>528</v>
      </c>
      <c r="G401" s="5">
        <f t="shared" si="19"/>
        <v>0.5</v>
      </c>
    </row>
    <row r="402" spans="1:7" ht="13">
      <c r="A402" s="4" t="s">
        <v>114</v>
      </c>
      <c r="B402" s="1">
        <v>7.3</v>
      </c>
      <c r="C402" s="1">
        <v>494</v>
      </c>
      <c r="D402" s="1" t="s">
        <v>11</v>
      </c>
      <c r="E402" s="1" t="s">
        <v>10</v>
      </c>
      <c r="F402" s="1">
        <f t="shared" si="20"/>
        <v>730</v>
      </c>
      <c r="G402" s="5">
        <f t="shared" si="19"/>
        <v>0.67671232876712328</v>
      </c>
    </row>
    <row r="403" spans="1:7" ht="13">
      <c r="A403" s="4" t="s">
        <v>114</v>
      </c>
      <c r="B403" s="1">
        <v>6</v>
      </c>
      <c r="C403" s="1">
        <v>332</v>
      </c>
      <c r="D403" s="1" t="s">
        <v>40</v>
      </c>
      <c r="E403" s="1" t="s">
        <v>8</v>
      </c>
      <c r="F403" s="1">
        <f t="shared" si="20"/>
        <v>600</v>
      </c>
      <c r="G403" s="5">
        <f t="shared" si="19"/>
        <v>0.55333333333333334</v>
      </c>
    </row>
    <row r="404" spans="1:7" ht="13">
      <c r="A404" s="4" t="s">
        <v>114</v>
      </c>
      <c r="B404" s="1">
        <v>4.92</v>
      </c>
      <c r="C404" s="1">
        <v>312</v>
      </c>
      <c r="D404" s="1" t="s">
        <v>47</v>
      </c>
      <c r="E404" s="1" t="s">
        <v>22</v>
      </c>
      <c r="F404" s="1">
        <f t="shared" si="20"/>
        <v>492</v>
      </c>
      <c r="G404" s="5">
        <f t="shared" si="19"/>
        <v>0.63414634146341464</v>
      </c>
    </row>
    <row r="405" spans="1:7" ht="13">
      <c r="A405" s="4" t="s">
        <v>114</v>
      </c>
      <c r="B405" s="1">
        <v>4.0999999999999996</v>
      </c>
      <c r="C405" s="1">
        <v>277</v>
      </c>
      <c r="D405" s="1" t="s">
        <v>38</v>
      </c>
      <c r="E405" s="1" t="s">
        <v>16</v>
      </c>
      <c r="F405" s="1">
        <f t="shared" si="20"/>
        <v>409.99999999999994</v>
      </c>
      <c r="G405" s="5">
        <f t="shared" si="19"/>
        <v>0.67560975609756102</v>
      </c>
    </row>
    <row r="406" spans="1:7" ht="13">
      <c r="A406" s="4" t="s">
        <v>114</v>
      </c>
      <c r="B406" s="1">
        <v>4.0999999999999996</v>
      </c>
      <c r="C406" s="1">
        <v>342</v>
      </c>
      <c r="D406" s="1" t="s">
        <v>11</v>
      </c>
      <c r="E406" s="1" t="s">
        <v>18</v>
      </c>
      <c r="F406" s="1">
        <f t="shared" si="20"/>
        <v>409.99999999999994</v>
      </c>
      <c r="G406" s="5">
        <f t="shared" si="19"/>
        <v>0.83414634146341471</v>
      </c>
    </row>
    <row r="407" spans="1:7" ht="13">
      <c r="A407" s="4" t="s">
        <v>114</v>
      </c>
      <c r="B407" s="1">
        <v>6.4</v>
      </c>
      <c r="C407" s="1">
        <v>378.4</v>
      </c>
      <c r="D407" s="1" t="s">
        <v>35</v>
      </c>
      <c r="E407" s="1" t="s">
        <v>18</v>
      </c>
      <c r="F407" s="1">
        <f t="shared" si="20"/>
        <v>640</v>
      </c>
      <c r="G407" s="5">
        <f t="shared" si="19"/>
        <v>0.59124999999999994</v>
      </c>
    </row>
    <row r="408" spans="1:7" ht="13">
      <c r="A408" s="4" t="s">
        <v>114</v>
      </c>
      <c r="B408" s="1">
        <v>8</v>
      </c>
      <c r="C408" s="1">
        <v>380</v>
      </c>
      <c r="D408" s="1" t="s">
        <v>56</v>
      </c>
      <c r="E408" s="1" t="s">
        <v>22</v>
      </c>
      <c r="F408" s="1">
        <f t="shared" si="20"/>
        <v>800</v>
      </c>
      <c r="G408" s="5">
        <f t="shared" si="19"/>
        <v>0.47499999999999998</v>
      </c>
    </row>
    <row r="409" spans="1:7" ht="13">
      <c r="A409" s="4" t="s">
        <v>114</v>
      </c>
      <c r="B409" s="1">
        <v>6.2</v>
      </c>
      <c r="C409" s="1">
        <v>425</v>
      </c>
      <c r="D409" s="1" t="s">
        <v>11</v>
      </c>
      <c r="E409" s="1" t="s">
        <v>7</v>
      </c>
      <c r="F409" s="1">
        <f t="shared" si="20"/>
        <v>620</v>
      </c>
      <c r="G409" s="5">
        <f t="shared" si="19"/>
        <v>0.68548387096774188</v>
      </c>
    </row>
    <row r="410" spans="1:7" ht="13">
      <c r="A410" s="4" t="s">
        <v>114</v>
      </c>
      <c r="B410" s="1">
        <v>5.625</v>
      </c>
      <c r="C410" s="1">
        <v>323</v>
      </c>
      <c r="D410" s="1" t="s">
        <v>11</v>
      </c>
      <c r="E410" s="1" t="s">
        <v>15</v>
      </c>
      <c r="F410" s="1">
        <f t="shared" si="20"/>
        <v>562.5</v>
      </c>
      <c r="G410" s="5">
        <f t="shared" si="19"/>
        <v>0.57422222222222219</v>
      </c>
    </row>
    <row r="411" spans="1:7" ht="13">
      <c r="A411" s="4" t="s">
        <v>114</v>
      </c>
      <c r="B411" s="1">
        <v>19.600000000000001</v>
      </c>
      <c r="C411" s="1">
        <v>1131</v>
      </c>
      <c r="D411" s="1" t="s">
        <v>47</v>
      </c>
      <c r="E411" s="1" t="s">
        <v>23</v>
      </c>
      <c r="F411" s="1">
        <f t="shared" si="20"/>
        <v>1960.0000000000002</v>
      </c>
      <c r="G411" s="5">
        <f t="shared" si="19"/>
        <v>0.57704081632653059</v>
      </c>
    </row>
    <row r="412" spans="1:7" ht="13">
      <c r="A412" s="4" t="s">
        <v>114</v>
      </c>
      <c r="B412" s="1">
        <v>3.48</v>
      </c>
      <c r="C412" s="1">
        <v>235</v>
      </c>
      <c r="D412" s="1" t="s">
        <v>11</v>
      </c>
      <c r="E412" s="1" t="s">
        <v>15</v>
      </c>
      <c r="F412" s="1">
        <f t="shared" si="20"/>
        <v>348</v>
      </c>
      <c r="G412" s="5">
        <f t="shared" si="19"/>
        <v>0.67528735632183912</v>
      </c>
    </row>
    <row r="413" spans="1:7" ht="13">
      <c r="A413" s="4" t="s">
        <v>114</v>
      </c>
      <c r="B413" s="1">
        <v>7.56</v>
      </c>
      <c r="C413" s="1">
        <v>491</v>
      </c>
      <c r="D413" s="1" t="s">
        <v>11</v>
      </c>
      <c r="E413" s="1" t="s">
        <v>12</v>
      </c>
      <c r="F413" s="1">
        <f t="shared" si="20"/>
        <v>756</v>
      </c>
      <c r="G413" s="5">
        <f t="shared" si="19"/>
        <v>0.64947089947089942</v>
      </c>
    </row>
    <row r="414" spans="1:7" ht="13">
      <c r="A414" s="4" t="s">
        <v>114</v>
      </c>
      <c r="B414" s="1">
        <v>5.46</v>
      </c>
      <c r="C414" s="1">
        <v>360</v>
      </c>
      <c r="D414" s="1" t="s">
        <v>43</v>
      </c>
      <c r="E414" s="1" t="s">
        <v>15</v>
      </c>
      <c r="F414" s="1">
        <f t="shared" si="20"/>
        <v>546</v>
      </c>
      <c r="G414" s="5">
        <f t="shared" si="19"/>
        <v>0.65934065934065933</v>
      </c>
    </row>
    <row r="415" spans="1:7" ht="13">
      <c r="A415" s="4" t="s">
        <v>114</v>
      </c>
      <c r="B415" s="1">
        <v>4.3</v>
      </c>
      <c r="C415" s="1">
        <v>263</v>
      </c>
      <c r="D415" s="1" t="s">
        <v>33</v>
      </c>
      <c r="E415" s="1" t="s">
        <v>16</v>
      </c>
      <c r="F415" s="1">
        <f t="shared" si="20"/>
        <v>430</v>
      </c>
      <c r="G415" s="5">
        <f t="shared" si="19"/>
        <v>0.61162790697674418</v>
      </c>
    </row>
    <row r="416" spans="1:7" ht="13">
      <c r="A416" s="4" t="s">
        <v>114</v>
      </c>
      <c r="B416" s="1">
        <v>5.6</v>
      </c>
      <c r="C416" s="1">
        <v>271</v>
      </c>
      <c r="D416" s="1" t="s">
        <v>11</v>
      </c>
      <c r="E416" s="1" t="s">
        <v>21</v>
      </c>
      <c r="F416" s="1">
        <f t="shared" si="20"/>
        <v>560</v>
      </c>
      <c r="G416" s="5">
        <f t="shared" si="19"/>
        <v>0.48392857142857143</v>
      </c>
    </row>
    <row r="417" spans="1:7" ht="13">
      <c r="A417" s="4" t="s">
        <v>114</v>
      </c>
      <c r="B417" s="1">
        <v>7.4</v>
      </c>
      <c r="C417" s="1">
        <v>430</v>
      </c>
      <c r="D417" s="1" t="s">
        <v>11</v>
      </c>
      <c r="E417" s="1" t="s">
        <v>17</v>
      </c>
      <c r="F417" s="1">
        <f t="shared" si="20"/>
        <v>740</v>
      </c>
      <c r="G417" s="5">
        <f t="shared" si="19"/>
        <v>0.58108108108108103</v>
      </c>
    </row>
    <row r="418" spans="1:7" ht="13">
      <c r="A418" s="4" t="s">
        <v>114</v>
      </c>
      <c r="B418" s="1">
        <v>8.8000000000000007</v>
      </c>
      <c r="C418" s="1">
        <v>555</v>
      </c>
      <c r="D418" s="1" t="s">
        <v>11</v>
      </c>
      <c r="E418" s="1" t="s">
        <v>17</v>
      </c>
      <c r="F418" s="1">
        <f t="shared" si="20"/>
        <v>880.00000000000011</v>
      </c>
      <c r="G418" s="5">
        <f t="shared" si="19"/>
        <v>0.63068181818181812</v>
      </c>
    </row>
    <row r="419" spans="1:7" ht="13">
      <c r="A419" s="4" t="s">
        <v>114</v>
      </c>
      <c r="B419" s="1">
        <v>3</v>
      </c>
      <c r="C419" s="1">
        <v>190.5</v>
      </c>
      <c r="D419" s="1" t="s">
        <v>11</v>
      </c>
      <c r="E419" s="1" t="s">
        <v>15</v>
      </c>
      <c r="F419" s="1">
        <f t="shared" si="20"/>
        <v>300</v>
      </c>
      <c r="G419" s="5">
        <f t="shared" si="19"/>
        <v>0.63500000000000001</v>
      </c>
    </row>
    <row r="420" spans="1:7" ht="13">
      <c r="A420" s="4" t="s">
        <v>114</v>
      </c>
      <c r="B420" s="1">
        <v>7.74</v>
      </c>
      <c r="C420" s="1">
        <v>520.70000000000005</v>
      </c>
      <c r="D420" s="1" t="s">
        <v>11</v>
      </c>
      <c r="E420" s="1" t="s">
        <v>29</v>
      </c>
      <c r="F420" s="1">
        <f t="shared" si="20"/>
        <v>774</v>
      </c>
      <c r="G420" s="5">
        <f t="shared" si="19"/>
        <v>0.6727390180878553</v>
      </c>
    </row>
    <row r="421" spans="1:7" ht="13">
      <c r="A421" s="4" t="s">
        <v>114</v>
      </c>
      <c r="B421" s="1">
        <v>4.8</v>
      </c>
      <c r="C421" s="1">
        <v>244</v>
      </c>
      <c r="D421" s="1" t="s">
        <v>33</v>
      </c>
      <c r="E421" s="1" t="s">
        <v>15</v>
      </c>
      <c r="F421" s="1">
        <f t="shared" si="20"/>
        <v>480</v>
      </c>
      <c r="G421" s="5">
        <f t="shared" si="19"/>
        <v>0.5083333333333333</v>
      </c>
    </row>
    <row r="422" spans="1:7" ht="13">
      <c r="A422" s="4" t="s">
        <v>114</v>
      </c>
      <c r="B422" s="1">
        <v>7.78</v>
      </c>
      <c r="C422" s="1">
        <v>477</v>
      </c>
      <c r="D422" s="1" t="s">
        <v>47</v>
      </c>
      <c r="E422" s="1" t="s">
        <v>23</v>
      </c>
      <c r="F422" s="1">
        <f t="shared" si="20"/>
        <v>778</v>
      </c>
      <c r="G422" s="5">
        <f t="shared" si="19"/>
        <v>0.61311053984575836</v>
      </c>
    </row>
    <row r="423" spans="1:7" ht="13">
      <c r="A423" s="4" t="s">
        <v>114</v>
      </c>
      <c r="B423" s="1">
        <v>8.5</v>
      </c>
      <c r="C423" s="1">
        <v>507</v>
      </c>
      <c r="D423" s="1" t="s">
        <v>43</v>
      </c>
      <c r="E423" s="1" t="s">
        <v>20</v>
      </c>
      <c r="F423" s="1">
        <f t="shared" si="20"/>
        <v>850</v>
      </c>
      <c r="G423" s="5">
        <f t="shared" si="19"/>
        <v>0.59647058823529409</v>
      </c>
    </row>
    <row r="424" spans="1:7" ht="13">
      <c r="A424" s="4" t="s">
        <v>114</v>
      </c>
      <c r="B424" s="1">
        <v>6.25</v>
      </c>
      <c r="C424" s="1">
        <v>3.92</v>
      </c>
      <c r="D424" s="1" t="s">
        <v>11</v>
      </c>
      <c r="E424" s="1" t="s">
        <v>30</v>
      </c>
      <c r="F424" s="1">
        <f t="shared" si="20"/>
        <v>625</v>
      </c>
      <c r="G424" s="5">
        <f t="shared" si="19"/>
        <v>6.2719999999999998E-3</v>
      </c>
    </row>
    <row r="425" spans="1:7" ht="13">
      <c r="A425" s="4" t="s">
        <v>114</v>
      </c>
      <c r="B425" s="1">
        <v>5.46</v>
      </c>
      <c r="C425" s="1">
        <v>292</v>
      </c>
      <c r="D425" s="1" t="s">
        <v>45</v>
      </c>
      <c r="E425" s="1" t="s">
        <v>14</v>
      </c>
      <c r="F425" s="1">
        <f t="shared" si="20"/>
        <v>546</v>
      </c>
      <c r="G425" s="5">
        <f t="shared" si="19"/>
        <v>0.53479853479853479</v>
      </c>
    </row>
    <row r="426" spans="1:7" ht="13">
      <c r="A426" s="4" t="s">
        <v>114</v>
      </c>
      <c r="B426" s="1">
        <v>3.2</v>
      </c>
      <c r="C426" s="1">
        <v>186</v>
      </c>
      <c r="D426" s="1" t="s">
        <v>35</v>
      </c>
      <c r="E426" s="1" t="s">
        <v>16</v>
      </c>
      <c r="F426" s="1">
        <f t="shared" si="20"/>
        <v>320</v>
      </c>
      <c r="G426" s="5">
        <f t="shared" si="19"/>
        <v>0.58125000000000004</v>
      </c>
    </row>
    <row r="427" spans="1:7" ht="13">
      <c r="A427" s="4" t="s">
        <v>114</v>
      </c>
      <c r="B427" s="1">
        <v>7.2</v>
      </c>
      <c r="C427" s="1">
        <v>540</v>
      </c>
      <c r="D427" s="1" t="s">
        <v>39</v>
      </c>
      <c r="E427" s="1" t="s">
        <v>26</v>
      </c>
      <c r="F427" s="1">
        <f t="shared" si="20"/>
        <v>720</v>
      </c>
      <c r="G427" s="5">
        <f t="shared" si="19"/>
        <v>0.75</v>
      </c>
    </row>
    <row r="428" spans="1:7" ht="13">
      <c r="A428" s="4" t="s">
        <v>114</v>
      </c>
      <c r="B428" s="1">
        <v>6.1</v>
      </c>
      <c r="C428" s="1">
        <v>440</v>
      </c>
      <c r="D428" s="1" t="s">
        <v>11</v>
      </c>
      <c r="E428" s="1" t="s">
        <v>24</v>
      </c>
      <c r="F428" s="1">
        <f t="shared" si="20"/>
        <v>610</v>
      </c>
      <c r="G428" s="5">
        <f t="shared" si="19"/>
        <v>0.72131147540983609</v>
      </c>
    </row>
    <row r="429" spans="1:7" ht="13">
      <c r="A429" s="4" t="s">
        <v>114</v>
      </c>
      <c r="B429" s="1">
        <v>4.3499999999999996</v>
      </c>
      <c r="C429" s="1">
        <v>313</v>
      </c>
      <c r="D429" s="1" t="s">
        <v>11</v>
      </c>
      <c r="E429" s="1" t="s">
        <v>16</v>
      </c>
      <c r="F429" s="1">
        <f t="shared" si="20"/>
        <v>434.99999999999994</v>
      </c>
      <c r="G429" s="5">
        <f t="shared" si="19"/>
        <v>0.71954022988505761</v>
      </c>
    </row>
    <row r="430" spans="1:7" ht="13">
      <c r="A430" s="4" t="s">
        <v>114</v>
      </c>
      <c r="B430" s="1">
        <v>7.3</v>
      </c>
      <c r="C430" s="1">
        <v>478</v>
      </c>
      <c r="D430" s="1" t="s">
        <v>58</v>
      </c>
      <c r="E430" s="1" t="s">
        <v>25</v>
      </c>
      <c r="F430" s="1">
        <f t="shared" si="20"/>
        <v>730</v>
      </c>
      <c r="G430" s="5">
        <f t="shared" si="19"/>
        <v>0.65479452054794518</v>
      </c>
    </row>
    <row r="431" spans="1:7" ht="13">
      <c r="A431" s="4" t="s">
        <v>114</v>
      </c>
      <c r="B431" s="1">
        <v>8.6999999999999993</v>
      </c>
      <c r="C431" s="1">
        <v>573</v>
      </c>
      <c r="D431" s="1" t="s">
        <v>39</v>
      </c>
      <c r="E431" s="1" t="s">
        <v>15</v>
      </c>
      <c r="F431" s="1">
        <f t="shared" si="20"/>
        <v>869.99999999999989</v>
      </c>
      <c r="G431" s="5">
        <f t="shared" si="19"/>
        <v>0.65862068965517251</v>
      </c>
    </row>
    <row r="432" spans="1:7" ht="13">
      <c r="A432" s="4" t="s">
        <v>114</v>
      </c>
      <c r="B432" s="1">
        <v>1.65</v>
      </c>
      <c r="C432" s="1">
        <v>71.52</v>
      </c>
      <c r="D432" s="1" t="s">
        <v>11</v>
      </c>
      <c r="E432" s="1" t="s">
        <v>25</v>
      </c>
      <c r="F432" s="1">
        <f t="shared" si="20"/>
        <v>165</v>
      </c>
      <c r="G432" s="5">
        <f t="shared" si="19"/>
        <v>0.43345454545454543</v>
      </c>
    </row>
    <row r="433" spans="1:7" ht="13">
      <c r="A433" s="4" t="s">
        <v>114</v>
      </c>
      <c r="B433" s="1">
        <v>7.56</v>
      </c>
      <c r="C433" s="1">
        <v>558</v>
      </c>
      <c r="D433" s="1" t="s">
        <v>11</v>
      </c>
      <c r="E433" s="1" t="s">
        <v>7</v>
      </c>
      <c r="F433" s="1">
        <f t="shared" si="20"/>
        <v>756</v>
      </c>
      <c r="G433" s="5">
        <f t="shared" si="19"/>
        <v>0.73809523809523814</v>
      </c>
    </row>
    <row r="434" spans="1:7" ht="13">
      <c r="A434" s="4" t="s">
        <v>114</v>
      </c>
      <c r="B434" s="1">
        <v>4.75</v>
      </c>
      <c r="C434" s="1">
        <v>451.2</v>
      </c>
      <c r="D434" s="1" t="s">
        <v>11</v>
      </c>
      <c r="E434" s="1" t="s">
        <v>8</v>
      </c>
      <c r="F434" s="1">
        <f t="shared" si="20"/>
        <v>475</v>
      </c>
      <c r="G434" s="5">
        <f t="shared" si="19"/>
        <v>0.94989473684210524</v>
      </c>
    </row>
    <row r="435" spans="1:7" ht="13">
      <c r="A435" s="4" t="s">
        <v>114</v>
      </c>
      <c r="B435" s="1">
        <v>7.4</v>
      </c>
      <c r="C435" s="1">
        <v>507</v>
      </c>
      <c r="D435" s="1" t="s">
        <v>53</v>
      </c>
      <c r="E435" s="1" t="s">
        <v>17</v>
      </c>
      <c r="F435" s="1">
        <f t="shared" si="20"/>
        <v>740</v>
      </c>
      <c r="G435" s="5">
        <f t="shared" si="19"/>
        <v>0.68513513513513513</v>
      </c>
    </row>
    <row r="436" spans="1:7" ht="13">
      <c r="A436" s="4" t="s">
        <v>114</v>
      </c>
      <c r="B436" s="1">
        <v>6.4</v>
      </c>
      <c r="C436" s="1">
        <v>330</v>
      </c>
      <c r="D436" s="1" t="s">
        <v>33</v>
      </c>
      <c r="E436" s="1" t="s">
        <v>15</v>
      </c>
      <c r="F436" s="1">
        <f t="shared" si="20"/>
        <v>640</v>
      </c>
      <c r="G436" s="5">
        <f t="shared" si="19"/>
        <v>0.515625</v>
      </c>
    </row>
    <row r="437" spans="1:7" ht="13">
      <c r="A437" s="4" t="s">
        <v>114</v>
      </c>
      <c r="B437" s="1">
        <v>5.22</v>
      </c>
      <c r="C437" s="1">
        <v>300</v>
      </c>
      <c r="D437" s="1" t="s">
        <v>48</v>
      </c>
      <c r="E437" s="1" t="s">
        <v>22</v>
      </c>
      <c r="F437" s="1">
        <f t="shared" si="20"/>
        <v>522</v>
      </c>
      <c r="G437" s="5">
        <f t="shared" si="19"/>
        <v>0.57471264367816088</v>
      </c>
    </row>
    <row r="438" spans="1:7" ht="13">
      <c r="A438" s="4" t="s">
        <v>114</v>
      </c>
      <c r="B438" s="1">
        <v>7.56</v>
      </c>
      <c r="C438" s="1">
        <v>619</v>
      </c>
      <c r="D438" s="1" t="s">
        <v>11</v>
      </c>
      <c r="E438" s="1" t="s">
        <v>9</v>
      </c>
      <c r="F438" s="1">
        <f t="shared" si="20"/>
        <v>756</v>
      </c>
      <c r="G438" s="5">
        <f t="shared" si="19"/>
        <v>0.81878306878306883</v>
      </c>
    </row>
    <row r="439" spans="1:7" ht="13">
      <c r="A439" s="4" t="s">
        <v>114</v>
      </c>
      <c r="B439" s="1">
        <v>5.88</v>
      </c>
      <c r="C439" s="1">
        <v>337</v>
      </c>
      <c r="D439" s="1" t="s">
        <v>38</v>
      </c>
      <c r="E439" s="1" t="s">
        <v>22</v>
      </c>
      <c r="F439" s="1">
        <f t="shared" si="20"/>
        <v>588</v>
      </c>
      <c r="G439" s="5">
        <f t="shared" si="19"/>
        <v>0.5731292517006803</v>
      </c>
    </row>
    <row r="440" spans="1:7" ht="13">
      <c r="A440" s="4" t="s">
        <v>114</v>
      </c>
      <c r="B440" s="1">
        <v>8.6</v>
      </c>
      <c r="C440" s="1">
        <v>528</v>
      </c>
      <c r="D440" s="1" t="s">
        <v>11</v>
      </c>
      <c r="E440" s="1" t="s">
        <v>16</v>
      </c>
      <c r="F440" s="1">
        <f t="shared" si="20"/>
        <v>860</v>
      </c>
      <c r="G440" s="5">
        <f t="shared" si="19"/>
        <v>0.61395348837209307</v>
      </c>
    </row>
    <row r="441" spans="1:7" ht="13">
      <c r="A441" s="4" t="s">
        <v>114</v>
      </c>
      <c r="B441" s="1">
        <v>5.39</v>
      </c>
      <c r="C441" s="1">
        <v>463</v>
      </c>
      <c r="D441" s="1" t="s">
        <v>11</v>
      </c>
      <c r="E441" s="1" t="s">
        <v>26</v>
      </c>
      <c r="F441" s="1">
        <f t="shared" si="20"/>
        <v>539</v>
      </c>
      <c r="G441" s="5">
        <f t="shared" si="19"/>
        <v>0.85899814471243041</v>
      </c>
    </row>
    <row r="442" spans="1:7" ht="13">
      <c r="A442" s="4" t="s">
        <v>114</v>
      </c>
      <c r="B442" s="1">
        <v>6.56</v>
      </c>
      <c r="C442" s="1">
        <v>487</v>
      </c>
      <c r="D442" s="1" t="s">
        <v>34</v>
      </c>
      <c r="E442" s="1" t="s">
        <v>18</v>
      </c>
      <c r="F442" s="1">
        <f t="shared" si="20"/>
        <v>656</v>
      </c>
      <c r="G442" s="5">
        <f t="shared" si="19"/>
        <v>0.74237804878048785</v>
      </c>
    </row>
    <row r="443" spans="1:7" ht="13">
      <c r="A443" s="4" t="s">
        <v>114</v>
      </c>
      <c r="B443" s="1">
        <v>4.5</v>
      </c>
      <c r="C443" s="1">
        <v>278</v>
      </c>
      <c r="D443" s="1" t="s">
        <v>38</v>
      </c>
      <c r="E443" s="1" t="s">
        <v>15</v>
      </c>
      <c r="F443" s="1">
        <f t="shared" si="20"/>
        <v>450</v>
      </c>
      <c r="G443" s="5">
        <f t="shared" si="19"/>
        <v>0.61777777777777776</v>
      </c>
    </row>
    <row r="444" spans="1:7" ht="13">
      <c r="A444" s="4" t="s">
        <v>114</v>
      </c>
      <c r="B444" s="1">
        <v>7.74</v>
      </c>
      <c r="C444" s="1">
        <v>569</v>
      </c>
      <c r="D444" s="1" t="s">
        <v>11</v>
      </c>
      <c r="E444" s="1" t="s">
        <v>12</v>
      </c>
      <c r="F444" s="1">
        <f t="shared" si="20"/>
        <v>774</v>
      </c>
      <c r="G444" s="5">
        <f t="shared" si="19"/>
        <v>0.73514211886304914</v>
      </c>
    </row>
    <row r="445" spans="1:7" ht="13">
      <c r="A445" s="4" t="s">
        <v>114</v>
      </c>
      <c r="B445" s="1">
        <v>6.8</v>
      </c>
      <c r="C445" s="1">
        <v>383</v>
      </c>
      <c r="D445" s="1" t="s">
        <v>71</v>
      </c>
      <c r="E445" s="1" t="s">
        <v>22</v>
      </c>
      <c r="F445" s="1">
        <f t="shared" si="20"/>
        <v>680</v>
      </c>
      <c r="G445" s="5">
        <f t="shared" si="19"/>
        <v>0.56323529411764706</v>
      </c>
    </row>
    <row r="446" spans="1:7" ht="13">
      <c r="A446" s="4" t="s">
        <v>114</v>
      </c>
      <c r="B446" s="1">
        <v>4.3499999999999996</v>
      </c>
      <c r="C446" s="1">
        <v>226</v>
      </c>
      <c r="D446" s="1" t="s">
        <v>11</v>
      </c>
      <c r="E446" s="1" t="s">
        <v>15</v>
      </c>
      <c r="F446" s="1">
        <f t="shared" si="20"/>
        <v>434.99999999999994</v>
      </c>
      <c r="G446" s="5">
        <f t="shared" si="19"/>
        <v>0.51954022988505755</v>
      </c>
    </row>
    <row r="447" spans="1:7" ht="13">
      <c r="A447" s="4" t="s">
        <v>114</v>
      </c>
      <c r="B447" s="1">
        <v>6.56</v>
      </c>
      <c r="C447" s="1">
        <v>448</v>
      </c>
      <c r="D447" s="1" t="s">
        <v>11</v>
      </c>
      <c r="E447" s="1" t="s">
        <v>18</v>
      </c>
      <c r="F447" s="1">
        <f t="shared" si="20"/>
        <v>656</v>
      </c>
      <c r="G447" s="5">
        <f t="shared" si="19"/>
        <v>0.68292682926829273</v>
      </c>
    </row>
    <row r="448" spans="1:7" ht="13">
      <c r="A448" s="4" t="s">
        <v>114</v>
      </c>
      <c r="B448" s="1">
        <v>4.3</v>
      </c>
      <c r="C448" s="1">
        <v>239</v>
      </c>
      <c r="D448" s="1" t="s">
        <v>33</v>
      </c>
      <c r="E448" s="1" t="s">
        <v>19</v>
      </c>
      <c r="F448" s="1">
        <f t="shared" si="20"/>
        <v>430</v>
      </c>
      <c r="G448" s="5">
        <f t="shared" si="19"/>
        <v>0.55581395348837215</v>
      </c>
    </row>
    <row r="449" spans="1:7" ht="13">
      <c r="A449" s="4" t="s">
        <v>114</v>
      </c>
      <c r="B449" s="1">
        <v>8.6</v>
      </c>
      <c r="C449" s="1">
        <v>638</v>
      </c>
      <c r="D449" s="1" t="s">
        <v>11</v>
      </c>
      <c r="E449" s="1" t="s">
        <v>20</v>
      </c>
      <c r="F449" s="1">
        <f t="shared" si="20"/>
        <v>860</v>
      </c>
      <c r="G449" s="5">
        <f t="shared" si="19"/>
        <v>0.74186046511627912</v>
      </c>
    </row>
    <row r="450" spans="1:7" ht="13">
      <c r="A450" s="4" t="s">
        <v>114</v>
      </c>
      <c r="B450" s="1">
        <v>7.4</v>
      </c>
      <c r="C450" s="1">
        <v>361</v>
      </c>
      <c r="D450" s="1" t="s">
        <v>45</v>
      </c>
      <c r="E450" s="1" t="s">
        <v>7</v>
      </c>
      <c r="F450" s="1">
        <f t="shared" si="20"/>
        <v>740</v>
      </c>
      <c r="G450" s="5">
        <f t="shared" ref="G450:G513" si="21">C450/F450</f>
        <v>0.48783783783783785</v>
      </c>
    </row>
    <row r="451" spans="1:7" ht="13">
      <c r="A451" s="4" t="s">
        <v>114</v>
      </c>
      <c r="B451" s="1">
        <v>6.1</v>
      </c>
      <c r="C451" s="1">
        <v>451</v>
      </c>
      <c r="D451" s="1" t="s">
        <v>11</v>
      </c>
      <c r="E451" s="1" t="s">
        <v>10</v>
      </c>
      <c r="F451" s="1">
        <f t="shared" ref="F451:F514" si="22">B451*100</f>
        <v>610</v>
      </c>
      <c r="G451" s="5">
        <f t="shared" si="21"/>
        <v>0.73934426229508199</v>
      </c>
    </row>
    <row r="452" spans="1:7" ht="13">
      <c r="A452" s="4" t="s">
        <v>114</v>
      </c>
      <c r="B452" s="1">
        <v>6.75</v>
      </c>
      <c r="C452" s="1">
        <v>410</v>
      </c>
      <c r="D452" s="1" t="s">
        <v>11</v>
      </c>
      <c r="E452" s="1" t="s">
        <v>26</v>
      </c>
      <c r="F452" s="1">
        <f t="shared" si="22"/>
        <v>675</v>
      </c>
      <c r="G452" s="5">
        <f t="shared" si="21"/>
        <v>0.6074074074074074</v>
      </c>
    </row>
    <row r="453" spans="1:7" ht="13">
      <c r="A453" s="4" t="s">
        <v>114</v>
      </c>
      <c r="B453" s="1">
        <v>6.2</v>
      </c>
      <c r="C453" s="1">
        <v>436</v>
      </c>
      <c r="D453" s="1" t="s">
        <v>11</v>
      </c>
      <c r="E453" s="1" t="s">
        <v>12</v>
      </c>
      <c r="F453" s="1">
        <f t="shared" si="22"/>
        <v>620</v>
      </c>
      <c r="G453" s="5">
        <f t="shared" si="21"/>
        <v>0.70322580645161292</v>
      </c>
    </row>
    <row r="454" spans="1:7" ht="13">
      <c r="A454" s="4" t="s">
        <v>114</v>
      </c>
      <c r="B454" s="1">
        <v>5.52</v>
      </c>
      <c r="C454" s="1">
        <v>428</v>
      </c>
      <c r="D454" s="1" t="s">
        <v>11</v>
      </c>
      <c r="E454" s="1" t="s">
        <v>26</v>
      </c>
      <c r="F454" s="1">
        <f t="shared" si="22"/>
        <v>552</v>
      </c>
      <c r="G454" s="5">
        <f t="shared" si="21"/>
        <v>0.77536231884057971</v>
      </c>
    </row>
    <row r="455" spans="1:7" ht="13">
      <c r="A455" s="4" t="s">
        <v>114</v>
      </c>
      <c r="B455" s="1">
        <v>6.88</v>
      </c>
      <c r="C455" s="1">
        <v>479</v>
      </c>
      <c r="D455" s="1" t="s">
        <v>39</v>
      </c>
      <c r="E455" s="1" t="s">
        <v>17</v>
      </c>
      <c r="F455" s="1">
        <f t="shared" si="22"/>
        <v>688</v>
      </c>
      <c r="G455" s="5">
        <f t="shared" si="21"/>
        <v>0.69622093023255816</v>
      </c>
    </row>
    <row r="456" spans="1:7" ht="13">
      <c r="A456" s="4" t="s">
        <v>114</v>
      </c>
      <c r="B456" s="1">
        <v>7.2</v>
      </c>
      <c r="C456" s="1">
        <v>489</v>
      </c>
      <c r="D456" s="1" t="s">
        <v>11</v>
      </c>
      <c r="E456" s="1" t="s">
        <v>28</v>
      </c>
      <c r="F456" s="1">
        <f t="shared" si="22"/>
        <v>720</v>
      </c>
      <c r="G456" s="5">
        <f t="shared" si="21"/>
        <v>0.6791666666666667</v>
      </c>
    </row>
    <row r="457" spans="1:7" ht="13">
      <c r="A457" s="4" t="s">
        <v>114</v>
      </c>
      <c r="B457" s="1">
        <v>7.6</v>
      </c>
      <c r="C457" s="1">
        <v>475</v>
      </c>
      <c r="D457" s="1" t="s">
        <v>33</v>
      </c>
      <c r="E457" s="1" t="s">
        <v>17</v>
      </c>
      <c r="F457" s="1">
        <f t="shared" si="22"/>
        <v>760</v>
      </c>
      <c r="G457" s="5">
        <f t="shared" si="21"/>
        <v>0.625</v>
      </c>
    </row>
    <row r="458" spans="1:7" ht="13">
      <c r="A458" s="4" t="s">
        <v>114</v>
      </c>
      <c r="B458" s="1">
        <v>4.3499999999999996</v>
      </c>
      <c r="C458" s="1">
        <v>350</v>
      </c>
      <c r="D458" s="1" t="s">
        <v>39</v>
      </c>
      <c r="E458" s="1" t="s">
        <v>17</v>
      </c>
      <c r="F458" s="1">
        <f t="shared" si="22"/>
        <v>434.99999999999994</v>
      </c>
      <c r="G458" s="5">
        <f t="shared" si="21"/>
        <v>0.80459770114942541</v>
      </c>
    </row>
    <row r="459" spans="1:7" ht="13">
      <c r="A459" s="4" t="s">
        <v>114</v>
      </c>
      <c r="B459" s="1">
        <v>6</v>
      </c>
      <c r="C459" s="1">
        <v>382</v>
      </c>
      <c r="D459" s="1" t="s">
        <v>11</v>
      </c>
      <c r="E459" s="1" t="s">
        <v>30</v>
      </c>
      <c r="F459" s="1">
        <f t="shared" si="22"/>
        <v>600</v>
      </c>
      <c r="G459" s="5">
        <f t="shared" si="21"/>
        <v>0.63666666666666671</v>
      </c>
    </row>
    <row r="460" spans="1:7" ht="13">
      <c r="A460" s="4" t="s">
        <v>114</v>
      </c>
      <c r="B460" s="1">
        <v>6.88</v>
      </c>
      <c r="C460" s="1">
        <v>528</v>
      </c>
      <c r="D460" s="1" t="s">
        <v>11</v>
      </c>
      <c r="E460" s="1" t="s">
        <v>8</v>
      </c>
      <c r="F460" s="1">
        <f t="shared" si="22"/>
        <v>688</v>
      </c>
      <c r="G460" s="5">
        <f t="shared" si="21"/>
        <v>0.76744186046511631</v>
      </c>
    </row>
    <row r="461" spans="1:7" ht="13">
      <c r="A461" s="4" t="s">
        <v>114</v>
      </c>
      <c r="B461" s="1">
        <v>6.96</v>
      </c>
      <c r="C461" s="1">
        <v>376</v>
      </c>
      <c r="D461" s="1" t="s">
        <v>33</v>
      </c>
      <c r="E461" s="1" t="s">
        <v>12</v>
      </c>
      <c r="F461" s="1">
        <f t="shared" si="22"/>
        <v>696</v>
      </c>
      <c r="G461" s="5">
        <f t="shared" si="21"/>
        <v>0.54022988505747127</v>
      </c>
    </row>
    <row r="462" spans="1:7" ht="13">
      <c r="A462" s="4" t="s">
        <v>114</v>
      </c>
      <c r="B462" s="1">
        <v>7.4</v>
      </c>
      <c r="C462" s="1">
        <v>419</v>
      </c>
      <c r="D462" s="1" t="s">
        <v>38</v>
      </c>
      <c r="E462" s="1" t="s">
        <v>10</v>
      </c>
      <c r="F462" s="1">
        <f t="shared" si="22"/>
        <v>740</v>
      </c>
      <c r="G462" s="5">
        <f t="shared" si="21"/>
        <v>0.56621621621621621</v>
      </c>
    </row>
    <row r="463" spans="1:7" ht="13">
      <c r="A463" s="4" t="s">
        <v>114</v>
      </c>
      <c r="B463" s="1">
        <v>4.9000000000000004</v>
      </c>
      <c r="C463" s="1">
        <v>287</v>
      </c>
      <c r="D463" s="1" t="s">
        <v>38</v>
      </c>
      <c r="E463" s="1" t="s">
        <v>14</v>
      </c>
      <c r="F463" s="1">
        <f t="shared" si="22"/>
        <v>490.00000000000006</v>
      </c>
      <c r="G463" s="5">
        <f t="shared" si="21"/>
        <v>0.58571428571428563</v>
      </c>
    </row>
    <row r="464" spans="1:7" ht="13">
      <c r="A464" s="4" t="s">
        <v>114</v>
      </c>
      <c r="B464" s="1">
        <v>6.8</v>
      </c>
      <c r="C464" s="1">
        <v>438</v>
      </c>
      <c r="D464" s="1" t="s">
        <v>11</v>
      </c>
      <c r="E464" s="1" t="s">
        <v>26</v>
      </c>
      <c r="F464" s="1">
        <f t="shared" si="22"/>
        <v>680</v>
      </c>
      <c r="G464" s="5">
        <f t="shared" si="21"/>
        <v>0.64411764705882357</v>
      </c>
    </row>
    <row r="465" spans="1:7" ht="13">
      <c r="A465" s="4" t="s">
        <v>114</v>
      </c>
      <c r="B465" s="1">
        <v>3.2</v>
      </c>
      <c r="C465" s="1">
        <v>201</v>
      </c>
      <c r="D465" s="1" t="s">
        <v>39</v>
      </c>
      <c r="E465" s="1" t="s">
        <v>17</v>
      </c>
      <c r="F465" s="1">
        <f t="shared" si="22"/>
        <v>320</v>
      </c>
      <c r="G465" s="5">
        <f t="shared" si="21"/>
        <v>0.62812500000000004</v>
      </c>
    </row>
    <row r="466" spans="1:7" ht="13">
      <c r="A466" s="4" t="s">
        <v>114</v>
      </c>
      <c r="B466" s="1">
        <v>7</v>
      </c>
      <c r="C466" s="1">
        <v>391</v>
      </c>
      <c r="D466" s="1" t="s">
        <v>33</v>
      </c>
      <c r="E466" s="1" t="s">
        <v>15</v>
      </c>
      <c r="F466" s="1">
        <f t="shared" si="22"/>
        <v>700</v>
      </c>
      <c r="G466" s="5">
        <f t="shared" si="21"/>
        <v>0.55857142857142861</v>
      </c>
    </row>
    <row r="467" spans="1:7" ht="13">
      <c r="A467" s="4" t="s">
        <v>114</v>
      </c>
      <c r="B467" s="1">
        <v>6.88</v>
      </c>
      <c r="C467" s="1">
        <v>373</v>
      </c>
      <c r="D467" s="1" t="s">
        <v>53</v>
      </c>
      <c r="E467" s="1" t="s">
        <v>16</v>
      </c>
      <c r="F467" s="1">
        <f t="shared" si="22"/>
        <v>688</v>
      </c>
      <c r="G467" s="5">
        <f t="shared" si="21"/>
        <v>0.54215116279069764</v>
      </c>
    </row>
    <row r="468" spans="1:7" ht="13">
      <c r="A468" s="4" t="s">
        <v>114</v>
      </c>
      <c r="B468" s="1">
        <v>6.88</v>
      </c>
      <c r="C468" s="1">
        <v>398</v>
      </c>
      <c r="D468" s="1" t="s">
        <v>33</v>
      </c>
      <c r="E468" s="1" t="s">
        <v>10</v>
      </c>
      <c r="F468" s="1">
        <f t="shared" si="22"/>
        <v>688</v>
      </c>
      <c r="G468" s="5">
        <f t="shared" si="21"/>
        <v>0.57848837209302328</v>
      </c>
    </row>
    <row r="469" spans="1:7" ht="13">
      <c r="A469" s="4" t="s">
        <v>114</v>
      </c>
      <c r="B469" s="1">
        <v>6.8849999999999998</v>
      </c>
      <c r="C469" s="1">
        <v>383</v>
      </c>
      <c r="D469" s="1" t="s">
        <v>44</v>
      </c>
      <c r="E469" s="1" t="s">
        <v>22</v>
      </c>
      <c r="F469" s="1">
        <f t="shared" si="22"/>
        <v>688.5</v>
      </c>
      <c r="G469" s="5">
        <f t="shared" si="21"/>
        <v>0.55628177196804651</v>
      </c>
    </row>
    <row r="470" spans="1:7" ht="13">
      <c r="A470" s="4" t="s">
        <v>114</v>
      </c>
      <c r="B470" s="1">
        <v>6</v>
      </c>
      <c r="C470" s="1">
        <v>313</v>
      </c>
      <c r="D470" s="1" t="s">
        <v>55</v>
      </c>
      <c r="E470" s="1" t="s">
        <v>15</v>
      </c>
      <c r="F470" s="1">
        <f t="shared" si="22"/>
        <v>600</v>
      </c>
      <c r="G470" s="5">
        <f t="shared" si="21"/>
        <v>0.52166666666666661</v>
      </c>
    </row>
    <row r="471" spans="1:7" ht="13">
      <c r="A471" s="4" t="s">
        <v>114</v>
      </c>
      <c r="B471" s="1">
        <v>6</v>
      </c>
      <c r="C471" s="1">
        <v>460</v>
      </c>
      <c r="D471" s="1" t="s">
        <v>11</v>
      </c>
      <c r="E471" s="1" t="s">
        <v>22</v>
      </c>
      <c r="F471" s="1">
        <f t="shared" si="22"/>
        <v>600</v>
      </c>
      <c r="G471" s="5">
        <f t="shared" si="21"/>
        <v>0.76666666666666672</v>
      </c>
    </row>
    <row r="472" spans="1:7" ht="13">
      <c r="A472" s="4" t="s">
        <v>114</v>
      </c>
      <c r="B472" s="1">
        <v>4</v>
      </c>
      <c r="C472" s="1">
        <v>170</v>
      </c>
      <c r="D472" s="1" t="s">
        <v>33</v>
      </c>
      <c r="E472" s="1" t="s">
        <v>15</v>
      </c>
      <c r="F472" s="1">
        <f t="shared" si="22"/>
        <v>400</v>
      </c>
      <c r="G472" s="5">
        <f t="shared" si="21"/>
        <v>0.42499999999999999</v>
      </c>
    </row>
    <row r="473" spans="1:7" ht="13">
      <c r="A473" s="4" t="s">
        <v>114</v>
      </c>
      <c r="B473" s="1">
        <v>5.92</v>
      </c>
      <c r="C473" s="1">
        <v>432</v>
      </c>
      <c r="D473" s="1" t="s">
        <v>38</v>
      </c>
      <c r="E473" s="1" t="s">
        <v>31</v>
      </c>
      <c r="F473" s="1">
        <f t="shared" si="22"/>
        <v>592</v>
      </c>
      <c r="G473" s="5">
        <f t="shared" si="21"/>
        <v>0.72972972972972971</v>
      </c>
    </row>
    <row r="474" spans="1:7" ht="13">
      <c r="A474" s="4" t="s">
        <v>114</v>
      </c>
      <c r="B474" s="1">
        <v>5.4</v>
      </c>
      <c r="C474" s="1">
        <v>359</v>
      </c>
      <c r="D474" s="1" t="s">
        <v>35</v>
      </c>
      <c r="E474" s="1" t="s">
        <v>8</v>
      </c>
      <c r="F474" s="1">
        <f t="shared" si="22"/>
        <v>540</v>
      </c>
      <c r="G474" s="5">
        <f t="shared" si="21"/>
        <v>0.66481481481481486</v>
      </c>
    </row>
    <row r="475" spans="1:7" ht="13">
      <c r="A475" s="4" t="s">
        <v>114</v>
      </c>
      <c r="B475" s="1">
        <v>4</v>
      </c>
      <c r="C475" s="1">
        <v>274</v>
      </c>
      <c r="D475" s="1" t="s">
        <v>11</v>
      </c>
      <c r="E475" s="1" t="s">
        <v>24</v>
      </c>
      <c r="F475" s="1">
        <f t="shared" si="22"/>
        <v>400</v>
      </c>
      <c r="G475" s="5">
        <f t="shared" si="21"/>
        <v>0.68500000000000005</v>
      </c>
    </row>
    <row r="476" spans="1:7" ht="13">
      <c r="A476" s="4" t="s">
        <v>114</v>
      </c>
      <c r="B476" s="1">
        <v>4.92</v>
      </c>
      <c r="C476" s="1">
        <v>367</v>
      </c>
      <c r="D476" s="1" t="s">
        <v>11</v>
      </c>
      <c r="E476" s="1" t="s">
        <v>17</v>
      </c>
      <c r="F476" s="1">
        <f t="shared" si="22"/>
        <v>492</v>
      </c>
      <c r="G476" s="5">
        <f t="shared" si="21"/>
        <v>0.74593495934959353</v>
      </c>
    </row>
    <row r="477" spans="1:7" ht="13">
      <c r="A477" s="4" t="s">
        <v>114</v>
      </c>
      <c r="B477" s="1">
        <v>4</v>
      </c>
      <c r="C477" s="1">
        <v>222</v>
      </c>
      <c r="D477" s="1" t="s">
        <v>33</v>
      </c>
      <c r="E477" s="1" t="s">
        <v>22</v>
      </c>
      <c r="F477" s="1">
        <f t="shared" si="22"/>
        <v>400</v>
      </c>
      <c r="G477" s="5">
        <f t="shared" si="21"/>
        <v>0.55500000000000005</v>
      </c>
    </row>
    <row r="478" spans="1:7" ht="13">
      <c r="A478" s="4" t="s">
        <v>114</v>
      </c>
      <c r="B478" s="1">
        <v>8.6999999999999993</v>
      </c>
      <c r="C478" s="1">
        <v>558</v>
      </c>
      <c r="D478" s="1" t="s">
        <v>11</v>
      </c>
      <c r="E478" s="1" t="s">
        <v>8</v>
      </c>
      <c r="F478" s="1">
        <f t="shared" si="22"/>
        <v>869.99999999999989</v>
      </c>
      <c r="G478" s="5">
        <f t="shared" si="21"/>
        <v>0.64137931034482765</v>
      </c>
    </row>
    <row r="479" spans="1:7" ht="13">
      <c r="A479" s="4" t="s">
        <v>114</v>
      </c>
      <c r="B479" s="1">
        <v>8.1</v>
      </c>
      <c r="C479" s="1">
        <v>569</v>
      </c>
      <c r="D479" s="1" t="s">
        <v>33</v>
      </c>
      <c r="E479" s="1" t="s">
        <v>12</v>
      </c>
      <c r="F479" s="1">
        <f t="shared" si="22"/>
        <v>810</v>
      </c>
      <c r="G479" s="5">
        <f t="shared" si="21"/>
        <v>0.70246913580246917</v>
      </c>
    </row>
    <row r="480" spans="1:7" ht="13">
      <c r="A480" s="4" t="s">
        <v>114</v>
      </c>
      <c r="B480" s="1">
        <v>4.3499999999999996</v>
      </c>
      <c r="C480" s="1">
        <v>400</v>
      </c>
      <c r="D480" s="1" t="s">
        <v>43</v>
      </c>
      <c r="E480" s="1" t="s">
        <v>9</v>
      </c>
      <c r="F480" s="1">
        <f t="shared" si="22"/>
        <v>434.99999999999994</v>
      </c>
      <c r="G480" s="5">
        <f t="shared" si="21"/>
        <v>0.91954022988505757</v>
      </c>
    </row>
    <row r="481" spans="1:7" ht="13">
      <c r="A481" s="4" t="s">
        <v>114</v>
      </c>
      <c r="B481" s="1">
        <v>6.1</v>
      </c>
      <c r="C481" s="1">
        <v>359</v>
      </c>
      <c r="D481" s="1" t="s">
        <v>48</v>
      </c>
      <c r="E481" s="1" t="s">
        <v>23</v>
      </c>
      <c r="F481" s="1">
        <f t="shared" si="22"/>
        <v>610</v>
      </c>
      <c r="G481" s="5">
        <f t="shared" si="21"/>
        <v>0.58852459016393444</v>
      </c>
    </row>
    <row r="482" spans="1:7" ht="13">
      <c r="A482" s="4" t="s">
        <v>114</v>
      </c>
      <c r="B482" s="1">
        <v>5.5</v>
      </c>
      <c r="C482" s="1">
        <v>363</v>
      </c>
      <c r="D482" s="1" t="s">
        <v>42</v>
      </c>
      <c r="E482" s="1" t="s">
        <v>17</v>
      </c>
      <c r="F482" s="1">
        <f t="shared" si="22"/>
        <v>550</v>
      </c>
      <c r="G482" s="5">
        <f t="shared" si="21"/>
        <v>0.66</v>
      </c>
    </row>
    <row r="483" spans="1:7" ht="13">
      <c r="A483" s="4" t="s">
        <v>114</v>
      </c>
      <c r="B483" s="1">
        <v>4</v>
      </c>
      <c r="C483" s="1">
        <v>192</v>
      </c>
      <c r="D483" s="1" t="s">
        <v>50</v>
      </c>
      <c r="E483" s="1" t="s">
        <v>15</v>
      </c>
      <c r="F483" s="1">
        <f t="shared" si="22"/>
        <v>400</v>
      </c>
      <c r="G483" s="5">
        <f t="shared" si="21"/>
        <v>0.48</v>
      </c>
    </row>
    <row r="484" spans="1:7" ht="13">
      <c r="A484" s="4" t="s">
        <v>114</v>
      </c>
      <c r="B484" s="1">
        <v>5.8</v>
      </c>
      <c r="C484" s="1">
        <v>428</v>
      </c>
      <c r="D484" s="1" t="s">
        <v>11</v>
      </c>
      <c r="E484" s="1" t="s">
        <v>16</v>
      </c>
      <c r="F484" s="1">
        <f t="shared" si="22"/>
        <v>580</v>
      </c>
      <c r="G484" s="5">
        <f t="shared" si="21"/>
        <v>0.73793103448275865</v>
      </c>
    </row>
    <row r="485" spans="1:7" ht="13">
      <c r="A485" s="4" t="s">
        <v>114</v>
      </c>
      <c r="B485" s="1">
        <v>6.5</v>
      </c>
      <c r="C485" s="1">
        <v>443</v>
      </c>
      <c r="D485" s="1" t="s">
        <v>72</v>
      </c>
      <c r="E485" s="1" t="s">
        <v>8</v>
      </c>
      <c r="F485" s="1">
        <f t="shared" si="22"/>
        <v>650</v>
      </c>
      <c r="G485" s="5">
        <f t="shared" si="21"/>
        <v>0.68153846153846154</v>
      </c>
    </row>
    <row r="486" spans="1:7" ht="13">
      <c r="A486" s="4" t="s">
        <v>114</v>
      </c>
      <c r="B486" s="1">
        <v>6</v>
      </c>
      <c r="C486" s="1">
        <v>405</v>
      </c>
      <c r="D486" s="1" t="s">
        <v>42</v>
      </c>
      <c r="E486" s="1" t="s">
        <v>26</v>
      </c>
      <c r="F486" s="1">
        <f t="shared" si="22"/>
        <v>600</v>
      </c>
      <c r="G486" s="5">
        <f t="shared" si="21"/>
        <v>0.67500000000000004</v>
      </c>
    </row>
    <row r="487" spans="1:7" ht="13">
      <c r="A487" s="4" t="s">
        <v>114</v>
      </c>
      <c r="B487" s="1">
        <v>6.88</v>
      </c>
      <c r="C487" s="1">
        <v>350</v>
      </c>
      <c r="D487" s="1" t="s">
        <v>73</v>
      </c>
      <c r="E487" s="1" t="s">
        <v>32</v>
      </c>
      <c r="F487" s="1">
        <f t="shared" si="22"/>
        <v>688</v>
      </c>
      <c r="G487" s="5">
        <f t="shared" si="21"/>
        <v>0.50872093023255816</v>
      </c>
    </row>
    <row r="488" spans="1:7" ht="13">
      <c r="A488" s="4" t="s">
        <v>114</v>
      </c>
      <c r="B488" s="1">
        <v>7.1</v>
      </c>
      <c r="C488" s="1">
        <v>493</v>
      </c>
      <c r="D488" s="1" t="s">
        <v>47</v>
      </c>
      <c r="E488" s="1" t="s">
        <v>25</v>
      </c>
      <c r="F488" s="1">
        <f t="shared" si="22"/>
        <v>710</v>
      </c>
      <c r="G488" s="5">
        <f t="shared" si="21"/>
        <v>0.69436619718309855</v>
      </c>
    </row>
    <row r="489" spans="1:7" ht="13">
      <c r="A489" s="4" t="s">
        <v>114</v>
      </c>
      <c r="B489" s="1">
        <v>7.74</v>
      </c>
      <c r="C489" s="1">
        <v>501</v>
      </c>
      <c r="D489" s="1" t="s">
        <v>44</v>
      </c>
      <c r="E489" s="1" t="s">
        <v>9</v>
      </c>
      <c r="F489" s="1">
        <f t="shared" si="22"/>
        <v>774</v>
      </c>
      <c r="G489" s="5">
        <f t="shared" si="21"/>
        <v>0.6472868217054264</v>
      </c>
    </row>
    <row r="490" spans="1:7" ht="13">
      <c r="A490" s="4" t="s">
        <v>114</v>
      </c>
      <c r="B490" s="1">
        <v>7.8</v>
      </c>
      <c r="C490" s="1">
        <v>494</v>
      </c>
      <c r="D490" s="1" t="s">
        <v>44</v>
      </c>
      <c r="E490" s="1" t="s">
        <v>12</v>
      </c>
      <c r="F490" s="1">
        <f t="shared" si="22"/>
        <v>780</v>
      </c>
      <c r="G490" s="5">
        <f t="shared" si="21"/>
        <v>0.6333333333333333</v>
      </c>
    </row>
    <row r="491" spans="1:7" ht="13">
      <c r="A491" s="4" t="s">
        <v>114</v>
      </c>
      <c r="B491" s="1">
        <v>6.8</v>
      </c>
      <c r="C491" s="1">
        <v>503</v>
      </c>
      <c r="D491" s="1" t="s">
        <v>11</v>
      </c>
      <c r="E491" s="1" t="s">
        <v>23</v>
      </c>
      <c r="F491" s="1">
        <f t="shared" si="22"/>
        <v>680</v>
      </c>
      <c r="G491" s="5">
        <f t="shared" si="21"/>
        <v>0.73970588235294121</v>
      </c>
    </row>
    <row r="492" spans="1:7" ht="13">
      <c r="A492" s="4" t="s">
        <v>114</v>
      </c>
      <c r="B492" s="1">
        <v>14</v>
      </c>
      <c r="C492" s="1">
        <v>353</v>
      </c>
      <c r="D492" s="1" t="s">
        <v>33</v>
      </c>
      <c r="E492" s="1" t="s">
        <v>30</v>
      </c>
      <c r="F492" s="1">
        <f t="shared" si="22"/>
        <v>1400</v>
      </c>
      <c r="G492" s="5">
        <f t="shared" si="21"/>
        <v>0.25214285714285717</v>
      </c>
    </row>
    <row r="493" spans="1:7" ht="13">
      <c r="A493" s="4" t="s">
        <v>114</v>
      </c>
      <c r="B493" s="1">
        <v>7</v>
      </c>
      <c r="C493" s="1">
        <v>423</v>
      </c>
      <c r="D493" s="1" t="s">
        <v>11</v>
      </c>
      <c r="E493" s="1" t="s">
        <v>8</v>
      </c>
      <c r="F493" s="1">
        <f t="shared" si="22"/>
        <v>700</v>
      </c>
      <c r="G493" s="5">
        <f t="shared" si="21"/>
        <v>0.60428571428571431</v>
      </c>
    </row>
    <row r="494" spans="1:7" ht="13">
      <c r="A494" s="4" t="s">
        <v>114</v>
      </c>
      <c r="B494" s="1">
        <v>6.72</v>
      </c>
      <c r="C494" s="1">
        <v>483</v>
      </c>
      <c r="D494" s="1" t="s">
        <v>11</v>
      </c>
      <c r="E494" s="1" t="s">
        <v>17</v>
      </c>
      <c r="F494" s="1">
        <f t="shared" si="22"/>
        <v>672</v>
      </c>
      <c r="G494" s="5">
        <f t="shared" si="21"/>
        <v>0.71875</v>
      </c>
    </row>
    <row r="495" spans="1:7" ht="13">
      <c r="A495" s="4" t="s">
        <v>114</v>
      </c>
      <c r="B495" s="1">
        <v>7.29</v>
      </c>
      <c r="C495" s="1">
        <v>435</v>
      </c>
      <c r="D495" s="1" t="s">
        <v>11</v>
      </c>
      <c r="E495" s="1" t="s">
        <v>27</v>
      </c>
      <c r="F495" s="1">
        <f t="shared" si="22"/>
        <v>729</v>
      </c>
      <c r="G495" s="5">
        <f t="shared" si="21"/>
        <v>0.5967078189300411</v>
      </c>
    </row>
    <row r="496" spans="1:7" ht="13">
      <c r="A496" s="4" t="s">
        <v>114</v>
      </c>
      <c r="B496" s="1">
        <v>8.1</v>
      </c>
      <c r="C496" s="1">
        <v>435</v>
      </c>
      <c r="D496" s="1" t="s">
        <v>33</v>
      </c>
      <c r="E496" s="1" t="s">
        <v>17</v>
      </c>
      <c r="F496" s="1">
        <f t="shared" si="22"/>
        <v>810</v>
      </c>
      <c r="G496" s="5">
        <f t="shared" si="21"/>
        <v>0.53703703703703709</v>
      </c>
    </row>
    <row r="497" spans="1:7" ht="13">
      <c r="A497" s="4" t="s">
        <v>114</v>
      </c>
      <c r="B497" s="1">
        <v>7.9</v>
      </c>
      <c r="C497" s="1">
        <v>550</v>
      </c>
      <c r="D497" s="1" t="s">
        <v>35</v>
      </c>
      <c r="E497" s="1" t="s">
        <v>8</v>
      </c>
      <c r="F497" s="1">
        <f t="shared" si="22"/>
        <v>790</v>
      </c>
      <c r="G497" s="5">
        <f t="shared" si="21"/>
        <v>0.69620253164556967</v>
      </c>
    </row>
    <row r="498" spans="1:7" ht="13">
      <c r="A498" s="4" t="s">
        <v>114</v>
      </c>
      <c r="B498" s="1">
        <v>4.5</v>
      </c>
      <c r="C498" s="1">
        <v>235</v>
      </c>
      <c r="D498" s="1" t="s">
        <v>33</v>
      </c>
      <c r="E498" s="1" t="s">
        <v>8</v>
      </c>
      <c r="F498" s="1">
        <f t="shared" si="22"/>
        <v>450</v>
      </c>
      <c r="G498" s="5">
        <f t="shared" si="21"/>
        <v>0.52222222222222225</v>
      </c>
    </row>
    <row r="499" spans="1:7" ht="13">
      <c r="A499" s="4" t="s">
        <v>114</v>
      </c>
      <c r="B499" s="1">
        <v>5</v>
      </c>
      <c r="C499" s="1">
        <v>294</v>
      </c>
      <c r="D499" s="1" t="s">
        <v>33</v>
      </c>
      <c r="E499" s="1" t="s">
        <v>15</v>
      </c>
      <c r="F499" s="1">
        <f t="shared" si="22"/>
        <v>500</v>
      </c>
      <c r="G499" s="5">
        <f t="shared" si="21"/>
        <v>0.58799999999999997</v>
      </c>
    </row>
    <row r="500" spans="1:7" ht="13">
      <c r="A500" s="4" t="s">
        <v>114</v>
      </c>
      <c r="B500" s="1">
        <v>7</v>
      </c>
      <c r="C500" s="1">
        <v>434</v>
      </c>
      <c r="D500" s="1" t="s">
        <v>11</v>
      </c>
      <c r="E500" s="1" t="s">
        <v>10</v>
      </c>
      <c r="F500" s="1">
        <f t="shared" si="22"/>
        <v>700</v>
      </c>
      <c r="G500" s="5">
        <f t="shared" si="21"/>
        <v>0.62</v>
      </c>
    </row>
    <row r="501" spans="1:7" ht="13">
      <c r="A501" s="4" t="s">
        <v>114</v>
      </c>
      <c r="B501" s="1">
        <v>4.8</v>
      </c>
      <c r="C501" s="1">
        <v>256</v>
      </c>
      <c r="D501" s="1" t="s">
        <v>42</v>
      </c>
      <c r="E501" s="1" t="s">
        <v>12</v>
      </c>
      <c r="F501" s="1">
        <f t="shared" si="22"/>
        <v>480</v>
      </c>
      <c r="G501" s="5">
        <f t="shared" si="21"/>
        <v>0.53333333333333333</v>
      </c>
    </row>
    <row r="502" spans="1:7" ht="13">
      <c r="A502" s="4" t="s">
        <v>114</v>
      </c>
      <c r="B502" s="1">
        <v>3.9</v>
      </c>
      <c r="C502" s="1">
        <v>279</v>
      </c>
      <c r="D502" s="1" t="s">
        <v>11</v>
      </c>
      <c r="E502" s="1" t="s">
        <v>19</v>
      </c>
      <c r="F502" s="1">
        <f t="shared" si="22"/>
        <v>390</v>
      </c>
      <c r="G502" s="5">
        <f t="shared" si="21"/>
        <v>0.7153846153846154</v>
      </c>
    </row>
    <row r="503" spans="1:7" ht="13">
      <c r="A503" s="4" t="s">
        <v>114</v>
      </c>
      <c r="B503" s="1">
        <v>5.8</v>
      </c>
      <c r="C503" s="1">
        <v>331</v>
      </c>
      <c r="D503" s="1" t="s">
        <v>74</v>
      </c>
      <c r="E503" s="1" t="s">
        <v>10</v>
      </c>
      <c r="F503" s="1">
        <f t="shared" si="22"/>
        <v>580</v>
      </c>
      <c r="G503" s="5">
        <f t="shared" si="21"/>
        <v>0.57068965517241377</v>
      </c>
    </row>
    <row r="504" spans="1:7" ht="13">
      <c r="A504" s="4" t="s">
        <v>114</v>
      </c>
      <c r="B504" s="1">
        <v>4</v>
      </c>
      <c r="C504" s="1">
        <v>262</v>
      </c>
      <c r="D504" s="1" t="s">
        <v>47</v>
      </c>
      <c r="E504" s="1" t="s">
        <v>31</v>
      </c>
      <c r="F504" s="1">
        <f t="shared" si="22"/>
        <v>400</v>
      </c>
      <c r="G504" s="5">
        <f t="shared" si="21"/>
        <v>0.65500000000000003</v>
      </c>
    </row>
    <row r="505" spans="1:7" ht="13">
      <c r="A505" s="4" t="s">
        <v>114</v>
      </c>
      <c r="B505" s="1">
        <v>6.3</v>
      </c>
      <c r="C505" s="1">
        <v>401</v>
      </c>
      <c r="D505" s="1" t="s">
        <v>39</v>
      </c>
      <c r="E505" s="1" t="s">
        <v>23</v>
      </c>
      <c r="F505" s="1">
        <f t="shared" si="22"/>
        <v>630</v>
      </c>
      <c r="G505" s="5">
        <f t="shared" si="21"/>
        <v>0.63650793650793647</v>
      </c>
    </row>
    <row r="506" spans="1:7" ht="13">
      <c r="A506" s="4" t="s">
        <v>114</v>
      </c>
      <c r="B506" s="1">
        <v>6</v>
      </c>
      <c r="C506" s="1">
        <v>303</v>
      </c>
      <c r="D506" s="1" t="s">
        <v>67</v>
      </c>
      <c r="E506" s="1" t="s">
        <v>19</v>
      </c>
      <c r="F506" s="1">
        <f t="shared" si="22"/>
        <v>600</v>
      </c>
      <c r="G506" s="5">
        <f t="shared" si="21"/>
        <v>0.505</v>
      </c>
    </row>
    <row r="507" spans="1:7" ht="13">
      <c r="A507" s="4" t="s">
        <v>114</v>
      </c>
      <c r="B507" s="1">
        <v>6.23</v>
      </c>
      <c r="C507" s="1">
        <v>492</v>
      </c>
      <c r="D507" s="1" t="s">
        <v>11</v>
      </c>
      <c r="E507" s="1" t="s">
        <v>17</v>
      </c>
      <c r="F507" s="1">
        <f t="shared" si="22"/>
        <v>623</v>
      </c>
      <c r="G507" s="5">
        <f t="shared" si="21"/>
        <v>0.7897271268057785</v>
      </c>
    </row>
    <row r="508" spans="1:7" ht="13">
      <c r="A508" s="4" t="s">
        <v>114</v>
      </c>
      <c r="B508" s="1">
        <v>9.8000000000000007</v>
      </c>
      <c r="C508" s="1">
        <v>512</v>
      </c>
      <c r="D508" s="1" t="s">
        <v>33</v>
      </c>
      <c r="E508" s="1" t="s">
        <v>22</v>
      </c>
      <c r="F508" s="1">
        <f t="shared" si="22"/>
        <v>980.00000000000011</v>
      </c>
      <c r="G508" s="5">
        <f t="shared" si="21"/>
        <v>0.52244897959183667</v>
      </c>
    </row>
    <row r="509" spans="1:7" ht="13">
      <c r="A509" s="4" t="s">
        <v>114</v>
      </c>
      <c r="B509" s="1">
        <v>6.2</v>
      </c>
      <c r="C509" s="1">
        <v>429</v>
      </c>
      <c r="D509" s="1" t="s">
        <v>11</v>
      </c>
      <c r="E509" s="1" t="s">
        <v>22</v>
      </c>
      <c r="F509" s="1">
        <f t="shared" si="22"/>
        <v>620</v>
      </c>
      <c r="G509" s="5">
        <f t="shared" si="21"/>
        <v>0.6919354838709677</v>
      </c>
    </row>
    <row r="510" spans="1:7" ht="13">
      <c r="A510" s="4" t="s">
        <v>114</v>
      </c>
      <c r="B510" s="1">
        <v>5.2</v>
      </c>
      <c r="C510" s="1">
        <v>328</v>
      </c>
      <c r="D510" s="1" t="s">
        <v>39</v>
      </c>
      <c r="E510" s="1" t="s">
        <v>18</v>
      </c>
      <c r="F510" s="1">
        <f t="shared" si="22"/>
        <v>520</v>
      </c>
      <c r="G510" s="5">
        <f t="shared" si="21"/>
        <v>0.63076923076923075</v>
      </c>
    </row>
    <row r="511" spans="1:7" ht="13">
      <c r="A511" s="4" t="s">
        <v>114</v>
      </c>
      <c r="B511" s="1">
        <v>3.44</v>
      </c>
      <c r="C511" s="1">
        <v>277</v>
      </c>
      <c r="D511" s="1" t="s">
        <v>43</v>
      </c>
      <c r="E511" s="1" t="s">
        <v>8</v>
      </c>
      <c r="F511" s="1">
        <f t="shared" si="22"/>
        <v>344</v>
      </c>
      <c r="G511" s="5">
        <f t="shared" si="21"/>
        <v>0.80523255813953487</v>
      </c>
    </row>
    <row r="512" spans="1:7" ht="13">
      <c r="A512" s="4" t="s">
        <v>114</v>
      </c>
      <c r="B512" s="1">
        <v>7.74</v>
      </c>
      <c r="C512" s="1">
        <v>606.79999999999995</v>
      </c>
      <c r="D512" s="1" t="s">
        <v>11</v>
      </c>
      <c r="E512" s="1" t="s">
        <v>20</v>
      </c>
      <c r="F512" s="1">
        <f t="shared" si="22"/>
        <v>774</v>
      </c>
      <c r="G512" s="5">
        <f t="shared" si="21"/>
        <v>0.78397932816537463</v>
      </c>
    </row>
    <row r="513" spans="1:7" ht="13">
      <c r="A513" s="4" t="s">
        <v>114</v>
      </c>
      <c r="B513" s="1">
        <v>9.5</v>
      </c>
      <c r="C513" s="1">
        <v>490</v>
      </c>
      <c r="D513" s="1" t="s">
        <v>33</v>
      </c>
      <c r="E513" s="1" t="s">
        <v>18</v>
      </c>
      <c r="F513" s="1">
        <f t="shared" si="22"/>
        <v>950</v>
      </c>
      <c r="G513" s="5">
        <f t="shared" si="21"/>
        <v>0.51578947368421058</v>
      </c>
    </row>
    <row r="514" spans="1:7" ht="13">
      <c r="A514" s="4" t="s">
        <v>114</v>
      </c>
      <c r="B514" s="1">
        <v>6.09</v>
      </c>
      <c r="C514" s="1">
        <v>418.32</v>
      </c>
      <c r="D514" s="1" t="s">
        <v>43</v>
      </c>
      <c r="E514" s="1" t="s">
        <v>8</v>
      </c>
      <c r="F514" s="1">
        <f t="shared" si="22"/>
        <v>609</v>
      </c>
      <c r="G514" s="5">
        <f t="shared" ref="G514:G577" si="23">C514/F514</f>
        <v>0.68689655172413788</v>
      </c>
    </row>
    <row r="515" spans="1:7" ht="13">
      <c r="A515" s="4" t="s">
        <v>114</v>
      </c>
      <c r="B515" s="1">
        <v>7.2</v>
      </c>
      <c r="C515" s="1">
        <v>498</v>
      </c>
      <c r="D515" s="1" t="s">
        <v>47</v>
      </c>
      <c r="E515" s="1" t="s">
        <v>17</v>
      </c>
      <c r="F515" s="1">
        <f t="shared" ref="F515:F578" si="24">B515*100</f>
        <v>720</v>
      </c>
      <c r="G515" s="5">
        <f t="shared" si="23"/>
        <v>0.69166666666666665</v>
      </c>
    </row>
    <row r="516" spans="1:7" ht="13">
      <c r="A516" s="4" t="s">
        <v>114</v>
      </c>
      <c r="B516" s="1">
        <v>7.8</v>
      </c>
      <c r="C516" s="1">
        <v>420</v>
      </c>
      <c r="D516" s="1" t="s">
        <v>33</v>
      </c>
      <c r="E516" s="1" t="s">
        <v>30</v>
      </c>
      <c r="F516" s="1">
        <f t="shared" si="24"/>
        <v>780</v>
      </c>
      <c r="G516" s="5">
        <f t="shared" si="23"/>
        <v>0.53846153846153844</v>
      </c>
    </row>
    <row r="517" spans="1:7" ht="13">
      <c r="A517" s="4" t="s">
        <v>114</v>
      </c>
      <c r="B517" s="1">
        <v>8.4</v>
      </c>
      <c r="C517" s="1">
        <v>484</v>
      </c>
      <c r="D517" s="1" t="s">
        <v>33</v>
      </c>
      <c r="E517" s="1" t="s">
        <v>25</v>
      </c>
      <c r="F517" s="1">
        <f t="shared" si="24"/>
        <v>840</v>
      </c>
      <c r="G517" s="5">
        <f t="shared" si="23"/>
        <v>0.57619047619047614</v>
      </c>
    </row>
    <row r="518" spans="1:7" ht="13">
      <c r="A518" s="4" t="s">
        <v>114</v>
      </c>
      <c r="B518" s="1">
        <v>3</v>
      </c>
      <c r="C518" s="1">
        <v>239.05</v>
      </c>
      <c r="D518" s="1" t="s">
        <v>11</v>
      </c>
      <c r="E518" s="1" t="s">
        <v>25</v>
      </c>
      <c r="F518" s="1">
        <f t="shared" si="24"/>
        <v>300</v>
      </c>
      <c r="G518" s="5">
        <f t="shared" si="23"/>
        <v>0.79683333333333339</v>
      </c>
    </row>
    <row r="519" spans="1:7" ht="13">
      <c r="A519" s="4" t="s">
        <v>114</v>
      </c>
      <c r="B519" s="1">
        <v>3.8</v>
      </c>
      <c r="C519" s="1">
        <v>238</v>
      </c>
      <c r="D519" s="1" t="s">
        <v>11</v>
      </c>
      <c r="E519" s="1" t="s">
        <v>31</v>
      </c>
      <c r="F519" s="1">
        <f t="shared" si="24"/>
        <v>380</v>
      </c>
      <c r="G519" s="5">
        <f t="shared" si="23"/>
        <v>0.62631578947368416</v>
      </c>
    </row>
    <row r="520" spans="1:7" ht="13">
      <c r="A520" s="4" t="s">
        <v>114</v>
      </c>
      <c r="B520" s="1">
        <v>6.5</v>
      </c>
      <c r="C520" s="1">
        <v>540</v>
      </c>
      <c r="D520" s="1" t="s">
        <v>11</v>
      </c>
      <c r="E520" s="1" t="s">
        <v>17</v>
      </c>
      <c r="F520" s="1">
        <f t="shared" si="24"/>
        <v>650</v>
      </c>
      <c r="G520" s="5">
        <f t="shared" si="23"/>
        <v>0.83076923076923082</v>
      </c>
    </row>
    <row r="521" spans="1:7" ht="13">
      <c r="A521" s="4" t="s">
        <v>114</v>
      </c>
      <c r="B521" s="1">
        <v>6.44</v>
      </c>
      <c r="C521" s="1">
        <v>447</v>
      </c>
      <c r="D521" s="1" t="s">
        <v>42</v>
      </c>
      <c r="E521" s="1" t="s">
        <v>22</v>
      </c>
      <c r="F521" s="1">
        <f t="shared" si="24"/>
        <v>644</v>
      </c>
      <c r="G521" s="5">
        <f t="shared" si="23"/>
        <v>0.69409937888198758</v>
      </c>
    </row>
    <row r="522" spans="1:7" ht="13">
      <c r="A522" s="4" t="s">
        <v>114</v>
      </c>
      <c r="B522" s="1">
        <v>5.12</v>
      </c>
      <c r="C522" s="1">
        <v>321.2</v>
      </c>
      <c r="D522" s="1" t="s">
        <v>39</v>
      </c>
      <c r="E522" s="1" t="s">
        <v>15</v>
      </c>
      <c r="F522" s="1">
        <f t="shared" si="24"/>
        <v>512</v>
      </c>
      <c r="G522" s="5">
        <f t="shared" si="23"/>
        <v>0.62734374999999998</v>
      </c>
    </row>
    <row r="523" spans="1:7" ht="13">
      <c r="A523" s="4" t="s">
        <v>114</v>
      </c>
      <c r="B523" s="1">
        <v>6</v>
      </c>
      <c r="C523" s="1">
        <v>459.23</v>
      </c>
      <c r="D523" s="1" t="s">
        <v>11</v>
      </c>
      <c r="E523" s="1" t="s">
        <v>23</v>
      </c>
      <c r="F523" s="1">
        <f t="shared" si="24"/>
        <v>600</v>
      </c>
      <c r="G523" s="5">
        <f t="shared" si="23"/>
        <v>0.76538333333333342</v>
      </c>
    </row>
    <row r="524" spans="1:7" ht="13">
      <c r="A524" s="4" t="s">
        <v>114</v>
      </c>
      <c r="B524" s="1">
        <v>7.4</v>
      </c>
      <c r="C524" s="1">
        <v>431</v>
      </c>
      <c r="D524" s="1" t="s">
        <v>33</v>
      </c>
      <c r="E524" s="1" t="s">
        <v>7</v>
      </c>
      <c r="F524" s="1">
        <f t="shared" si="24"/>
        <v>740</v>
      </c>
      <c r="G524" s="5">
        <f t="shared" si="23"/>
        <v>0.58243243243243248</v>
      </c>
    </row>
    <row r="525" spans="1:7" ht="13">
      <c r="A525" s="4" t="s">
        <v>114</v>
      </c>
      <c r="B525" s="1">
        <v>8.8000000000000007</v>
      </c>
      <c r="C525" s="1">
        <v>550</v>
      </c>
      <c r="D525" s="1" t="s">
        <v>47</v>
      </c>
      <c r="E525" s="1" t="s">
        <v>30</v>
      </c>
      <c r="F525" s="1">
        <f t="shared" si="24"/>
        <v>880.00000000000011</v>
      </c>
      <c r="G525" s="5">
        <f t="shared" si="23"/>
        <v>0.62499999999999989</v>
      </c>
    </row>
    <row r="526" spans="1:7" ht="13">
      <c r="A526" s="4" t="s">
        <v>114</v>
      </c>
      <c r="B526" s="1">
        <v>3.9</v>
      </c>
      <c r="C526" s="1">
        <v>240</v>
      </c>
      <c r="D526" s="1" t="s">
        <v>11</v>
      </c>
      <c r="E526" s="1" t="s">
        <v>15</v>
      </c>
      <c r="F526" s="1">
        <f t="shared" si="24"/>
        <v>390</v>
      </c>
      <c r="G526" s="5">
        <f t="shared" si="23"/>
        <v>0.61538461538461542</v>
      </c>
    </row>
    <row r="527" spans="1:7" ht="13">
      <c r="A527" s="4" t="s">
        <v>114</v>
      </c>
      <c r="B527" s="1">
        <v>7.9</v>
      </c>
      <c r="C527" s="1">
        <v>466</v>
      </c>
      <c r="D527" s="1" t="s">
        <v>11</v>
      </c>
      <c r="E527" s="1" t="s">
        <v>27</v>
      </c>
      <c r="F527" s="1">
        <f t="shared" si="24"/>
        <v>790</v>
      </c>
      <c r="G527" s="5">
        <f t="shared" si="23"/>
        <v>0.58987341772151902</v>
      </c>
    </row>
    <row r="528" spans="1:7" ht="13">
      <c r="A528" s="4" t="s">
        <v>114</v>
      </c>
      <c r="B528" s="1">
        <v>5</v>
      </c>
      <c r="C528" s="1">
        <v>359</v>
      </c>
      <c r="D528" s="1" t="s">
        <v>43</v>
      </c>
      <c r="E528" s="1" t="s">
        <v>17</v>
      </c>
      <c r="F528" s="1">
        <f t="shared" si="24"/>
        <v>500</v>
      </c>
      <c r="G528" s="5">
        <f t="shared" si="23"/>
        <v>0.71799999999999997</v>
      </c>
    </row>
    <row r="529" spans="1:7" ht="13">
      <c r="A529" s="4" t="s">
        <v>114</v>
      </c>
      <c r="B529" s="1">
        <v>7.4</v>
      </c>
      <c r="C529" s="1">
        <v>469</v>
      </c>
      <c r="D529" s="1" t="s">
        <v>11</v>
      </c>
      <c r="E529" s="1" t="s">
        <v>17</v>
      </c>
      <c r="F529" s="1">
        <f t="shared" si="24"/>
        <v>740</v>
      </c>
      <c r="G529" s="5">
        <f t="shared" si="23"/>
        <v>0.63378378378378375</v>
      </c>
    </row>
    <row r="530" spans="1:7" ht="13">
      <c r="A530" s="4" t="s">
        <v>114</v>
      </c>
      <c r="B530" s="1">
        <v>6</v>
      </c>
      <c r="C530" s="1">
        <v>387</v>
      </c>
      <c r="D530" s="1" t="s">
        <v>47</v>
      </c>
      <c r="E530" s="1" t="s">
        <v>29</v>
      </c>
      <c r="F530" s="1">
        <f t="shared" si="24"/>
        <v>600</v>
      </c>
      <c r="G530" s="5">
        <f t="shared" si="23"/>
        <v>0.64500000000000002</v>
      </c>
    </row>
    <row r="531" spans="1:7" ht="13">
      <c r="A531" s="4" t="s">
        <v>114</v>
      </c>
      <c r="B531" s="1">
        <v>8.6</v>
      </c>
      <c r="C531" s="1">
        <v>562</v>
      </c>
      <c r="D531" s="1" t="s">
        <v>11</v>
      </c>
      <c r="E531" s="1" t="s">
        <v>68</v>
      </c>
      <c r="F531" s="1">
        <f t="shared" si="24"/>
        <v>860</v>
      </c>
      <c r="G531" s="5">
        <f t="shared" si="23"/>
        <v>0.65348837209302324</v>
      </c>
    </row>
    <row r="532" spans="1:7" ht="13">
      <c r="A532" s="4" t="s">
        <v>114</v>
      </c>
      <c r="B532" s="1">
        <v>6.2</v>
      </c>
      <c r="C532" s="1">
        <v>282</v>
      </c>
      <c r="D532" s="1" t="s">
        <v>33</v>
      </c>
      <c r="E532" s="1" t="s">
        <v>15</v>
      </c>
      <c r="F532" s="1">
        <f t="shared" si="24"/>
        <v>620</v>
      </c>
      <c r="G532" s="5">
        <f t="shared" si="23"/>
        <v>0.45483870967741935</v>
      </c>
    </row>
    <row r="533" spans="1:7" ht="13">
      <c r="A533" s="4" t="s">
        <v>114</v>
      </c>
      <c r="B533" s="1">
        <v>7.3</v>
      </c>
      <c r="C533" s="1">
        <v>555</v>
      </c>
      <c r="D533" s="1" t="s">
        <v>38</v>
      </c>
      <c r="E533" s="1" t="s">
        <v>9</v>
      </c>
      <c r="F533" s="1">
        <f t="shared" si="24"/>
        <v>730</v>
      </c>
      <c r="G533" s="5">
        <f t="shared" si="23"/>
        <v>0.76027397260273977</v>
      </c>
    </row>
    <row r="534" spans="1:7" ht="13">
      <c r="A534" s="4" t="s">
        <v>114</v>
      </c>
      <c r="B534" s="1">
        <v>7.74</v>
      </c>
      <c r="C534" s="1">
        <v>410</v>
      </c>
      <c r="D534" s="1" t="s">
        <v>52</v>
      </c>
      <c r="E534" s="1" t="s">
        <v>7</v>
      </c>
      <c r="F534" s="1">
        <f t="shared" si="24"/>
        <v>774</v>
      </c>
      <c r="G534" s="5">
        <f t="shared" si="23"/>
        <v>0.52971576227390182</v>
      </c>
    </row>
    <row r="535" spans="1:7" ht="13">
      <c r="A535" s="4" t="s">
        <v>114</v>
      </c>
      <c r="B535" s="1">
        <v>7.2</v>
      </c>
      <c r="C535" s="1">
        <v>551</v>
      </c>
      <c r="D535" s="1" t="s">
        <v>42</v>
      </c>
      <c r="E535" s="1" t="s">
        <v>26</v>
      </c>
      <c r="F535" s="1">
        <f t="shared" si="24"/>
        <v>720</v>
      </c>
      <c r="G535" s="5">
        <f t="shared" si="23"/>
        <v>0.76527777777777772</v>
      </c>
    </row>
    <row r="536" spans="1:7" ht="13">
      <c r="A536" s="4" t="s">
        <v>114</v>
      </c>
      <c r="B536" s="1">
        <v>9.5</v>
      </c>
      <c r="C536" s="1">
        <v>517</v>
      </c>
      <c r="D536" s="1" t="s">
        <v>11</v>
      </c>
      <c r="E536" s="1" t="s">
        <v>31</v>
      </c>
      <c r="F536" s="1">
        <f t="shared" si="24"/>
        <v>950</v>
      </c>
      <c r="G536" s="5">
        <f t="shared" si="23"/>
        <v>0.54421052631578948</v>
      </c>
    </row>
    <row r="537" spans="1:7" ht="13">
      <c r="A537" s="4" t="s">
        <v>114</v>
      </c>
      <c r="B537" s="1">
        <v>7.4</v>
      </c>
      <c r="C537" s="1">
        <v>430</v>
      </c>
      <c r="D537" s="1" t="s">
        <v>44</v>
      </c>
      <c r="E537" s="1" t="s">
        <v>30</v>
      </c>
      <c r="F537" s="1">
        <f t="shared" si="24"/>
        <v>740</v>
      </c>
      <c r="G537" s="5">
        <f t="shared" si="23"/>
        <v>0.58108108108108103</v>
      </c>
    </row>
    <row r="538" spans="1:7" ht="13">
      <c r="A538" s="4" t="s">
        <v>114</v>
      </c>
      <c r="B538" s="1">
        <v>5.46</v>
      </c>
      <c r="C538" s="1">
        <v>402</v>
      </c>
      <c r="D538" s="1" t="s">
        <v>47</v>
      </c>
      <c r="E538" s="1" t="s">
        <v>10</v>
      </c>
      <c r="F538" s="1">
        <f t="shared" si="24"/>
        <v>546</v>
      </c>
      <c r="G538" s="5">
        <f t="shared" si="23"/>
        <v>0.73626373626373631</v>
      </c>
    </row>
    <row r="539" spans="1:7" ht="13">
      <c r="A539" s="4" t="s">
        <v>114</v>
      </c>
      <c r="B539" s="1">
        <v>5.2</v>
      </c>
      <c r="C539" s="1">
        <v>249</v>
      </c>
      <c r="D539" s="1" t="s">
        <v>33</v>
      </c>
      <c r="E539" s="1" t="s">
        <v>7</v>
      </c>
      <c r="F539" s="1">
        <f t="shared" si="24"/>
        <v>520</v>
      </c>
      <c r="G539" s="5">
        <f t="shared" si="23"/>
        <v>0.47884615384615387</v>
      </c>
    </row>
    <row r="540" spans="1:7" ht="13">
      <c r="A540" s="4" t="s">
        <v>114</v>
      </c>
      <c r="B540" s="1">
        <v>7.3</v>
      </c>
      <c r="C540" s="1">
        <v>454</v>
      </c>
      <c r="D540" s="1" t="s">
        <v>11</v>
      </c>
      <c r="E540" s="1" t="s">
        <v>12</v>
      </c>
      <c r="F540" s="1">
        <f t="shared" si="24"/>
        <v>730</v>
      </c>
      <c r="G540" s="5">
        <f t="shared" si="23"/>
        <v>0.62191780821917808</v>
      </c>
    </row>
    <row r="541" spans="1:7" ht="13">
      <c r="A541" s="4" t="s">
        <v>114</v>
      </c>
      <c r="B541" s="1">
        <v>5.6</v>
      </c>
      <c r="C541" s="1">
        <v>335</v>
      </c>
      <c r="D541" s="1" t="s">
        <v>33</v>
      </c>
      <c r="E541" s="1" t="s">
        <v>22</v>
      </c>
      <c r="F541" s="1">
        <f t="shared" si="24"/>
        <v>560</v>
      </c>
      <c r="G541" s="5">
        <f t="shared" si="23"/>
        <v>0.5982142857142857</v>
      </c>
    </row>
    <row r="542" spans="1:7" ht="13">
      <c r="A542" s="4" t="s">
        <v>114</v>
      </c>
      <c r="B542" s="1">
        <v>8.64</v>
      </c>
      <c r="C542" s="1">
        <v>592</v>
      </c>
      <c r="D542" s="1" t="s">
        <v>11</v>
      </c>
      <c r="E542" s="1" t="s">
        <v>9</v>
      </c>
      <c r="F542" s="1">
        <f t="shared" si="24"/>
        <v>864</v>
      </c>
      <c r="G542" s="5">
        <f t="shared" si="23"/>
        <v>0.68518518518518523</v>
      </c>
    </row>
    <row r="543" spans="1:7" ht="13">
      <c r="A543" s="4" t="s">
        <v>114</v>
      </c>
      <c r="B543" s="1">
        <v>10.4</v>
      </c>
      <c r="C543" s="1">
        <v>562</v>
      </c>
      <c r="D543" s="1" t="s">
        <v>33</v>
      </c>
      <c r="E543" s="1" t="s">
        <v>19</v>
      </c>
      <c r="F543" s="1">
        <f t="shared" si="24"/>
        <v>1040</v>
      </c>
      <c r="G543" s="5">
        <f t="shared" si="23"/>
        <v>0.54038461538461535</v>
      </c>
    </row>
    <row r="544" spans="1:7" ht="13">
      <c r="A544" s="4" t="s">
        <v>114</v>
      </c>
      <c r="B544" s="1">
        <v>6.88</v>
      </c>
      <c r="C544" s="1">
        <v>427.42</v>
      </c>
      <c r="D544" s="1" t="s">
        <v>58</v>
      </c>
      <c r="E544" s="1" t="s">
        <v>7</v>
      </c>
      <c r="F544" s="1">
        <f t="shared" si="24"/>
        <v>688</v>
      </c>
      <c r="G544" s="5">
        <f t="shared" si="23"/>
        <v>0.62124999999999997</v>
      </c>
    </row>
    <row r="545" spans="1:7" ht="13">
      <c r="A545" s="4" t="s">
        <v>114</v>
      </c>
      <c r="B545" s="1">
        <v>6.1</v>
      </c>
      <c r="C545" s="1">
        <v>379</v>
      </c>
      <c r="D545" s="1" t="s">
        <v>33</v>
      </c>
      <c r="E545" s="1" t="s">
        <v>15</v>
      </c>
      <c r="F545" s="1">
        <f t="shared" si="24"/>
        <v>610</v>
      </c>
      <c r="G545" s="5">
        <f t="shared" si="23"/>
        <v>0.62131147540983611</v>
      </c>
    </row>
    <row r="546" spans="1:7" ht="13">
      <c r="A546" s="4" t="s">
        <v>114</v>
      </c>
      <c r="B546" s="1">
        <v>4.3</v>
      </c>
      <c r="C546" s="1">
        <v>188</v>
      </c>
      <c r="D546" s="1" t="s">
        <v>75</v>
      </c>
      <c r="E546" s="1" t="s">
        <v>26</v>
      </c>
      <c r="F546" s="1">
        <f t="shared" si="24"/>
        <v>430</v>
      </c>
      <c r="G546" s="5">
        <f t="shared" si="23"/>
        <v>0.43720930232558142</v>
      </c>
    </row>
    <row r="547" spans="1:7" ht="13">
      <c r="A547" s="4" t="s">
        <v>114</v>
      </c>
      <c r="B547" s="1">
        <v>6.7</v>
      </c>
      <c r="C547" s="1">
        <v>573</v>
      </c>
      <c r="D547" s="1" t="s">
        <v>11</v>
      </c>
      <c r="E547" s="1" t="s">
        <v>8</v>
      </c>
      <c r="F547" s="1">
        <f t="shared" si="24"/>
        <v>670</v>
      </c>
      <c r="G547" s="5">
        <f t="shared" si="23"/>
        <v>0.85522388059701493</v>
      </c>
    </row>
    <row r="548" spans="1:7" ht="13">
      <c r="A548" s="4" t="s">
        <v>114</v>
      </c>
      <c r="B548" s="1">
        <v>2.5</v>
      </c>
      <c r="C548" s="1">
        <v>175</v>
      </c>
      <c r="D548" s="1" t="s">
        <v>11</v>
      </c>
      <c r="E548" s="1" t="s">
        <v>24</v>
      </c>
      <c r="F548" s="1">
        <f t="shared" si="24"/>
        <v>250</v>
      </c>
      <c r="G548" s="5">
        <f t="shared" si="23"/>
        <v>0.7</v>
      </c>
    </row>
    <row r="549" spans="1:7" ht="13">
      <c r="A549" s="4" t="s">
        <v>114</v>
      </c>
      <c r="B549" s="1">
        <v>4.4000000000000004</v>
      </c>
      <c r="C549" s="1">
        <v>313</v>
      </c>
      <c r="D549" s="1" t="s">
        <v>11</v>
      </c>
      <c r="E549" s="1" t="s">
        <v>15</v>
      </c>
      <c r="F549" s="1">
        <f t="shared" si="24"/>
        <v>440.00000000000006</v>
      </c>
      <c r="G549" s="5">
        <f t="shared" si="23"/>
        <v>0.71136363636363631</v>
      </c>
    </row>
    <row r="550" spans="1:7" ht="13">
      <c r="A550" s="4" t="s">
        <v>114</v>
      </c>
      <c r="B550" s="1">
        <v>4.3</v>
      </c>
      <c r="C550" s="1">
        <v>309</v>
      </c>
      <c r="D550" s="1" t="s">
        <v>11</v>
      </c>
      <c r="E550" s="1" t="s">
        <v>22</v>
      </c>
      <c r="F550" s="1">
        <f t="shared" si="24"/>
        <v>430</v>
      </c>
      <c r="G550" s="5">
        <f t="shared" si="23"/>
        <v>0.71860465116279071</v>
      </c>
    </row>
    <row r="551" spans="1:7" ht="13">
      <c r="A551" s="4" t="s">
        <v>114</v>
      </c>
      <c r="B551" s="1">
        <v>6.24</v>
      </c>
      <c r="C551" s="1">
        <v>234</v>
      </c>
      <c r="D551" s="1" t="s">
        <v>11</v>
      </c>
      <c r="E551" s="1" t="s">
        <v>17</v>
      </c>
      <c r="F551" s="1">
        <f t="shared" si="24"/>
        <v>624</v>
      </c>
      <c r="G551" s="5">
        <f t="shared" si="23"/>
        <v>0.375</v>
      </c>
    </row>
    <row r="552" spans="1:7" ht="13">
      <c r="A552" s="4" t="s">
        <v>114</v>
      </c>
      <c r="B552" s="1">
        <v>8.1999999999999993</v>
      </c>
      <c r="C552" s="1">
        <v>525</v>
      </c>
      <c r="D552" s="1" t="s">
        <v>11</v>
      </c>
      <c r="E552" s="1" t="s">
        <v>17</v>
      </c>
      <c r="F552" s="1">
        <f t="shared" si="24"/>
        <v>819.99999999999989</v>
      </c>
      <c r="G552" s="5">
        <f t="shared" si="23"/>
        <v>0.64024390243902451</v>
      </c>
    </row>
    <row r="553" spans="1:7" ht="13">
      <c r="A553" s="4" t="s">
        <v>114</v>
      </c>
      <c r="B553" s="1">
        <v>6</v>
      </c>
      <c r="C553" s="1">
        <v>523</v>
      </c>
      <c r="D553" s="1" t="s">
        <v>35</v>
      </c>
      <c r="E553" s="1" t="s">
        <v>32</v>
      </c>
      <c r="F553" s="1">
        <f t="shared" si="24"/>
        <v>600</v>
      </c>
      <c r="G553" s="5">
        <f t="shared" si="23"/>
        <v>0.8716666666666667</v>
      </c>
    </row>
    <row r="554" spans="1:7" ht="13">
      <c r="A554" s="4" t="s">
        <v>114</v>
      </c>
      <c r="B554" s="1">
        <v>5.16</v>
      </c>
      <c r="C554" s="1">
        <v>302</v>
      </c>
      <c r="D554" s="1" t="s">
        <v>42</v>
      </c>
      <c r="E554" s="1" t="s">
        <v>22</v>
      </c>
      <c r="F554" s="1">
        <f t="shared" si="24"/>
        <v>516</v>
      </c>
      <c r="G554" s="5">
        <f t="shared" si="23"/>
        <v>0.5852713178294574</v>
      </c>
    </row>
    <row r="555" spans="1:7" ht="13">
      <c r="A555" s="4" t="s">
        <v>114</v>
      </c>
      <c r="B555" s="1">
        <v>5</v>
      </c>
      <c r="C555" s="1">
        <v>297</v>
      </c>
      <c r="D555" s="1" t="s">
        <v>35</v>
      </c>
      <c r="E555" s="1" t="s">
        <v>15</v>
      </c>
      <c r="F555" s="1">
        <f t="shared" si="24"/>
        <v>500</v>
      </c>
      <c r="G555" s="5">
        <f t="shared" si="23"/>
        <v>0.59399999999999997</v>
      </c>
    </row>
    <row r="556" spans="1:7" ht="13">
      <c r="A556" s="4" t="s">
        <v>114</v>
      </c>
      <c r="B556" s="1">
        <v>8.3000000000000007</v>
      </c>
      <c r="C556" s="1">
        <v>615</v>
      </c>
      <c r="D556" s="1" t="s">
        <v>11</v>
      </c>
      <c r="E556" s="1" t="s">
        <v>17</v>
      </c>
      <c r="F556" s="1">
        <f t="shared" si="24"/>
        <v>830.00000000000011</v>
      </c>
      <c r="G556" s="5">
        <f t="shared" si="23"/>
        <v>0.74096385542168663</v>
      </c>
    </row>
    <row r="557" spans="1:7" ht="13">
      <c r="A557" s="4" t="s">
        <v>114</v>
      </c>
      <c r="B557" s="1">
        <v>5.5</v>
      </c>
      <c r="C557" s="1">
        <v>376</v>
      </c>
      <c r="D557" s="1" t="s">
        <v>11</v>
      </c>
      <c r="E557" s="1" t="s">
        <v>15</v>
      </c>
      <c r="F557" s="1">
        <f t="shared" si="24"/>
        <v>550</v>
      </c>
      <c r="G557" s="5">
        <f t="shared" si="23"/>
        <v>0.6836363636363636</v>
      </c>
    </row>
    <row r="558" spans="1:7" ht="13">
      <c r="A558" s="4" t="s">
        <v>114</v>
      </c>
      <c r="B558" s="1">
        <v>5.81</v>
      </c>
      <c r="C558" s="1">
        <v>431</v>
      </c>
      <c r="D558" s="1" t="s">
        <v>38</v>
      </c>
      <c r="E558" s="1" t="s">
        <v>8</v>
      </c>
      <c r="F558" s="1">
        <f t="shared" si="24"/>
        <v>581</v>
      </c>
      <c r="G558" s="5">
        <f t="shared" si="23"/>
        <v>0.74182444061962138</v>
      </c>
    </row>
    <row r="559" spans="1:7" ht="13">
      <c r="A559" s="4" t="s">
        <v>114</v>
      </c>
      <c r="B559" s="1">
        <v>7.9</v>
      </c>
      <c r="C559" s="1">
        <v>463</v>
      </c>
      <c r="D559" s="1" t="s">
        <v>33</v>
      </c>
      <c r="E559" s="1" t="s">
        <v>26</v>
      </c>
      <c r="F559" s="1">
        <f t="shared" si="24"/>
        <v>790</v>
      </c>
      <c r="G559" s="5">
        <f t="shared" si="23"/>
        <v>0.58607594936708862</v>
      </c>
    </row>
    <row r="560" spans="1:7" ht="13">
      <c r="A560" s="4" t="s">
        <v>114</v>
      </c>
      <c r="B560" s="1">
        <v>4.8</v>
      </c>
      <c r="C560" s="1">
        <v>326</v>
      </c>
      <c r="D560" s="1" t="s">
        <v>38</v>
      </c>
      <c r="E560" s="1" t="s">
        <v>21</v>
      </c>
      <c r="F560" s="1">
        <f t="shared" si="24"/>
        <v>480</v>
      </c>
      <c r="G560" s="5">
        <f t="shared" si="23"/>
        <v>0.6791666666666667</v>
      </c>
    </row>
    <row r="561" spans="1:7" ht="13">
      <c r="A561" s="4" t="s">
        <v>114</v>
      </c>
      <c r="B561" s="1">
        <v>6.7</v>
      </c>
      <c r="C561" s="1">
        <v>453</v>
      </c>
      <c r="D561" s="1" t="s">
        <v>11</v>
      </c>
      <c r="E561" s="1" t="s">
        <v>16</v>
      </c>
      <c r="F561" s="1">
        <f t="shared" si="24"/>
        <v>670</v>
      </c>
      <c r="G561" s="5">
        <f t="shared" si="23"/>
        <v>0.67611940298507467</v>
      </c>
    </row>
    <row r="562" spans="1:7" ht="13">
      <c r="A562" s="4" t="s">
        <v>114</v>
      </c>
      <c r="B562" s="1">
        <v>6.0750000000000002</v>
      </c>
      <c r="C562" s="1">
        <v>345</v>
      </c>
      <c r="D562" s="1" t="s">
        <v>33</v>
      </c>
      <c r="E562" s="1" t="s">
        <v>9</v>
      </c>
      <c r="F562" s="1">
        <f t="shared" si="24"/>
        <v>607.5</v>
      </c>
      <c r="G562" s="5">
        <f t="shared" si="23"/>
        <v>0.5679012345679012</v>
      </c>
    </row>
    <row r="563" spans="1:7" ht="13">
      <c r="A563" s="4" t="s">
        <v>114</v>
      </c>
      <c r="B563" s="1">
        <v>8.1999999999999993</v>
      </c>
      <c r="C563" s="1">
        <v>524</v>
      </c>
      <c r="D563" s="1" t="s">
        <v>11</v>
      </c>
      <c r="E563" s="1" t="s">
        <v>16</v>
      </c>
      <c r="F563" s="1">
        <f t="shared" si="24"/>
        <v>819.99999999999989</v>
      </c>
      <c r="G563" s="5">
        <f t="shared" si="23"/>
        <v>0.63902439024390256</v>
      </c>
    </row>
    <row r="564" spans="1:7" ht="13">
      <c r="A564" s="4" t="s">
        <v>114</v>
      </c>
      <c r="B564" s="1">
        <v>7.74</v>
      </c>
      <c r="C564" s="1">
        <v>466</v>
      </c>
      <c r="D564" s="1" t="s">
        <v>36</v>
      </c>
      <c r="E564" s="1" t="s">
        <v>9</v>
      </c>
      <c r="F564" s="1">
        <f t="shared" si="24"/>
        <v>774</v>
      </c>
      <c r="G564" s="5">
        <f t="shared" si="23"/>
        <v>0.6020671834625323</v>
      </c>
    </row>
    <row r="565" spans="1:7" ht="13">
      <c r="A565" s="4" t="s">
        <v>114</v>
      </c>
      <c r="B565" s="1">
        <v>8.9250000000000007</v>
      </c>
      <c r="C565" s="1">
        <v>609</v>
      </c>
      <c r="D565" s="1" t="s">
        <v>11</v>
      </c>
      <c r="E565" s="1" t="s">
        <v>8</v>
      </c>
      <c r="F565" s="1">
        <f t="shared" si="24"/>
        <v>892.50000000000011</v>
      </c>
      <c r="G565" s="5">
        <f t="shared" si="23"/>
        <v>0.6823529411764705</v>
      </c>
    </row>
    <row r="566" spans="1:7" ht="13">
      <c r="A566" s="4" t="s">
        <v>114</v>
      </c>
      <c r="B566" s="1">
        <v>4.9000000000000004</v>
      </c>
      <c r="C566" s="1">
        <v>305</v>
      </c>
      <c r="D566" s="1" t="s">
        <v>33</v>
      </c>
      <c r="E566" s="1" t="s">
        <v>18</v>
      </c>
      <c r="F566" s="1">
        <f t="shared" si="24"/>
        <v>490.00000000000006</v>
      </c>
      <c r="G566" s="5">
        <f t="shared" si="23"/>
        <v>0.62244897959183665</v>
      </c>
    </row>
    <row r="567" spans="1:7" ht="13">
      <c r="A567" s="4" t="s">
        <v>114</v>
      </c>
      <c r="B567" s="1">
        <v>10</v>
      </c>
      <c r="C567" s="1">
        <v>560</v>
      </c>
      <c r="D567" s="1" t="s">
        <v>11</v>
      </c>
      <c r="E567" s="1" t="s">
        <v>22</v>
      </c>
      <c r="F567" s="1">
        <f t="shared" si="24"/>
        <v>1000</v>
      </c>
      <c r="G567" s="5">
        <f t="shared" si="23"/>
        <v>0.56000000000000005</v>
      </c>
    </row>
    <row r="568" spans="1:7" ht="13">
      <c r="A568" s="4" t="s">
        <v>114</v>
      </c>
      <c r="B568" s="1">
        <v>8.1</v>
      </c>
      <c r="C568" s="1">
        <v>553</v>
      </c>
      <c r="D568" s="1" t="s">
        <v>35</v>
      </c>
      <c r="E568" s="1" t="s">
        <v>7</v>
      </c>
      <c r="F568" s="1">
        <f t="shared" si="24"/>
        <v>810</v>
      </c>
      <c r="G568" s="5">
        <f t="shared" si="23"/>
        <v>0.68271604938271602</v>
      </c>
    </row>
    <row r="569" spans="1:7" ht="13">
      <c r="A569" s="4" t="s">
        <v>114</v>
      </c>
      <c r="B569" s="1">
        <v>7.74</v>
      </c>
      <c r="C569" s="1">
        <v>438</v>
      </c>
      <c r="D569" s="1" t="s">
        <v>33</v>
      </c>
      <c r="E569" s="1" t="s">
        <v>16</v>
      </c>
      <c r="F569" s="1">
        <f t="shared" si="24"/>
        <v>774</v>
      </c>
      <c r="G569" s="5">
        <f t="shared" si="23"/>
        <v>0.56589147286821706</v>
      </c>
    </row>
    <row r="570" spans="1:7" ht="13">
      <c r="A570" s="4" t="s">
        <v>114</v>
      </c>
      <c r="B570" s="1">
        <v>8.4</v>
      </c>
      <c r="C570" s="1">
        <v>598</v>
      </c>
      <c r="D570" s="1" t="s">
        <v>11</v>
      </c>
      <c r="E570" s="1" t="s">
        <v>8</v>
      </c>
      <c r="F570" s="1">
        <f t="shared" si="24"/>
        <v>840</v>
      </c>
      <c r="G570" s="5">
        <f t="shared" si="23"/>
        <v>0.71190476190476193</v>
      </c>
    </row>
    <row r="571" spans="1:7" ht="13">
      <c r="A571" s="4" t="s">
        <v>114</v>
      </c>
      <c r="B571" s="1">
        <v>6.96</v>
      </c>
      <c r="C571" s="1">
        <v>434</v>
      </c>
      <c r="D571" s="1" t="s">
        <v>11</v>
      </c>
      <c r="E571" s="1" t="s">
        <v>20</v>
      </c>
      <c r="F571" s="1">
        <f t="shared" si="24"/>
        <v>696</v>
      </c>
      <c r="G571" s="5">
        <f t="shared" si="23"/>
        <v>0.62356321839080464</v>
      </c>
    </row>
    <row r="572" spans="1:7" ht="13">
      <c r="A572" s="4" t="s">
        <v>114</v>
      </c>
      <c r="B572" s="1">
        <v>7</v>
      </c>
      <c r="C572" s="1">
        <v>416</v>
      </c>
      <c r="D572" s="1" t="s">
        <v>36</v>
      </c>
      <c r="E572" s="1" t="s">
        <v>15</v>
      </c>
      <c r="F572" s="1">
        <f t="shared" si="24"/>
        <v>700</v>
      </c>
      <c r="G572" s="5">
        <f t="shared" si="23"/>
        <v>0.59428571428571431</v>
      </c>
    </row>
    <row r="573" spans="1:7" ht="13">
      <c r="A573" s="4" t="s">
        <v>114</v>
      </c>
      <c r="B573" s="1">
        <v>6.72</v>
      </c>
      <c r="C573" s="1">
        <v>384</v>
      </c>
      <c r="D573" s="1" t="s">
        <v>33</v>
      </c>
      <c r="E573" s="1" t="s">
        <v>20</v>
      </c>
      <c r="F573" s="1">
        <f t="shared" si="24"/>
        <v>672</v>
      </c>
      <c r="G573" s="5">
        <f t="shared" si="23"/>
        <v>0.5714285714285714</v>
      </c>
    </row>
    <row r="574" spans="1:7" ht="13">
      <c r="A574" s="4" t="s">
        <v>114</v>
      </c>
      <c r="B574" s="1">
        <v>4.2</v>
      </c>
      <c r="C574" s="1">
        <v>310</v>
      </c>
      <c r="D574" s="1" t="s">
        <v>11</v>
      </c>
      <c r="E574" s="1" t="s">
        <v>7</v>
      </c>
      <c r="F574" s="1">
        <f t="shared" si="24"/>
        <v>420</v>
      </c>
      <c r="G574" s="5">
        <f t="shared" si="23"/>
        <v>0.73809523809523814</v>
      </c>
    </row>
    <row r="575" spans="1:7" ht="13">
      <c r="A575" s="4" t="s">
        <v>114</v>
      </c>
      <c r="B575" s="1">
        <v>4.8</v>
      </c>
      <c r="C575" s="1">
        <v>345</v>
      </c>
      <c r="D575" s="1" t="s">
        <v>11</v>
      </c>
      <c r="E575" s="1" t="s">
        <v>21</v>
      </c>
      <c r="F575" s="1">
        <f t="shared" si="24"/>
        <v>480</v>
      </c>
      <c r="G575" s="5">
        <f t="shared" si="23"/>
        <v>0.71875</v>
      </c>
    </row>
    <row r="576" spans="1:7" ht="13">
      <c r="A576" s="4" t="s">
        <v>114</v>
      </c>
      <c r="B576" s="1">
        <v>6.5</v>
      </c>
      <c r="C576" s="1">
        <v>447</v>
      </c>
      <c r="D576" s="1" t="s">
        <v>11</v>
      </c>
      <c r="E576" s="1" t="s">
        <v>17</v>
      </c>
      <c r="F576" s="1">
        <f t="shared" si="24"/>
        <v>650</v>
      </c>
      <c r="G576" s="5">
        <f t="shared" si="23"/>
        <v>0.68769230769230771</v>
      </c>
    </row>
    <row r="577" spans="1:7" ht="13">
      <c r="A577" s="4" t="s">
        <v>114</v>
      </c>
      <c r="B577" s="1">
        <v>7.94</v>
      </c>
      <c r="C577" s="1">
        <v>545</v>
      </c>
      <c r="D577" s="1" t="s">
        <v>42</v>
      </c>
      <c r="E577" s="1" t="s">
        <v>17</v>
      </c>
      <c r="F577" s="1">
        <f t="shared" si="24"/>
        <v>794</v>
      </c>
      <c r="G577" s="5">
        <f t="shared" si="23"/>
        <v>0.68639798488664983</v>
      </c>
    </row>
    <row r="578" spans="1:7" ht="13">
      <c r="A578" s="4" t="s">
        <v>114</v>
      </c>
      <c r="B578" s="1">
        <v>5.4</v>
      </c>
      <c r="C578" s="1">
        <v>292</v>
      </c>
      <c r="D578" s="1" t="s">
        <v>33</v>
      </c>
      <c r="E578" s="1" t="s">
        <v>23</v>
      </c>
      <c r="F578" s="1">
        <f t="shared" si="24"/>
        <v>540</v>
      </c>
      <c r="G578" s="5">
        <f t="shared" ref="G578:G641" si="25">C578/F578</f>
        <v>0.54074074074074074</v>
      </c>
    </row>
    <row r="579" spans="1:7" ht="13">
      <c r="A579" s="4" t="s">
        <v>114</v>
      </c>
      <c r="B579" s="1">
        <v>6</v>
      </c>
      <c r="C579" s="1">
        <v>461</v>
      </c>
      <c r="D579" s="1" t="s">
        <v>11</v>
      </c>
      <c r="E579" s="1" t="s">
        <v>17</v>
      </c>
      <c r="F579" s="1">
        <f t="shared" ref="F579:F642" si="26">B579*100</f>
        <v>600</v>
      </c>
      <c r="G579" s="5">
        <f t="shared" si="25"/>
        <v>0.76833333333333331</v>
      </c>
    </row>
    <row r="580" spans="1:7" ht="13">
      <c r="A580" s="4" t="s">
        <v>114</v>
      </c>
      <c r="B580" s="1">
        <v>4.3499999999999996</v>
      </c>
      <c r="C580" s="1">
        <v>279</v>
      </c>
      <c r="D580" s="1" t="s">
        <v>11</v>
      </c>
      <c r="E580" s="1" t="s">
        <v>15</v>
      </c>
      <c r="F580" s="1">
        <f t="shared" si="26"/>
        <v>434.99999999999994</v>
      </c>
      <c r="G580" s="5">
        <f t="shared" si="25"/>
        <v>0.64137931034482765</v>
      </c>
    </row>
    <row r="581" spans="1:7" ht="13">
      <c r="A581" s="4" t="s">
        <v>114</v>
      </c>
      <c r="B581" s="1">
        <v>8.1</v>
      </c>
      <c r="C581" s="1">
        <v>647</v>
      </c>
      <c r="D581" s="1" t="s">
        <v>42</v>
      </c>
      <c r="E581" s="1" t="s">
        <v>10</v>
      </c>
      <c r="F581" s="1">
        <f t="shared" si="26"/>
        <v>810</v>
      </c>
      <c r="G581" s="5">
        <f t="shared" si="25"/>
        <v>0.79876543209876538</v>
      </c>
    </row>
    <row r="582" spans="1:7" ht="13">
      <c r="A582" s="4" t="s">
        <v>114</v>
      </c>
      <c r="B582" s="1">
        <v>6</v>
      </c>
      <c r="C582" s="1">
        <v>446</v>
      </c>
      <c r="D582" s="1" t="s">
        <v>11</v>
      </c>
      <c r="E582" s="1" t="s">
        <v>27</v>
      </c>
      <c r="F582" s="1">
        <f t="shared" si="26"/>
        <v>600</v>
      </c>
      <c r="G582" s="5">
        <f t="shared" si="25"/>
        <v>0.74333333333333329</v>
      </c>
    </row>
    <row r="583" spans="1:7" ht="13">
      <c r="A583" s="4" t="s">
        <v>114</v>
      </c>
      <c r="B583" s="1">
        <v>7.74</v>
      </c>
      <c r="C583" s="1">
        <v>399</v>
      </c>
      <c r="D583" s="1" t="s">
        <v>33</v>
      </c>
      <c r="E583" s="1" t="s">
        <v>16</v>
      </c>
      <c r="F583" s="1">
        <f t="shared" si="26"/>
        <v>774</v>
      </c>
      <c r="G583" s="5">
        <f t="shared" si="25"/>
        <v>0.51550387596899228</v>
      </c>
    </row>
    <row r="584" spans="1:7" ht="13">
      <c r="A584" s="4" t="s">
        <v>114</v>
      </c>
      <c r="B584" s="1">
        <v>5</v>
      </c>
      <c r="C584" s="1">
        <v>371</v>
      </c>
      <c r="D584" s="1" t="s">
        <v>33</v>
      </c>
      <c r="E584" s="1" t="s">
        <v>32</v>
      </c>
      <c r="F584" s="1">
        <f t="shared" si="26"/>
        <v>500</v>
      </c>
      <c r="G584" s="5">
        <f t="shared" si="25"/>
        <v>0.74199999999999999</v>
      </c>
    </row>
    <row r="585" spans="1:7" ht="13">
      <c r="A585" s="4" t="s">
        <v>114</v>
      </c>
      <c r="B585" s="1">
        <v>4.0999999999999996</v>
      </c>
      <c r="C585" s="1">
        <v>278</v>
      </c>
      <c r="D585" s="1" t="s">
        <v>55</v>
      </c>
      <c r="E585" s="1" t="s">
        <v>30</v>
      </c>
      <c r="F585" s="1">
        <f t="shared" si="26"/>
        <v>409.99999999999994</v>
      </c>
      <c r="G585" s="5">
        <f t="shared" si="25"/>
        <v>0.67804878048780493</v>
      </c>
    </row>
    <row r="586" spans="1:7" ht="13">
      <c r="A586" s="4" t="s">
        <v>114</v>
      </c>
      <c r="B586" s="1">
        <v>6.9</v>
      </c>
      <c r="C586" s="1">
        <v>412</v>
      </c>
      <c r="D586" s="1" t="s">
        <v>39</v>
      </c>
      <c r="E586" s="1" t="s">
        <v>17</v>
      </c>
      <c r="F586" s="1">
        <f t="shared" si="26"/>
        <v>690</v>
      </c>
      <c r="G586" s="5">
        <f t="shared" si="25"/>
        <v>0.59710144927536235</v>
      </c>
    </row>
    <row r="587" spans="1:7" ht="13">
      <c r="A587" s="4" t="s">
        <v>114</v>
      </c>
      <c r="B587" s="1">
        <v>6.9</v>
      </c>
      <c r="C587" s="1">
        <v>429</v>
      </c>
      <c r="D587" s="1" t="s">
        <v>39</v>
      </c>
      <c r="E587" s="1" t="s">
        <v>15</v>
      </c>
      <c r="F587" s="1">
        <f t="shared" si="26"/>
        <v>690</v>
      </c>
      <c r="G587" s="5">
        <f t="shared" si="25"/>
        <v>0.62173913043478257</v>
      </c>
    </row>
    <row r="588" spans="1:7" ht="13">
      <c r="A588" s="4" t="s">
        <v>114</v>
      </c>
      <c r="B588" s="1">
        <v>6.4</v>
      </c>
      <c r="C588" s="1">
        <v>489</v>
      </c>
      <c r="D588" s="1" t="s">
        <v>42</v>
      </c>
      <c r="E588" s="1" t="s">
        <v>8</v>
      </c>
      <c r="F588" s="1">
        <f t="shared" si="26"/>
        <v>640</v>
      </c>
      <c r="G588" s="5">
        <f t="shared" si="25"/>
        <v>0.76406249999999998</v>
      </c>
    </row>
    <row r="589" spans="1:7" ht="13">
      <c r="A589" s="4" t="s">
        <v>114</v>
      </c>
      <c r="B589" s="1">
        <v>6</v>
      </c>
      <c r="C589" s="1">
        <v>329</v>
      </c>
      <c r="D589" s="1" t="s">
        <v>33</v>
      </c>
      <c r="E589" s="1" t="s">
        <v>16</v>
      </c>
      <c r="F589" s="1">
        <f t="shared" si="26"/>
        <v>600</v>
      </c>
      <c r="G589" s="5">
        <f t="shared" si="25"/>
        <v>0.54833333333333334</v>
      </c>
    </row>
    <row r="590" spans="1:7" ht="13">
      <c r="A590" s="4" t="s">
        <v>114</v>
      </c>
      <c r="B590" s="1">
        <v>7.56</v>
      </c>
      <c r="C590" s="1">
        <v>530</v>
      </c>
      <c r="D590" s="1" t="s">
        <v>11</v>
      </c>
      <c r="E590" s="1" t="s">
        <v>25</v>
      </c>
      <c r="F590" s="1">
        <f t="shared" si="26"/>
        <v>756</v>
      </c>
      <c r="G590" s="5">
        <f t="shared" si="25"/>
        <v>0.70105820105820105</v>
      </c>
    </row>
    <row r="591" spans="1:7" ht="13">
      <c r="A591" s="4" t="s">
        <v>114</v>
      </c>
      <c r="B591" s="1">
        <v>8</v>
      </c>
      <c r="C591" s="1">
        <v>427</v>
      </c>
      <c r="D591" s="1" t="s">
        <v>37</v>
      </c>
      <c r="E591" s="1" t="s">
        <v>26</v>
      </c>
      <c r="F591" s="1">
        <f t="shared" si="26"/>
        <v>800</v>
      </c>
      <c r="G591" s="5">
        <f t="shared" si="25"/>
        <v>0.53374999999999995</v>
      </c>
    </row>
    <row r="592" spans="1:7" ht="13">
      <c r="A592" s="4" t="s">
        <v>114</v>
      </c>
      <c r="B592" s="1">
        <v>9.42</v>
      </c>
      <c r="C592" s="1">
        <v>561</v>
      </c>
      <c r="D592" s="1" t="s">
        <v>43</v>
      </c>
      <c r="E592" s="1" t="s">
        <v>14</v>
      </c>
      <c r="F592" s="1">
        <f t="shared" si="26"/>
        <v>942</v>
      </c>
      <c r="G592" s="5">
        <f t="shared" si="25"/>
        <v>0.59554140127388533</v>
      </c>
    </row>
    <row r="593" spans="1:7" ht="13">
      <c r="A593" s="4" t="s">
        <v>114</v>
      </c>
      <c r="B593" s="1">
        <v>6.4</v>
      </c>
      <c r="C593" s="1">
        <v>516</v>
      </c>
      <c r="D593" s="1" t="s">
        <v>11</v>
      </c>
      <c r="E593" s="1" t="s">
        <v>26</v>
      </c>
      <c r="F593" s="1">
        <f t="shared" si="26"/>
        <v>640</v>
      </c>
      <c r="G593" s="5">
        <f t="shared" si="25"/>
        <v>0.80625000000000002</v>
      </c>
    </row>
    <row r="594" spans="1:7" ht="13">
      <c r="A594" s="4" t="s">
        <v>114</v>
      </c>
      <c r="B594" s="1">
        <v>6.8</v>
      </c>
      <c r="C594" s="1">
        <v>512</v>
      </c>
      <c r="D594" s="1" t="s">
        <v>11</v>
      </c>
      <c r="E594" s="1" t="s">
        <v>18</v>
      </c>
      <c r="F594" s="1">
        <f t="shared" si="26"/>
        <v>680</v>
      </c>
      <c r="G594" s="5">
        <f t="shared" si="25"/>
        <v>0.75294117647058822</v>
      </c>
    </row>
    <row r="595" spans="1:7" ht="13">
      <c r="A595" s="4" t="s">
        <v>114</v>
      </c>
      <c r="B595" s="1">
        <v>6.4</v>
      </c>
      <c r="C595" s="1">
        <v>326</v>
      </c>
      <c r="D595" s="1" t="s">
        <v>58</v>
      </c>
      <c r="E595" s="1" t="s">
        <v>15</v>
      </c>
      <c r="F595" s="1">
        <f t="shared" si="26"/>
        <v>640</v>
      </c>
      <c r="G595" s="5">
        <f t="shared" si="25"/>
        <v>0.50937500000000002</v>
      </c>
    </row>
    <row r="596" spans="1:7" ht="13">
      <c r="A596" s="4" t="s">
        <v>114</v>
      </c>
      <c r="B596" s="1">
        <v>6</v>
      </c>
      <c r="C596" s="1">
        <v>444</v>
      </c>
      <c r="D596" s="1" t="s">
        <v>39</v>
      </c>
      <c r="E596" s="1" t="s">
        <v>9</v>
      </c>
      <c r="F596" s="1">
        <f t="shared" si="26"/>
        <v>600</v>
      </c>
      <c r="G596" s="5">
        <f t="shared" si="25"/>
        <v>0.74</v>
      </c>
    </row>
    <row r="597" spans="1:7" ht="13">
      <c r="A597" s="4" t="s">
        <v>114</v>
      </c>
      <c r="B597" s="1">
        <v>6.1</v>
      </c>
      <c r="C597" s="1">
        <v>339</v>
      </c>
      <c r="D597" s="1" t="s">
        <v>33</v>
      </c>
      <c r="E597" s="1" t="s">
        <v>26</v>
      </c>
      <c r="F597" s="1">
        <f t="shared" si="26"/>
        <v>610</v>
      </c>
      <c r="G597" s="5">
        <f t="shared" si="25"/>
        <v>0.55573770491803276</v>
      </c>
    </row>
    <row r="598" spans="1:7" ht="13">
      <c r="A598" s="4" t="s">
        <v>114</v>
      </c>
      <c r="B598" s="1">
        <v>8.3000000000000007</v>
      </c>
      <c r="C598" s="1">
        <v>555</v>
      </c>
      <c r="D598" s="1" t="s">
        <v>11</v>
      </c>
      <c r="E598" s="1" t="s">
        <v>20</v>
      </c>
      <c r="F598" s="1">
        <f t="shared" si="26"/>
        <v>830.00000000000011</v>
      </c>
      <c r="G598" s="5">
        <f t="shared" si="25"/>
        <v>0.6686746987951806</v>
      </c>
    </row>
    <row r="599" spans="1:7" ht="13">
      <c r="A599" s="4" t="s">
        <v>114</v>
      </c>
      <c r="B599" s="1">
        <v>6</v>
      </c>
      <c r="C599" s="1">
        <v>425</v>
      </c>
      <c r="D599" s="1" t="s">
        <v>43</v>
      </c>
      <c r="E599" s="1" t="s">
        <v>7</v>
      </c>
      <c r="F599" s="1">
        <f t="shared" si="26"/>
        <v>600</v>
      </c>
      <c r="G599" s="5">
        <f t="shared" si="25"/>
        <v>0.70833333333333337</v>
      </c>
    </row>
    <row r="600" spans="1:7" ht="13">
      <c r="A600" s="4" t="s">
        <v>114</v>
      </c>
      <c r="B600" s="1">
        <v>4.8</v>
      </c>
      <c r="C600" s="1">
        <v>304</v>
      </c>
      <c r="D600" s="1" t="s">
        <v>39</v>
      </c>
      <c r="E600" s="1" t="s">
        <v>16</v>
      </c>
      <c r="F600" s="1">
        <f t="shared" si="26"/>
        <v>480</v>
      </c>
      <c r="G600" s="5">
        <f t="shared" si="25"/>
        <v>0.6333333333333333</v>
      </c>
    </row>
    <row r="601" spans="1:7" ht="13">
      <c r="A601" s="4" t="s">
        <v>114</v>
      </c>
      <c r="B601" s="1">
        <v>5.0999999999999996</v>
      </c>
      <c r="C601" s="1">
        <v>250</v>
      </c>
      <c r="D601" s="1" t="s">
        <v>33</v>
      </c>
      <c r="E601" s="1" t="s">
        <v>15</v>
      </c>
      <c r="F601" s="1">
        <f t="shared" si="26"/>
        <v>509.99999999999994</v>
      </c>
      <c r="G601" s="5">
        <f t="shared" si="25"/>
        <v>0.49019607843137258</v>
      </c>
    </row>
    <row r="602" spans="1:7" ht="13">
      <c r="A602" s="4" t="s">
        <v>114</v>
      </c>
      <c r="B602" s="1">
        <v>4</v>
      </c>
      <c r="C602" s="1">
        <v>284</v>
      </c>
      <c r="D602" s="1" t="s">
        <v>38</v>
      </c>
      <c r="E602" s="1" t="s">
        <v>24</v>
      </c>
      <c r="F602" s="1">
        <f t="shared" si="26"/>
        <v>400</v>
      </c>
      <c r="G602" s="5">
        <f t="shared" si="25"/>
        <v>0.71</v>
      </c>
    </row>
    <row r="603" spans="1:7" ht="13">
      <c r="A603" s="4" t="s">
        <v>114</v>
      </c>
      <c r="B603" s="1">
        <v>6</v>
      </c>
      <c r="C603" s="1">
        <v>473</v>
      </c>
      <c r="D603" s="1" t="s">
        <v>11</v>
      </c>
      <c r="E603" s="1" t="s">
        <v>17</v>
      </c>
      <c r="F603" s="1">
        <f t="shared" si="26"/>
        <v>600</v>
      </c>
      <c r="G603" s="5">
        <f t="shared" si="25"/>
        <v>0.78833333333333333</v>
      </c>
    </row>
    <row r="604" spans="1:7" ht="13">
      <c r="A604" s="4" t="s">
        <v>114</v>
      </c>
      <c r="B604" s="1">
        <v>8.1999999999999993</v>
      </c>
      <c r="C604" s="1">
        <v>485</v>
      </c>
      <c r="D604" s="1" t="s">
        <v>11</v>
      </c>
      <c r="E604" s="1" t="s">
        <v>12</v>
      </c>
      <c r="F604" s="1">
        <f t="shared" si="26"/>
        <v>819.99999999999989</v>
      </c>
      <c r="G604" s="5">
        <f t="shared" si="25"/>
        <v>0.59146341463414642</v>
      </c>
    </row>
    <row r="605" spans="1:7" ht="13">
      <c r="A605" s="4" t="s">
        <v>114</v>
      </c>
      <c r="B605" s="1">
        <v>6.53</v>
      </c>
      <c r="C605" s="1">
        <v>488</v>
      </c>
      <c r="D605" s="1" t="s">
        <v>11</v>
      </c>
      <c r="E605" s="1" t="s">
        <v>17</v>
      </c>
      <c r="F605" s="1">
        <f t="shared" si="26"/>
        <v>653</v>
      </c>
      <c r="G605" s="5">
        <f t="shared" si="25"/>
        <v>0.74732006125574268</v>
      </c>
    </row>
    <row r="606" spans="1:7" ht="13">
      <c r="A606" s="4" t="s">
        <v>114</v>
      </c>
      <c r="B606" s="1">
        <v>5.6</v>
      </c>
      <c r="C606" s="1">
        <v>221</v>
      </c>
      <c r="D606" s="1" t="s">
        <v>43</v>
      </c>
      <c r="E606" s="1" t="s">
        <v>29</v>
      </c>
      <c r="F606" s="1">
        <f t="shared" si="26"/>
        <v>560</v>
      </c>
      <c r="G606" s="5">
        <f t="shared" si="25"/>
        <v>0.39464285714285713</v>
      </c>
    </row>
    <row r="607" spans="1:7" ht="13">
      <c r="A607" s="4" t="s">
        <v>114</v>
      </c>
      <c r="B607" s="1">
        <v>6.4</v>
      </c>
      <c r="C607" s="1">
        <v>490</v>
      </c>
      <c r="D607" s="1" t="s">
        <v>38</v>
      </c>
      <c r="E607" s="1" t="s">
        <v>8</v>
      </c>
      <c r="F607" s="1">
        <f t="shared" si="26"/>
        <v>640</v>
      </c>
      <c r="G607" s="5">
        <f t="shared" si="25"/>
        <v>0.765625</v>
      </c>
    </row>
    <row r="608" spans="1:7" ht="13">
      <c r="A608" s="4" t="s">
        <v>114</v>
      </c>
      <c r="B608" s="1">
        <v>7.76</v>
      </c>
      <c r="C608" s="1">
        <v>497</v>
      </c>
      <c r="D608" s="1" t="s">
        <v>11</v>
      </c>
      <c r="E608" s="1" t="s">
        <v>16</v>
      </c>
      <c r="F608" s="1">
        <f t="shared" si="26"/>
        <v>776</v>
      </c>
      <c r="G608" s="5">
        <f t="shared" si="25"/>
        <v>0.64046391752577314</v>
      </c>
    </row>
    <row r="609" spans="1:7" ht="13">
      <c r="A609" s="4" t="s">
        <v>114</v>
      </c>
      <c r="B609" s="1">
        <v>7.4</v>
      </c>
      <c r="C609" s="1">
        <v>297</v>
      </c>
      <c r="D609" s="1" t="s">
        <v>33</v>
      </c>
      <c r="E609" s="1" t="s">
        <v>23</v>
      </c>
      <c r="F609" s="1">
        <f t="shared" si="26"/>
        <v>740</v>
      </c>
      <c r="G609" s="5">
        <f t="shared" si="25"/>
        <v>0.40135135135135136</v>
      </c>
    </row>
    <row r="610" spans="1:7" ht="13">
      <c r="A610" s="4" t="s">
        <v>114</v>
      </c>
      <c r="B610" s="1">
        <v>6</v>
      </c>
      <c r="C610" s="1">
        <v>377</v>
      </c>
      <c r="D610" s="1" t="s">
        <v>11</v>
      </c>
      <c r="E610" s="1" t="s">
        <v>12</v>
      </c>
      <c r="F610" s="1">
        <f t="shared" si="26"/>
        <v>600</v>
      </c>
      <c r="G610" s="5">
        <f t="shared" si="25"/>
        <v>0.6283333333333333</v>
      </c>
    </row>
    <row r="611" spans="1:7" ht="13">
      <c r="A611" s="4" t="s">
        <v>114</v>
      </c>
      <c r="B611" s="1">
        <v>5.12</v>
      </c>
      <c r="C611" s="1">
        <v>382</v>
      </c>
      <c r="D611" s="1" t="s">
        <v>11</v>
      </c>
      <c r="E611" s="1" t="s">
        <v>16</v>
      </c>
      <c r="F611" s="1">
        <f t="shared" si="26"/>
        <v>512</v>
      </c>
      <c r="G611" s="5">
        <f t="shared" si="25"/>
        <v>0.74609375</v>
      </c>
    </row>
    <row r="612" spans="1:7" ht="13">
      <c r="A612" s="4" t="s">
        <v>114</v>
      </c>
      <c r="B612" s="1">
        <v>6.72</v>
      </c>
      <c r="C612" s="1">
        <v>466</v>
      </c>
      <c r="D612" s="1" t="s">
        <v>11</v>
      </c>
      <c r="E612" s="1" t="s">
        <v>15</v>
      </c>
      <c r="F612" s="1">
        <f t="shared" si="26"/>
        <v>672</v>
      </c>
      <c r="G612" s="5">
        <f t="shared" si="25"/>
        <v>0.69345238095238093</v>
      </c>
    </row>
    <row r="613" spans="1:7" ht="13">
      <c r="A613" s="4" t="s">
        <v>114</v>
      </c>
      <c r="B613" s="1">
        <v>7.39</v>
      </c>
      <c r="C613" s="1">
        <v>476</v>
      </c>
      <c r="D613" s="1" t="s">
        <v>52</v>
      </c>
      <c r="E613" s="1" t="s">
        <v>25</v>
      </c>
      <c r="F613" s="1">
        <f t="shared" si="26"/>
        <v>739</v>
      </c>
      <c r="G613" s="5">
        <f t="shared" si="25"/>
        <v>0.64411366711772666</v>
      </c>
    </row>
    <row r="614" spans="1:7" ht="13">
      <c r="A614" s="4" t="s">
        <v>114</v>
      </c>
      <c r="B614" s="1">
        <v>6</v>
      </c>
      <c r="C614" s="1">
        <v>378</v>
      </c>
      <c r="D614" s="1" t="s">
        <v>35</v>
      </c>
      <c r="E614" s="1" t="s">
        <v>23</v>
      </c>
      <c r="F614" s="1">
        <f t="shared" si="26"/>
        <v>600</v>
      </c>
      <c r="G614" s="5">
        <f t="shared" si="25"/>
        <v>0.63</v>
      </c>
    </row>
    <row r="615" spans="1:7" ht="13">
      <c r="A615" s="4" t="s">
        <v>114</v>
      </c>
      <c r="B615" s="1">
        <v>4.8</v>
      </c>
      <c r="C615" s="1">
        <v>326</v>
      </c>
      <c r="D615" s="1" t="s">
        <v>39</v>
      </c>
      <c r="E615" s="1" t="s">
        <v>10</v>
      </c>
      <c r="F615" s="1">
        <f t="shared" si="26"/>
        <v>480</v>
      </c>
      <c r="G615" s="5">
        <f t="shared" si="25"/>
        <v>0.6791666666666667</v>
      </c>
    </row>
    <row r="616" spans="1:7" ht="13">
      <c r="A616" s="4" t="s">
        <v>114</v>
      </c>
      <c r="B616" s="1">
        <v>5.16</v>
      </c>
      <c r="C616" s="1">
        <v>334</v>
      </c>
      <c r="D616" s="1" t="s">
        <v>57</v>
      </c>
      <c r="E616" s="1" t="s">
        <v>30</v>
      </c>
      <c r="F616" s="1">
        <f t="shared" si="26"/>
        <v>516</v>
      </c>
      <c r="G616" s="5">
        <f t="shared" si="25"/>
        <v>0.6472868217054264</v>
      </c>
    </row>
    <row r="617" spans="1:7" ht="13">
      <c r="A617" s="4" t="s">
        <v>114</v>
      </c>
      <c r="B617" s="1">
        <v>4.8</v>
      </c>
      <c r="C617" s="1">
        <v>326</v>
      </c>
      <c r="D617" s="1" t="s">
        <v>39</v>
      </c>
      <c r="E617" s="1" t="s">
        <v>10</v>
      </c>
      <c r="F617" s="1">
        <f t="shared" si="26"/>
        <v>480</v>
      </c>
      <c r="G617" s="5">
        <f t="shared" si="25"/>
        <v>0.6791666666666667</v>
      </c>
    </row>
    <row r="618" spans="1:7" ht="13">
      <c r="A618" s="4" t="s">
        <v>114</v>
      </c>
      <c r="B618" s="1">
        <v>7.56</v>
      </c>
      <c r="C618" s="1">
        <v>427</v>
      </c>
      <c r="D618" s="1" t="s">
        <v>53</v>
      </c>
      <c r="E618" s="1" t="s">
        <v>31</v>
      </c>
      <c r="F618" s="1">
        <f t="shared" si="26"/>
        <v>756</v>
      </c>
      <c r="G618" s="5">
        <f t="shared" si="25"/>
        <v>0.56481481481481477</v>
      </c>
    </row>
    <row r="619" spans="1:7" ht="13">
      <c r="A619" s="4" t="s">
        <v>114</v>
      </c>
      <c r="B619" s="1">
        <v>7.9</v>
      </c>
      <c r="C619" s="1">
        <v>486</v>
      </c>
      <c r="D619" s="1" t="s">
        <v>58</v>
      </c>
      <c r="E619" s="1" t="s">
        <v>10</v>
      </c>
      <c r="F619" s="1">
        <f t="shared" si="26"/>
        <v>790</v>
      </c>
      <c r="G619" s="5">
        <f t="shared" si="25"/>
        <v>0.61518987341772147</v>
      </c>
    </row>
    <row r="620" spans="1:7" ht="13">
      <c r="A620" s="4" t="s">
        <v>114</v>
      </c>
      <c r="B620" s="1">
        <v>7.83</v>
      </c>
      <c r="C620" s="1">
        <v>551</v>
      </c>
      <c r="D620" s="1" t="s">
        <v>38</v>
      </c>
      <c r="E620" s="1" t="s">
        <v>8</v>
      </c>
      <c r="F620" s="1">
        <f t="shared" si="26"/>
        <v>783</v>
      </c>
      <c r="G620" s="5">
        <f t="shared" si="25"/>
        <v>0.70370370370370372</v>
      </c>
    </row>
    <row r="621" spans="1:7" ht="13">
      <c r="A621" s="4" t="s">
        <v>114</v>
      </c>
      <c r="B621" s="1">
        <v>6.02</v>
      </c>
      <c r="C621" s="1">
        <v>342.28</v>
      </c>
      <c r="D621" s="1" t="s">
        <v>11</v>
      </c>
      <c r="E621" s="1" t="s">
        <v>27</v>
      </c>
      <c r="F621" s="1">
        <f t="shared" si="26"/>
        <v>602</v>
      </c>
      <c r="G621" s="5">
        <f t="shared" si="25"/>
        <v>0.56857142857142851</v>
      </c>
    </row>
    <row r="622" spans="1:7" ht="13">
      <c r="A622" s="4" t="s">
        <v>114</v>
      </c>
      <c r="B622" s="1">
        <v>4.05</v>
      </c>
      <c r="C622" s="1">
        <v>267</v>
      </c>
      <c r="D622" s="1" t="s">
        <v>43</v>
      </c>
      <c r="E622" s="1" t="s">
        <v>8</v>
      </c>
      <c r="F622" s="1">
        <f t="shared" si="26"/>
        <v>405</v>
      </c>
      <c r="G622" s="5">
        <f t="shared" si="25"/>
        <v>0.65925925925925921</v>
      </c>
    </row>
    <row r="623" spans="1:7" ht="13">
      <c r="A623" s="4" t="s">
        <v>114</v>
      </c>
      <c r="B623" s="1">
        <v>10.199999999999999</v>
      </c>
      <c r="C623" s="1">
        <v>552</v>
      </c>
      <c r="D623" s="1" t="s">
        <v>11</v>
      </c>
      <c r="E623" s="1" t="s">
        <v>7</v>
      </c>
      <c r="F623" s="1">
        <f t="shared" si="26"/>
        <v>1019.9999999999999</v>
      </c>
      <c r="G623" s="5">
        <f t="shared" si="25"/>
        <v>0.54117647058823537</v>
      </c>
    </row>
    <row r="624" spans="1:7" ht="13">
      <c r="A624" s="4" t="s">
        <v>114</v>
      </c>
      <c r="B624" s="1">
        <v>7</v>
      </c>
      <c r="C624" s="1">
        <v>364</v>
      </c>
      <c r="D624" s="1" t="s">
        <v>11</v>
      </c>
      <c r="E624" s="1" t="s">
        <v>28</v>
      </c>
      <c r="F624" s="1">
        <f t="shared" si="26"/>
        <v>700</v>
      </c>
      <c r="G624" s="5">
        <f t="shared" si="25"/>
        <v>0.52</v>
      </c>
    </row>
    <row r="625" spans="1:7" ht="13">
      <c r="A625" s="4" t="s">
        <v>114</v>
      </c>
      <c r="B625" s="1">
        <v>8.5</v>
      </c>
      <c r="C625" s="1">
        <v>502</v>
      </c>
      <c r="D625" s="1" t="s">
        <v>39</v>
      </c>
      <c r="E625" s="1" t="s">
        <v>17</v>
      </c>
      <c r="F625" s="1">
        <f t="shared" si="26"/>
        <v>850</v>
      </c>
      <c r="G625" s="5">
        <f t="shared" si="25"/>
        <v>0.59058823529411764</v>
      </c>
    </row>
    <row r="626" spans="1:7" ht="13">
      <c r="A626" s="4" t="s">
        <v>114</v>
      </c>
      <c r="B626" s="1">
        <v>4.5999999999999996</v>
      </c>
      <c r="C626" s="1">
        <v>324.8</v>
      </c>
      <c r="D626" s="1" t="s">
        <v>11</v>
      </c>
      <c r="E626" s="1" t="s">
        <v>9</v>
      </c>
      <c r="F626" s="1">
        <f t="shared" si="26"/>
        <v>459.99999999999994</v>
      </c>
      <c r="G626" s="5">
        <f t="shared" si="25"/>
        <v>0.70608695652173925</v>
      </c>
    </row>
    <row r="627" spans="1:7" ht="13">
      <c r="A627" s="4" t="s">
        <v>114</v>
      </c>
      <c r="B627" s="1">
        <v>6.5</v>
      </c>
      <c r="C627" s="1">
        <v>451.98</v>
      </c>
      <c r="D627" s="1" t="s">
        <v>11</v>
      </c>
      <c r="E627" s="1" t="s">
        <v>8</v>
      </c>
      <c r="F627" s="1">
        <f t="shared" si="26"/>
        <v>650</v>
      </c>
      <c r="G627" s="5">
        <f t="shared" si="25"/>
        <v>0.69535384615384621</v>
      </c>
    </row>
    <row r="628" spans="1:7" ht="13">
      <c r="A628" s="4" t="s">
        <v>114</v>
      </c>
      <c r="B628" s="1">
        <v>4.3</v>
      </c>
      <c r="C628" s="1">
        <v>252.54</v>
      </c>
      <c r="D628" s="1" t="s">
        <v>11</v>
      </c>
      <c r="E628" s="1" t="s">
        <v>15</v>
      </c>
      <c r="F628" s="1">
        <f t="shared" si="26"/>
        <v>430</v>
      </c>
      <c r="G628" s="5">
        <f t="shared" si="25"/>
        <v>0.58730232558139528</v>
      </c>
    </row>
    <row r="629" spans="1:7" ht="13">
      <c r="A629" s="4" t="s">
        <v>114</v>
      </c>
      <c r="B629" s="1">
        <v>5.22</v>
      </c>
      <c r="C629" s="1">
        <v>303</v>
      </c>
      <c r="D629" s="1" t="s">
        <v>45</v>
      </c>
      <c r="E629" s="1" t="s">
        <v>15</v>
      </c>
      <c r="F629" s="1">
        <f t="shared" si="26"/>
        <v>522</v>
      </c>
      <c r="G629" s="5">
        <f t="shared" si="25"/>
        <v>0.58045977011494254</v>
      </c>
    </row>
    <row r="630" spans="1:7" ht="13">
      <c r="A630" s="4" t="s">
        <v>114</v>
      </c>
      <c r="B630" s="1">
        <v>6</v>
      </c>
      <c r="C630" s="1">
        <v>437</v>
      </c>
      <c r="D630" s="1" t="s">
        <v>11</v>
      </c>
      <c r="E630" s="1" t="s">
        <v>26</v>
      </c>
      <c r="F630" s="1">
        <f t="shared" si="26"/>
        <v>600</v>
      </c>
      <c r="G630" s="5">
        <f t="shared" si="25"/>
        <v>0.72833333333333339</v>
      </c>
    </row>
    <row r="631" spans="1:7" ht="13">
      <c r="A631" s="4" t="s">
        <v>114</v>
      </c>
      <c r="B631" s="1">
        <v>4.38</v>
      </c>
      <c r="C631" s="1">
        <v>282</v>
      </c>
      <c r="D631" s="1" t="s">
        <v>43</v>
      </c>
      <c r="E631" s="1" t="s">
        <v>24</v>
      </c>
      <c r="F631" s="1">
        <f t="shared" si="26"/>
        <v>438</v>
      </c>
      <c r="G631" s="5">
        <f t="shared" si="25"/>
        <v>0.64383561643835618</v>
      </c>
    </row>
    <row r="632" spans="1:7" ht="13">
      <c r="A632" s="4" t="s">
        <v>114</v>
      </c>
      <c r="B632" s="1">
        <v>4.5</v>
      </c>
      <c r="C632" s="1">
        <v>274</v>
      </c>
      <c r="D632" s="1" t="s">
        <v>43</v>
      </c>
      <c r="E632" s="1" t="s">
        <v>15</v>
      </c>
      <c r="F632" s="1">
        <f t="shared" si="26"/>
        <v>450</v>
      </c>
      <c r="G632" s="5">
        <f t="shared" si="25"/>
        <v>0.60888888888888892</v>
      </c>
    </row>
    <row r="633" spans="1:7" ht="13">
      <c r="A633" s="4" t="s">
        <v>114</v>
      </c>
      <c r="B633" s="1">
        <v>8.75</v>
      </c>
      <c r="C633" s="1">
        <v>613</v>
      </c>
      <c r="D633" s="1" t="s">
        <v>38</v>
      </c>
      <c r="E633" s="1" t="s">
        <v>31</v>
      </c>
      <c r="F633" s="1">
        <f t="shared" si="26"/>
        <v>875</v>
      </c>
      <c r="G633" s="5">
        <f t="shared" si="25"/>
        <v>0.70057142857142862</v>
      </c>
    </row>
    <row r="634" spans="1:7" ht="13">
      <c r="A634" s="4" t="s">
        <v>114</v>
      </c>
      <c r="B634" s="1">
        <v>6.88</v>
      </c>
      <c r="C634" s="1">
        <v>490</v>
      </c>
      <c r="D634" s="1" t="s">
        <v>11</v>
      </c>
      <c r="E634" s="1" t="s">
        <v>8</v>
      </c>
      <c r="F634" s="1">
        <f t="shared" si="26"/>
        <v>688</v>
      </c>
      <c r="G634" s="5">
        <f t="shared" si="25"/>
        <v>0.71220930232558144</v>
      </c>
    </row>
    <row r="635" spans="1:7" ht="13">
      <c r="A635" s="4" t="s">
        <v>114</v>
      </c>
      <c r="B635" s="1">
        <v>7.2</v>
      </c>
      <c r="C635" s="1">
        <v>322</v>
      </c>
      <c r="D635" s="1" t="s">
        <v>70</v>
      </c>
      <c r="E635" s="1" t="s">
        <v>26</v>
      </c>
      <c r="F635" s="1">
        <f t="shared" si="26"/>
        <v>720</v>
      </c>
      <c r="G635" s="5">
        <f t="shared" si="25"/>
        <v>0.44722222222222224</v>
      </c>
    </row>
    <row r="636" spans="1:7" ht="13">
      <c r="A636" s="4" t="s">
        <v>114</v>
      </c>
      <c r="B636" s="1">
        <v>3.5</v>
      </c>
      <c r="C636" s="1">
        <v>214</v>
      </c>
      <c r="D636" s="1" t="s">
        <v>55</v>
      </c>
      <c r="E636" s="1" t="s">
        <v>15</v>
      </c>
      <c r="F636" s="1">
        <f t="shared" si="26"/>
        <v>350</v>
      </c>
      <c r="G636" s="5">
        <f t="shared" si="25"/>
        <v>0.61142857142857143</v>
      </c>
    </row>
    <row r="637" spans="1:7" ht="13">
      <c r="A637" s="4" t="s">
        <v>114</v>
      </c>
      <c r="B637" s="1">
        <v>7.7</v>
      </c>
      <c r="C637" s="1">
        <v>420</v>
      </c>
      <c r="D637" s="1" t="s">
        <v>33</v>
      </c>
      <c r="E637" s="1" t="s">
        <v>10</v>
      </c>
      <c r="F637" s="1">
        <f t="shared" si="26"/>
        <v>770</v>
      </c>
      <c r="G637" s="5">
        <f t="shared" si="25"/>
        <v>0.54545454545454541</v>
      </c>
    </row>
    <row r="638" spans="1:7" ht="13">
      <c r="A638" s="4" t="s">
        <v>114</v>
      </c>
      <c r="B638" s="1">
        <v>5.22</v>
      </c>
      <c r="C638" s="1">
        <v>253</v>
      </c>
      <c r="D638" s="1" t="s">
        <v>76</v>
      </c>
      <c r="E638" s="1" t="s">
        <v>22</v>
      </c>
      <c r="F638" s="1">
        <f t="shared" si="26"/>
        <v>522</v>
      </c>
      <c r="G638" s="5">
        <f t="shared" si="25"/>
        <v>0.48467432950191569</v>
      </c>
    </row>
    <row r="639" spans="1:7" ht="13">
      <c r="A639" s="4" t="s">
        <v>114</v>
      </c>
      <c r="B639" s="1">
        <v>1</v>
      </c>
      <c r="C639" s="1">
        <v>90</v>
      </c>
      <c r="D639" s="1" t="s">
        <v>11</v>
      </c>
      <c r="E639" s="1" t="s">
        <v>26</v>
      </c>
      <c r="F639" s="1">
        <f t="shared" si="26"/>
        <v>100</v>
      </c>
      <c r="G639" s="5">
        <f t="shared" si="25"/>
        <v>0.9</v>
      </c>
    </row>
    <row r="640" spans="1:7" ht="13">
      <c r="A640" s="4" t="s">
        <v>114</v>
      </c>
      <c r="B640" s="1">
        <v>5.67</v>
      </c>
      <c r="C640" s="1">
        <v>288</v>
      </c>
      <c r="D640" s="1" t="s">
        <v>77</v>
      </c>
      <c r="E640" s="1" t="s">
        <v>8</v>
      </c>
      <c r="F640" s="1">
        <f t="shared" si="26"/>
        <v>567</v>
      </c>
      <c r="G640" s="5">
        <f t="shared" si="25"/>
        <v>0.50793650793650791</v>
      </c>
    </row>
    <row r="641" spans="1:7" ht="13">
      <c r="A641" s="4" t="s">
        <v>114</v>
      </c>
      <c r="B641" s="1">
        <v>4.3</v>
      </c>
      <c r="C641" s="1">
        <v>310</v>
      </c>
      <c r="D641" s="1" t="s">
        <v>43</v>
      </c>
      <c r="E641" s="1" t="s">
        <v>20</v>
      </c>
      <c r="F641" s="1">
        <f t="shared" si="26"/>
        <v>430</v>
      </c>
      <c r="G641" s="5">
        <f t="shared" si="25"/>
        <v>0.72093023255813948</v>
      </c>
    </row>
    <row r="642" spans="1:7" ht="13">
      <c r="A642" s="4" t="s">
        <v>114</v>
      </c>
      <c r="B642" s="1">
        <v>3.4</v>
      </c>
      <c r="C642" s="1">
        <v>213</v>
      </c>
      <c r="D642" s="1" t="s">
        <v>11</v>
      </c>
      <c r="E642" s="1" t="s">
        <v>22</v>
      </c>
      <c r="F642" s="1">
        <f t="shared" si="26"/>
        <v>340</v>
      </c>
      <c r="G642" s="5">
        <f t="shared" ref="G642:G705" si="27">C642/F642</f>
        <v>0.62647058823529411</v>
      </c>
    </row>
    <row r="643" spans="1:7" ht="13">
      <c r="A643" s="4" t="s">
        <v>114</v>
      </c>
      <c r="B643" s="1">
        <v>5.4</v>
      </c>
      <c r="C643" s="1">
        <v>416</v>
      </c>
      <c r="D643" s="1" t="s">
        <v>55</v>
      </c>
      <c r="E643" s="1" t="s">
        <v>26</v>
      </c>
      <c r="F643" s="1">
        <f t="shared" ref="F643:F706" si="28">B643*100</f>
        <v>540</v>
      </c>
      <c r="G643" s="5">
        <f t="shared" si="27"/>
        <v>0.77037037037037037</v>
      </c>
    </row>
    <row r="644" spans="1:7" ht="13">
      <c r="A644" s="4" t="s">
        <v>114</v>
      </c>
      <c r="B644" s="1">
        <v>4.2</v>
      </c>
      <c r="C644" s="1">
        <v>257</v>
      </c>
      <c r="D644" s="1" t="s">
        <v>40</v>
      </c>
      <c r="E644" s="1" t="s">
        <v>20</v>
      </c>
      <c r="F644" s="1">
        <f t="shared" si="28"/>
        <v>420</v>
      </c>
      <c r="G644" s="5">
        <f t="shared" si="27"/>
        <v>0.61190476190476195</v>
      </c>
    </row>
    <row r="645" spans="1:7" ht="13">
      <c r="A645" s="4" t="s">
        <v>114</v>
      </c>
      <c r="B645" s="1">
        <v>6.96</v>
      </c>
      <c r="C645" s="1">
        <v>396</v>
      </c>
      <c r="D645" s="1" t="s">
        <v>78</v>
      </c>
      <c r="E645" s="1" t="s">
        <v>15</v>
      </c>
      <c r="F645" s="1">
        <f t="shared" si="28"/>
        <v>696</v>
      </c>
      <c r="G645" s="5">
        <f t="shared" si="27"/>
        <v>0.56896551724137934</v>
      </c>
    </row>
    <row r="646" spans="1:7" ht="13">
      <c r="A646" s="4" t="s">
        <v>114</v>
      </c>
      <c r="B646" s="1">
        <v>4.5</v>
      </c>
      <c r="C646" s="1">
        <v>222</v>
      </c>
      <c r="D646" s="1" t="s">
        <v>33</v>
      </c>
      <c r="E646" s="1" t="s">
        <v>15</v>
      </c>
      <c r="F646" s="1">
        <f t="shared" si="28"/>
        <v>450</v>
      </c>
      <c r="G646" s="5">
        <f t="shared" si="27"/>
        <v>0.49333333333333335</v>
      </c>
    </row>
    <row r="647" spans="1:7" ht="13">
      <c r="A647" s="4" t="s">
        <v>114</v>
      </c>
      <c r="B647" s="1">
        <v>5.6</v>
      </c>
      <c r="C647" s="1">
        <v>344</v>
      </c>
      <c r="D647" s="1" t="s">
        <v>11</v>
      </c>
      <c r="E647" s="1" t="s">
        <v>15</v>
      </c>
      <c r="F647" s="1">
        <f t="shared" si="28"/>
        <v>560</v>
      </c>
      <c r="G647" s="5">
        <f t="shared" si="27"/>
        <v>0.61428571428571432</v>
      </c>
    </row>
    <row r="648" spans="1:7" ht="13">
      <c r="A648" s="4" t="s">
        <v>114</v>
      </c>
      <c r="B648" s="1">
        <v>7.3</v>
      </c>
      <c r="C648" s="1">
        <v>426</v>
      </c>
      <c r="D648" s="1" t="s">
        <v>33</v>
      </c>
      <c r="E648" s="1" t="s">
        <v>8</v>
      </c>
      <c r="F648" s="1">
        <f t="shared" si="28"/>
        <v>730</v>
      </c>
      <c r="G648" s="5">
        <f t="shared" si="27"/>
        <v>0.58356164383561648</v>
      </c>
    </row>
    <row r="649" spans="1:7" ht="13">
      <c r="A649" s="4" t="s">
        <v>114</v>
      </c>
      <c r="B649" s="1">
        <v>4.0999999999999996</v>
      </c>
      <c r="C649" s="1">
        <v>303</v>
      </c>
      <c r="D649" s="1" t="s">
        <v>35</v>
      </c>
      <c r="E649" s="1" t="s">
        <v>32</v>
      </c>
      <c r="F649" s="1">
        <f t="shared" si="28"/>
        <v>409.99999999999994</v>
      </c>
      <c r="G649" s="5">
        <f t="shared" si="27"/>
        <v>0.73902439024390254</v>
      </c>
    </row>
    <row r="650" spans="1:7" ht="13">
      <c r="A650" s="4" t="s">
        <v>114</v>
      </c>
      <c r="B650" s="1">
        <v>4.5</v>
      </c>
      <c r="C650" s="1">
        <v>247</v>
      </c>
      <c r="D650" s="1" t="s">
        <v>33</v>
      </c>
      <c r="E650" s="1" t="s">
        <v>17</v>
      </c>
      <c r="F650" s="1">
        <f t="shared" si="28"/>
        <v>450</v>
      </c>
      <c r="G650" s="5">
        <f t="shared" si="27"/>
        <v>0.54888888888888887</v>
      </c>
    </row>
    <row r="651" spans="1:7" ht="13">
      <c r="A651" s="4" t="s">
        <v>114</v>
      </c>
      <c r="B651" s="1">
        <v>6.72</v>
      </c>
      <c r="C651" s="1">
        <v>353</v>
      </c>
      <c r="D651" s="1" t="s">
        <v>33</v>
      </c>
      <c r="E651" s="1" t="s">
        <v>27</v>
      </c>
      <c r="F651" s="1">
        <f t="shared" si="28"/>
        <v>672</v>
      </c>
      <c r="G651" s="5">
        <f t="shared" si="27"/>
        <v>0.52529761904761907</v>
      </c>
    </row>
    <row r="652" spans="1:7" ht="13">
      <c r="A652" s="4" t="s">
        <v>114</v>
      </c>
      <c r="B652" s="1">
        <v>3780</v>
      </c>
      <c r="C652" s="1">
        <v>152</v>
      </c>
      <c r="D652" s="1" t="s">
        <v>33</v>
      </c>
      <c r="E652" s="1" t="s">
        <v>15</v>
      </c>
      <c r="F652" s="1">
        <f t="shared" si="28"/>
        <v>378000</v>
      </c>
      <c r="G652" s="5">
        <f t="shared" si="27"/>
        <v>4.0211640211640213E-4</v>
      </c>
    </row>
    <row r="653" spans="1:7" ht="13">
      <c r="A653" s="4" t="s">
        <v>114</v>
      </c>
      <c r="B653" s="1">
        <v>6.45</v>
      </c>
      <c r="C653" s="1">
        <v>353</v>
      </c>
      <c r="D653" s="1" t="s">
        <v>53</v>
      </c>
      <c r="E653" s="1" t="s">
        <v>22</v>
      </c>
      <c r="F653" s="1">
        <f t="shared" si="28"/>
        <v>645</v>
      </c>
      <c r="G653" s="5">
        <f t="shared" si="27"/>
        <v>0.54728682170542631</v>
      </c>
    </row>
    <row r="654" spans="1:7" ht="13">
      <c r="A654" s="4" t="s">
        <v>114</v>
      </c>
      <c r="B654" s="1">
        <v>5</v>
      </c>
      <c r="C654" s="1">
        <v>250</v>
      </c>
      <c r="D654" s="1" t="s">
        <v>33</v>
      </c>
      <c r="E654" s="1" t="s">
        <v>31</v>
      </c>
      <c r="F654" s="1">
        <f t="shared" si="28"/>
        <v>500</v>
      </c>
      <c r="G654" s="5">
        <f t="shared" si="27"/>
        <v>0.5</v>
      </c>
    </row>
    <row r="655" spans="1:7" ht="13">
      <c r="A655" s="4" t="s">
        <v>114</v>
      </c>
      <c r="B655" s="1">
        <v>5.0999999999999996</v>
      </c>
      <c r="C655" s="1">
        <v>345</v>
      </c>
      <c r="D655" s="1" t="s">
        <v>59</v>
      </c>
      <c r="E655" s="1" t="s">
        <v>18</v>
      </c>
      <c r="F655" s="1">
        <f t="shared" si="28"/>
        <v>509.99999999999994</v>
      </c>
      <c r="G655" s="5">
        <f t="shared" si="27"/>
        <v>0.67647058823529416</v>
      </c>
    </row>
    <row r="656" spans="1:7" ht="13">
      <c r="A656" s="4" t="s">
        <v>114</v>
      </c>
      <c r="B656" s="1">
        <v>6.08</v>
      </c>
      <c r="C656" s="1">
        <v>318</v>
      </c>
      <c r="D656" s="1" t="s">
        <v>33</v>
      </c>
      <c r="E656" s="1" t="s">
        <v>28</v>
      </c>
      <c r="F656" s="1">
        <f t="shared" si="28"/>
        <v>608</v>
      </c>
      <c r="G656" s="5">
        <f t="shared" si="27"/>
        <v>0.52302631578947367</v>
      </c>
    </row>
    <row r="657" spans="1:7" ht="13">
      <c r="A657" s="4" t="s">
        <v>114</v>
      </c>
      <c r="B657" s="1">
        <v>6</v>
      </c>
      <c r="C657" s="1">
        <v>434</v>
      </c>
      <c r="D657" s="1" t="s">
        <v>11</v>
      </c>
      <c r="E657" s="1" t="s">
        <v>22</v>
      </c>
      <c r="F657" s="1">
        <f t="shared" si="28"/>
        <v>600</v>
      </c>
      <c r="G657" s="5">
        <f t="shared" si="27"/>
        <v>0.72333333333333338</v>
      </c>
    </row>
    <row r="658" spans="1:7" ht="13">
      <c r="A658" s="4" t="s">
        <v>114</v>
      </c>
      <c r="B658" s="1">
        <v>6.375</v>
      </c>
      <c r="C658" s="1">
        <v>449</v>
      </c>
      <c r="D658" s="1" t="s">
        <v>11</v>
      </c>
      <c r="E658" s="1" t="s">
        <v>12</v>
      </c>
      <c r="F658" s="1">
        <f t="shared" si="28"/>
        <v>637.5</v>
      </c>
      <c r="G658" s="5">
        <f t="shared" si="27"/>
        <v>0.70431372549019611</v>
      </c>
    </row>
    <row r="659" spans="1:7" ht="13">
      <c r="A659" s="4" t="s">
        <v>114</v>
      </c>
      <c r="B659" s="1">
        <v>7.5</v>
      </c>
      <c r="C659" s="1">
        <v>439.8</v>
      </c>
      <c r="D659" s="1" t="s">
        <v>34</v>
      </c>
      <c r="E659" s="1" t="s">
        <v>22</v>
      </c>
      <c r="F659" s="1">
        <f t="shared" si="28"/>
        <v>750</v>
      </c>
      <c r="G659" s="5">
        <f t="shared" si="27"/>
        <v>0.58640000000000003</v>
      </c>
    </row>
    <row r="660" spans="1:7" ht="13">
      <c r="A660" s="4" t="s">
        <v>114</v>
      </c>
      <c r="B660" s="1">
        <v>8.1999999999999993</v>
      </c>
      <c r="C660" s="1">
        <v>426</v>
      </c>
      <c r="D660" s="1" t="s">
        <v>53</v>
      </c>
      <c r="E660" s="1" t="s">
        <v>15</v>
      </c>
      <c r="F660" s="1">
        <f t="shared" si="28"/>
        <v>819.99999999999989</v>
      </c>
      <c r="G660" s="5">
        <f t="shared" si="27"/>
        <v>0.51951219512195124</v>
      </c>
    </row>
    <row r="661" spans="1:7" ht="13">
      <c r="A661" s="4" t="s">
        <v>114</v>
      </c>
      <c r="B661" s="1">
        <v>4</v>
      </c>
      <c r="C661" s="1">
        <v>246</v>
      </c>
      <c r="D661" s="1" t="s">
        <v>11</v>
      </c>
      <c r="E661" s="1" t="s">
        <v>28</v>
      </c>
      <c r="F661" s="1">
        <f t="shared" si="28"/>
        <v>400</v>
      </c>
      <c r="G661" s="5">
        <f t="shared" si="27"/>
        <v>0.61499999999999999</v>
      </c>
    </row>
    <row r="662" spans="1:7" ht="13">
      <c r="A662" s="4" t="s">
        <v>114</v>
      </c>
      <c r="B662" s="1">
        <v>8.1999999999999993</v>
      </c>
      <c r="C662" s="1">
        <v>434.8</v>
      </c>
      <c r="D662" s="1" t="s">
        <v>33</v>
      </c>
      <c r="E662" s="1" t="s">
        <v>16</v>
      </c>
      <c r="F662" s="1">
        <f t="shared" si="28"/>
        <v>819.99999999999989</v>
      </c>
      <c r="G662" s="5">
        <f t="shared" si="27"/>
        <v>0.53024390243902453</v>
      </c>
    </row>
    <row r="663" spans="1:7" ht="13">
      <c r="A663" s="4" t="s">
        <v>114</v>
      </c>
      <c r="B663" s="1">
        <v>3.5</v>
      </c>
      <c r="C663" s="1">
        <v>220</v>
      </c>
      <c r="D663" s="1" t="s">
        <v>11</v>
      </c>
      <c r="E663" s="1" t="s">
        <v>16</v>
      </c>
      <c r="F663" s="1">
        <f t="shared" si="28"/>
        <v>350</v>
      </c>
      <c r="G663" s="5">
        <f t="shared" si="27"/>
        <v>0.62857142857142856</v>
      </c>
    </row>
    <row r="664" spans="1:7" ht="13">
      <c r="A664" s="4" t="s">
        <v>114</v>
      </c>
      <c r="B664" s="1">
        <v>6</v>
      </c>
      <c r="C664" s="1">
        <v>423</v>
      </c>
      <c r="D664" s="1" t="s">
        <v>11</v>
      </c>
      <c r="E664" s="1" t="s">
        <v>16</v>
      </c>
      <c r="F664" s="1">
        <f t="shared" si="28"/>
        <v>600</v>
      </c>
      <c r="G664" s="5">
        <f t="shared" si="27"/>
        <v>0.70499999999999996</v>
      </c>
    </row>
    <row r="665" spans="1:7" ht="13">
      <c r="A665" s="4" t="s">
        <v>114</v>
      </c>
      <c r="B665" s="1">
        <v>4</v>
      </c>
      <c r="C665" s="1">
        <v>222</v>
      </c>
      <c r="D665" s="1" t="s">
        <v>44</v>
      </c>
      <c r="E665" s="1" t="s">
        <v>21</v>
      </c>
      <c r="F665" s="1">
        <f t="shared" si="28"/>
        <v>400</v>
      </c>
      <c r="G665" s="5">
        <f t="shared" si="27"/>
        <v>0.55500000000000005</v>
      </c>
    </row>
    <row r="666" spans="1:7" ht="13">
      <c r="A666" s="4" t="s">
        <v>114</v>
      </c>
      <c r="B666" s="1">
        <v>5.6</v>
      </c>
      <c r="C666" s="1">
        <v>363</v>
      </c>
      <c r="D666" s="1" t="s">
        <v>54</v>
      </c>
      <c r="E666" s="1" t="s">
        <v>22</v>
      </c>
      <c r="F666" s="1">
        <f t="shared" si="28"/>
        <v>560</v>
      </c>
      <c r="G666" s="5">
        <f t="shared" si="27"/>
        <v>0.64821428571428574</v>
      </c>
    </row>
    <row r="667" spans="1:7" ht="13">
      <c r="A667" s="4" t="s">
        <v>114</v>
      </c>
      <c r="B667" s="1">
        <v>5.6</v>
      </c>
      <c r="C667" s="1">
        <v>340</v>
      </c>
      <c r="D667" s="1" t="s">
        <v>36</v>
      </c>
      <c r="E667" s="1" t="s">
        <v>9</v>
      </c>
      <c r="F667" s="1">
        <f t="shared" si="28"/>
        <v>560</v>
      </c>
      <c r="G667" s="5">
        <f t="shared" si="27"/>
        <v>0.6071428571428571</v>
      </c>
    </row>
    <row r="668" spans="1:7" ht="13">
      <c r="A668" s="4" t="s">
        <v>114</v>
      </c>
      <c r="B668" s="1">
        <v>7.6</v>
      </c>
      <c r="C668" s="1">
        <v>361</v>
      </c>
      <c r="D668" s="1" t="s">
        <v>33</v>
      </c>
      <c r="E668" s="1" t="s">
        <v>17</v>
      </c>
      <c r="F668" s="1">
        <f t="shared" si="28"/>
        <v>760</v>
      </c>
      <c r="G668" s="5">
        <f t="shared" si="27"/>
        <v>0.47499999999999998</v>
      </c>
    </row>
    <row r="669" spans="1:7" ht="13">
      <c r="A669" s="4" t="s">
        <v>114</v>
      </c>
      <c r="B669" s="1">
        <v>7.74</v>
      </c>
      <c r="C669" s="1">
        <v>555</v>
      </c>
      <c r="D669" s="1" t="s">
        <v>11</v>
      </c>
      <c r="E669" s="1" t="s">
        <v>30</v>
      </c>
      <c r="F669" s="1">
        <f t="shared" si="28"/>
        <v>774</v>
      </c>
      <c r="G669" s="5">
        <f t="shared" si="27"/>
        <v>0.71705426356589153</v>
      </c>
    </row>
    <row r="670" spans="1:7" ht="13">
      <c r="A670" s="4" t="s">
        <v>114</v>
      </c>
      <c r="B670" s="1">
        <v>5</v>
      </c>
      <c r="C670" s="1">
        <v>324</v>
      </c>
      <c r="D670" s="1" t="s">
        <v>39</v>
      </c>
      <c r="E670" s="1" t="s">
        <v>18</v>
      </c>
      <c r="F670" s="1">
        <f t="shared" si="28"/>
        <v>500</v>
      </c>
      <c r="G670" s="5">
        <f t="shared" si="27"/>
        <v>0.64800000000000002</v>
      </c>
    </row>
    <row r="671" spans="1:7" ht="13">
      <c r="A671" s="4" t="s">
        <v>114</v>
      </c>
      <c r="B671" s="1">
        <v>6</v>
      </c>
      <c r="C671" s="1">
        <v>577</v>
      </c>
      <c r="D671" s="1" t="s">
        <v>35</v>
      </c>
      <c r="E671" s="1" t="s">
        <v>32</v>
      </c>
      <c r="F671" s="1">
        <f t="shared" si="28"/>
        <v>600</v>
      </c>
      <c r="G671" s="5">
        <f t="shared" si="27"/>
        <v>0.96166666666666667</v>
      </c>
    </row>
    <row r="672" spans="1:7" ht="13">
      <c r="A672" s="4" t="s">
        <v>114</v>
      </c>
      <c r="B672" s="1">
        <v>4.2</v>
      </c>
      <c r="C672" s="1">
        <v>287</v>
      </c>
      <c r="D672" s="1" t="s">
        <v>11</v>
      </c>
      <c r="E672" s="1" t="s">
        <v>15</v>
      </c>
      <c r="F672" s="1">
        <f t="shared" si="28"/>
        <v>420</v>
      </c>
      <c r="G672" s="5">
        <f t="shared" si="27"/>
        <v>0.68333333333333335</v>
      </c>
    </row>
    <row r="673" spans="1:7" ht="13">
      <c r="A673" s="4" t="s">
        <v>114</v>
      </c>
      <c r="B673" s="1">
        <v>5</v>
      </c>
      <c r="C673" s="1">
        <v>307</v>
      </c>
      <c r="D673" s="1" t="s">
        <v>11</v>
      </c>
      <c r="E673" s="1" t="s">
        <v>14</v>
      </c>
      <c r="F673" s="1">
        <f t="shared" si="28"/>
        <v>500</v>
      </c>
      <c r="G673" s="5">
        <f t="shared" si="27"/>
        <v>0.61399999999999999</v>
      </c>
    </row>
    <row r="674" spans="1:7" ht="13">
      <c r="A674" s="4" t="s">
        <v>114</v>
      </c>
      <c r="B674" s="1">
        <v>7.74</v>
      </c>
      <c r="C674" s="1">
        <v>482</v>
      </c>
      <c r="D674" s="1" t="s">
        <v>33</v>
      </c>
      <c r="E674" s="1" t="s">
        <v>9</v>
      </c>
      <c r="F674" s="1">
        <f t="shared" si="28"/>
        <v>774</v>
      </c>
      <c r="G674" s="5">
        <f t="shared" si="27"/>
        <v>0.62273901808785526</v>
      </c>
    </row>
    <row r="675" spans="1:7" ht="13">
      <c r="A675" s="4" t="s">
        <v>114</v>
      </c>
      <c r="B675" s="1">
        <v>5.2</v>
      </c>
      <c r="C675" s="1">
        <v>308</v>
      </c>
      <c r="D675" s="1" t="s">
        <v>33</v>
      </c>
      <c r="E675" s="1" t="s">
        <v>15</v>
      </c>
      <c r="F675" s="1">
        <f t="shared" si="28"/>
        <v>520</v>
      </c>
      <c r="G675" s="5">
        <f t="shared" si="27"/>
        <v>0.59230769230769231</v>
      </c>
    </row>
    <row r="676" spans="1:7" ht="13">
      <c r="A676" s="4" t="s">
        <v>114</v>
      </c>
      <c r="B676" s="1">
        <v>6</v>
      </c>
      <c r="C676" s="1">
        <v>320</v>
      </c>
      <c r="D676" s="1" t="s">
        <v>64</v>
      </c>
      <c r="E676" s="1" t="s">
        <v>49</v>
      </c>
      <c r="F676" s="1">
        <f t="shared" si="28"/>
        <v>600</v>
      </c>
      <c r="G676" s="5">
        <f t="shared" si="27"/>
        <v>0.53333333333333333</v>
      </c>
    </row>
    <row r="677" spans="1:7" ht="13">
      <c r="A677" s="4" t="s">
        <v>114</v>
      </c>
      <c r="B677" s="1">
        <v>6.02</v>
      </c>
      <c r="C677" s="1">
        <v>336</v>
      </c>
      <c r="D677" s="1" t="s">
        <v>33</v>
      </c>
      <c r="E677" s="1" t="s">
        <v>9</v>
      </c>
      <c r="F677" s="1">
        <f t="shared" si="28"/>
        <v>602</v>
      </c>
      <c r="G677" s="5">
        <f t="shared" si="27"/>
        <v>0.55813953488372092</v>
      </c>
    </row>
    <row r="678" spans="1:7" ht="13">
      <c r="A678" s="4" t="s">
        <v>114</v>
      </c>
      <c r="B678" s="1">
        <v>7.8</v>
      </c>
      <c r="C678" s="1">
        <v>386</v>
      </c>
      <c r="D678" s="1" t="s">
        <v>40</v>
      </c>
      <c r="E678" s="1" t="s">
        <v>15</v>
      </c>
      <c r="F678" s="1">
        <f t="shared" si="28"/>
        <v>780</v>
      </c>
      <c r="G678" s="5">
        <f t="shared" si="27"/>
        <v>0.49487179487179489</v>
      </c>
    </row>
    <row r="679" spans="1:7" ht="13">
      <c r="A679" s="4" t="s">
        <v>114</v>
      </c>
      <c r="B679" s="1">
        <v>7.7</v>
      </c>
      <c r="C679" s="1">
        <v>576</v>
      </c>
      <c r="D679" s="1" t="s">
        <v>11</v>
      </c>
      <c r="E679" s="1" t="s">
        <v>21</v>
      </c>
      <c r="F679" s="1">
        <f t="shared" si="28"/>
        <v>770</v>
      </c>
      <c r="G679" s="5">
        <f t="shared" si="27"/>
        <v>0.74805194805194808</v>
      </c>
    </row>
    <row r="680" spans="1:7" ht="13">
      <c r="A680" s="4" t="s">
        <v>114</v>
      </c>
      <c r="B680" s="1">
        <v>6.4</v>
      </c>
      <c r="C680" s="1">
        <v>438</v>
      </c>
      <c r="D680" s="1" t="s">
        <v>70</v>
      </c>
      <c r="E680" s="1" t="s">
        <v>23</v>
      </c>
      <c r="F680" s="1">
        <f t="shared" si="28"/>
        <v>640</v>
      </c>
      <c r="G680" s="5">
        <f t="shared" si="27"/>
        <v>0.68437499999999996</v>
      </c>
    </row>
    <row r="681" spans="1:7" ht="13">
      <c r="A681" s="4" t="s">
        <v>114</v>
      </c>
      <c r="B681" s="1">
        <v>3.48</v>
      </c>
      <c r="C681" s="1">
        <v>253</v>
      </c>
      <c r="D681" s="1" t="s">
        <v>11</v>
      </c>
      <c r="E681" s="1" t="s">
        <v>7</v>
      </c>
      <c r="F681" s="1">
        <f t="shared" si="28"/>
        <v>348</v>
      </c>
      <c r="G681" s="5">
        <f t="shared" si="27"/>
        <v>0.72701149425287359</v>
      </c>
    </row>
    <row r="682" spans="1:7" ht="13">
      <c r="A682" s="4" t="s">
        <v>114</v>
      </c>
      <c r="B682" s="1">
        <v>6.4</v>
      </c>
      <c r="C682" s="1">
        <v>457</v>
      </c>
      <c r="D682" s="1" t="s">
        <v>38</v>
      </c>
      <c r="E682" s="1" t="s">
        <v>9</v>
      </c>
      <c r="F682" s="1">
        <f t="shared" si="28"/>
        <v>640</v>
      </c>
      <c r="G682" s="5">
        <f t="shared" si="27"/>
        <v>0.71406250000000004</v>
      </c>
    </row>
    <row r="683" spans="1:7" ht="13">
      <c r="A683" s="4" t="s">
        <v>114</v>
      </c>
      <c r="B683" s="1">
        <v>8</v>
      </c>
      <c r="C683" s="1">
        <v>483</v>
      </c>
      <c r="D683" s="1" t="s">
        <v>11</v>
      </c>
      <c r="E683" s="1" t="s">
        <v>28</v>
      </c>
      <c r="F683" s="1">
        <f t="shared" si="28"/>
        <v>800</v>
      </c>
      <c r="G683" s="5">
        <f t="shared" si="27"/>
        <v>0.60375000000000001</v>
      </c>
    </row>
    <row r="684" spans="1:7" ht="13">
      <c r="A684" s="4" t="s">
        <v>114</v>
      </c>
      <c r="B684" s="1">
        <v>8.1199999999999992</v>
      </c>
      <c r="C684" s="1">
        <v>543</v>
      </c>
      <c r="D684" s="1" t="s">
        <v>11</v>
      </c>
      <c r="E684" s="1" t="s">
        <v>20</v>
      </c>
      <c r="F684" s="1">
        <f t="shared" si="28"/>
        <v>811.99999999999989</v>
      </c>
      <c r="G684" s="5">
        <f t="shared" si="27"/>
        <v>0.66871921182266014</v>
      </c>
    </row>
    <row r="685" spans="1:7" ht="13">
      <c r="A685" s="4" t="s">
        <v>114</v>
      </c>
      <c r="B685" s="1">
        <v>6.8</v>
      </c>
      <c r="C685" s="1">
        <v>341</v>
      </c>
      <c r="D685" s="1" t="s">
        <v>33</v>
      </c>
      <c r="E685" s="1" t="s">
        <v>20</v>
      </c>
      <c r="F685" s="1">
        <f t="shared" si="28"/>
        <v>680</v>
      </c>
      <c r="G685" s="5">
        <f t="shared" si="27"/>
        <v>0.50147058823529411</v>
      </c>
    </row>
    <row r="686" spans="1:7" ht="13">
      <c r="A686" s="4" t="s">
        <v>114</v>
      </c>
      <c r="B686" s="1">
        <v>6.96</v>
      </c>
      <c r="C686" s="1">
        <v>446</v>
      </c>
      <c r="D686" s="1" t="s">
        <v>11</v>
      </c>
      <c r="E686" s="1" t="s">
        <v>31</v>
      </c>
      <c r="F686" s="1">
        <f t="shared" si="28"/>
        <v>696</v>
      </c>
      <c r="G686" s="5">
        <f t="shared" si="27"/>
        <v>0.64080459770114939</v>
      </c>
    </row>
    <row r="687" spans="1:7" ht="13">
      <c r="A687" s="4" t="s">
        <v>114</v>
      </c>
      <c r="B687" s="1">
        <v>8.6</v>
      </c>
      <c r="C687" s="1">
        <v>600</v>
      </c>
      <c r="D687" s="1" t="s">
        <v>11</v>
      </c>
      <c r="E687" s="1" t="s">
        <v>14</v>
      </c>
      <c r="F687" s="1">
        <f t="shared" si="28"/>
        <v>860</v>
      </c>
      <c r="G687" s="5">
        <f t="shared" si="27"/>
        <v>0.69767441860465118</v>
      </c>
    </row>
    <row r="688" spans="1:7" ht="13">
      <c r="A688" s="4" t="s">
        <v>114</v>
      </c>
      <c r="B688" s="1">
        <v>5</v>
      </c>
      <c r="C688" s="1">
        <v>400</v>
      </c>
      <c r="D688" s="1" t="s">
        <v>11</v>
      </c>
      <c r="E688" s="1" t="s">
        <v>22</v>
      </c>
      <c r="F688" s="1">
        <f t="shared" si="28"/>
        <v>500</v>
      </c>
      <c r="G688" s="5">
        <f t="shared" si="27"/>
        <v>0.8</v>
      </c>
    </row>
    <row r="689" spans="1:7" ht="13">
      <c r="A689" s="4" t="s">
        <v>114</v>
      </c>
      <c r="B689" s="1">
        <v>4</v>
      </c>
      <c r="C689" s="1">
        <v>250</v>
      </c>
      <c r="D689" s="1" t="s">
        <v>11</v>
      </c>
      <c r="E689" s="1" t="s">
        <v>8</v>
      </c>
      <c r="F689" s="1">
        <f t="shared" si="28"/>
        <v>400</v>
      </c>
      <c r="G689" s="5">
        <f t="shared" si="27"/>
        <v>0.625</v>
      </c>
    </row>
    <row r="690" spans="1:7" ht="13">
      <c r="A690" s="4" t="s">
        <v>114</v>
      </c>
      <c r="B690" s="1">
        <v>3.7</v>
      </c>
      <c r="C690" s="1">
        <v>237</v>
      </c>
      <c r="D690" s="1" t="s">
        <v>47</v>
      </c>
      <c r="E690" s="1" t="s">
        <v>20</v>
      </c>
      <c r="F690" s="1">
        <f t="shared" si="28"/>
        <v>370</v>
      </c>
      <c r="G690" s="5">
        <f t="shared" si="27"/>
        <v>0.64054054054054055</v>
      </c>
    </row>
    <row r="691" spans="1:7" ht="13">
      <c r="A691" s="4" t="s">
        <v>114</v>
      </c>
      <c r="B691" s="1">
        <v>9</v>
      </c>
      <c r="C691" s="1">
        <v>706</v>
      </c>
      <c r="D691" s="1" t="s">
        <v>11</v>
      </c>
      <c r="E691" s="1" t="s">
        <v>12</v>
      </c>
      <c r="F691" s="1">
        <f t="shared" si="28"/>
        <v>900</v>
      </c>
      <c r="G691" s="5">
        <f t="shared" si="27"/>
        <v>0.7844444444444445</v>
      </c>
    </row>
    <row r="692" spans="1:7" ht="13">
      <c r="A692" s="4" t="s">
        <v>114</v>
      </c>
      <c r="B692" s="1">
        <v>7.3</v>
      </c>
      <c r="C692" s="1">
        <v>388</v>
      </c>
      <c r="D692" s="1" t="s">
        <v>38</v>
      </c>
      <c r="E692" s="1" t="s">
        <v>22</v>
      </c>
      <c r="F692" s="1">
        <f t="shared" si="28"/>
        <v>730</v>
      </c>
      <c r="G692" s="5">
        <f t="shared" si="27"/>
        <v>0.53150684931506853</v>
      </c>
    </row>
    <row r="693" spans="1:7" ht="13">
      <c r="A693" s="4" t="s">
        <v>114</v>
      </c>
      <c r="B693" s="1">
        <v>3.87</v>
      </c>
      <c r="C693" s="1">
        <v>272</v>
      </c>
      <c r="D693" s="1" t="s">
        <v>11</v>
      </c>
      <c r="E693" s="1" t="s">
        <v>15</v>
      </c>
      <c r="F693" s="1">
        <f t="shared" si="28"/>
        <v>387</v>
      </c>
      <c r="G693" s="5">
        <f t="shared" si="27"/>
        <v>0.70284237726098187</v>
      </c>
    </row>
    <row r="694" spans="1:7" ht="13">
      <c r="A694" s="4" t="s">
        <v>114</v>
      </c>
      <c r="B694" s="1">
        <v>4</v>
      </c>
      <c r="C694" s="1">
        <v>295</v>
      </c>
      <c r="D694" s="1" t="s">
        <v>79</v>
      </c>
      <c r="E694" s="1" t="s">
        <v>7</v>
      </c>
      <c r="F694" s="1">
        <f t="shared" si="28"/>
        <v>400</v>
      </c>
      <c r="G694" s="5">
        <f t="shared" si="27"/>
        <v>0.73750000000000004</v>
      </c>
    </row>
    <row r="695" spans="1:7" ht="13">
      <c r="A695" s="4" t="s">
        <v>114</v>
      </c>
      <c r="B695" s="1">
        <v>8.6999999999999993</v>
      </c>
      <c r="C695" s="1">
        <v>484</v>
      </c>
      <c r="D695" s="1" t="s">
        <v>45</v>
      </c>
      <c r="E695" s="1" t="s">
        <v>20</v>
      </c>
      <c r="F695" s="1">
        <f t="shared" si="28"/>
        <v>869.99999999999989</v>
      </c>
      <c r="G695" s="5">
        <f t="shared" si="27"/>
        <v>0.55632183908045985</v>
      </c>
    </row>
    <row r="696" spans="1:7" ht="13">
      <c r="A696" s="4" t="s">
        <v>114</v>
      </c>
      <c r="B696" s="1">
        <v>5.47</v>
      </c>
      <c r="C696" s="1">
        <v>420.49</v>
      </c>
      <c r="D696" s="1" t="s">
        <v>11</v>
      </c>
      <c r="E696" s="1" t="s">
        <v>10</v>
      </c>
      <c r="F696" s="1">
        <f t="shared" si="28"/>
        <v>547</v>
      </c>
      <c r="G696" s="5">
        <f t="shared" si="27"/>
        <v>0.76872029250457041</v>
      </c>
    </row>
    <row r="697" spans="1:7" ht="13">
      <c r="A697" s="4" t="s">
        <v>114</v>
      </c>
      <c r="B697" s="1">
        <v>6</v>
      </c>
      <c r="C697" s="1">
        <v>297</v>
      </c>
      <c r="D697" s="1" t="s">
        <v>37</v>
      </c>
      <c r="E697" s="1" t="s">
        <v>15</v>
      </c>
      <c r="F697" s="1">
        <f t="shared" si="28"/>
        <v>600</v>
      </c>
      <c r="G697" s="5">
        <f t="shared" si="27"/>
        <v>0.495</v>
      </c>
    </row>
    <row r="698" spans="1:7" ht="13">
      <c r="A698" s="4" t="s">
        <v>114</v>
      </c>
      <c r="B698" s="1">
        <v>6.9</v>
      </c>
      <c r="C698" s="1">
        <v>456</v>
      </c>
      <c r="D698" s="1" t="s">
        <v>39</v>
      </c>
      <c r="E698" s="1" t="s">
        <v>8</v>
      </c>
      <c r="F698" s="1">
        <f t="shared" si="28"/>
        <v>690</v>
      </c>
      <c r="G698" s="5">
        <f t="shared" si="27"/>
        <v>0.66086956521739126</v>
      </c>
    </row>
    <row r="699" spans="1:7" ht="13">
      <c r="A699" s="4" t="s">
        <v>114</v>
      </c>
      <c r="B699" s="1">
        <v>5.65</v>
      </c>
      <c r="C699" s="1">
        <v>299</v>
      </c>
      <c r="D699" s="1" t="s">
        <v>33</v>
      </c>
      <c r="E699" s="1" t="s">
        <v>24</v>
      </c>
      <c r="F699" s="1">
        <f t="shared" si="28"/>
        <v>565</v>
      </c>
      <c r="G699" s="5">
        <f t="shared" si="27"/>
        <v>0.52920353982300883</v>
      </c>
    </row>
    <row r="700" spans="1:7" ht="13">
      <c r="A700" s="4" t="s">
        <v>114</v>
      </c>
      <c r="B700" s="1">
        <v>6.96</v>
      </c>
      <c r="C700" s="1">
        <v>372.56</v>
      </c>
      <c r="D700" s="1" t="s">
        <v>45</v>
      </c>
      <c r="E700" s="1" t="s">
        <v>24</v>
      </c>
      <c r="F700" s="1">
        <f t="shared" si="28"/>
        <v>696</v>
      </c>
      <c r="G700" s="5">
        <f t="shared" si="27"/>
        <v>0.5352873563218391</v>
      </c>
    </row>
    <row r="701" spans="1:7" ht="13">
      <c r="A701" s="4" t="s">
        <v>114</v>
      </c>
      <c r="B701" s="1">
        <v>6.4</v>
      </c>
      <c r="C701" s="1">
        <v>415</v>
      </c>
      <c r="D701" s="1" t="s">
        <v>11</v>
      </c>
      <c r="E701" s="1" t="s">
        <v>32</v>
      </c>
      <c r="F701" s="1">
        <f t="shared" si="28"/>
        <v>640</v>
      </c>
      <c r="G701" s="5">
        <f t="shared" si="27"/>
        <v>0.6484375</v>
      </c>
    </row>
    <row r="702" spans="1:7" ht="13">
      <c r="A702" s="4" t="s">
        <v>114</v>
      </c>
      <c r="B702" s="1">
        <v>6.1</v>
      </c>
      <c r="C702" s="1">
        <v>351</v>
      </c>
      <c r="D702" s="1" t="s">
        <v>80</v>
      </c>
      <c r="E702" s="1" t="s">
        <v>16</v>
      </c>
      <c r="F702" s="1">
        <f t="shared" si="28"/>
        <v>610</v>
      </c>
      <c r="G702" s="5">
        <f t="shared" si="27"/>
        <v>0.57540983606557372</v>
      </c>
    </row>
    <row r="703" spans="1:7" ht="13">
      <c r="A703" s="4" t="s">
        <v>114</v>
      </c>
      <c r="B703" s="1">
        <v>7.74</v>
      </c>
      <c r="C703" s="1">
        <v>482</v>
      </c>
      <c r="D703" s="1" t="s">
        <v>11</v>
      </c>
      <c r="E703" s="1" t="s">
        <v>22</v>
      </c>
      <c r="F703" s="1">
        <f t="shared" si="28"/>
        <v>774</v>
      </c>
      <c r="G703" s="5">
        <f t="shared" si="27"/>
        <v>0.62273901808785526</v>
      </c>
    </row>
    <row r="704" spans="1:7" ht="13">
      <c r="A704" s="4" t="s">
        <v>114</v>
      </c>
      <c r="B704" s="1">
        <v>6.84</v>
      </c>
      <c r="C704" s="1">
        <v>365</v>
      </c>
      <c r="D704" s="1" t="s">
        <v>33</v>
      </c>
      <c r="E704" s="1" t="s">
        <v>22</v>
      </c>
      <c r="F704" s="1">
        <f t="shared" si="28"/>
        <v>684</v>
      </c>
      <c r="G704" s="5">
        <f t="shared" si="27"/>
        <v>0.533625730994152</v>
      </c>
    </row>
    <row r="705" spans="1:7" ht="13">
      <c r="A705" s="4" t="s">
        <v>114</v>
      </c>
      <c r="B705" s="1">
        <v>8.6999999999999993</v>
      </c>
      <c r="C705" s="1">
        <v>543</v>
      </c>
      <c r="D705" s="1" t="s">
        <v>11</v>
      </c>
      <c r="E705" s="1" t="s">
        <v>9</v>
      </c>
      <c r="F705" s="1">
        <f t="shared" si="28"/>
        <v>869.99999999999989</v>
      </c>
      <c r="G705" s="5">
        <f t="shared" si="27"/>
        <v>0.6241379310344829</v>
      </c>
    </row>
    <row r="706" spans="1:7" ht="13">
      <c r="A706" s="4" t="s">
        <v>114</v>
      </c>
      <c r="B706" s="1">
        <v>9.1999999999999993</v>
      </c>
      <c r="C706" s="1">
        <v>450</v>
      </c>
      <c r="D706" s="1" t="s">
        <v>33</v>
      </c>
      <c r="E706" s="1" t="s">
        <v>20</v>
      </c>
      <c r="F706" s="1">
        <f t="shared" si="28"/>
        <v>919.99999999999989</v>
      </c>
      <c r="G706" s="5">
        <f t="shared" ref="G706:G769" si="29">C706/F706</f>
        <v>0.48913043478260876</v>
      </c>
    </row>
    <row r="707" spans="1:7" ht="13">
      <c r="A707" s="4" t="s">
        <v>114</v>
      </c>
      <c r="B707" s="1">
        <v>12</v>
      </c>
      <c r="C707" s="1">
        <v>650</v>
      </c>
      <c r="D707" s="1" t="s">
        <v>33</v>
      </c>
      <c r="E707" s="1" t="s">
        <v>20</v>
      </c>
      <c r="F707" s="1">
        <f t="shared" ref="F707:F770" si="30">B707*100</f>
        <v>1200</v>
      </c>
      <c r="G707" s="5">
        <f t="shared" si="29"/>
        <v>0.54166666666666663</v>
      </c>
    </row>
    <row r="708" spans="1:7" ht="13">
      <c r="A708" s="4" t="s">
        <v>114</v>
      </c>
      <c r="B708" s="1">
        <v>7</v>
      </c>
      <c r="C708" s="1">
        <v>522</v>
      </c>
      <c r="D708" s="1" t="s">
        <v>38</v>
      </c>
      <c r="E708" s="1" t="s">
        <v>17</v>
      </c>
      <c r="F708" s="1">
        <f t="shared" si="30"/>
        <v>700</v>
      </c>
      <c r="G708" s="5">
        <f t="shared" si="29"/>
        <v>0.74571428571428566</v>
      </c>
    </row>
    <row r="709" spans="1:7" ht="13">
      <c r="A709" s="4" t="s">
        <v>114</v>
      </c>
      <c r="B709" s="1">
        <v>6.4</v>
      </c>
      <c r="C709" s="1">
        <v>442</v>
      </c>
      <c r="D709" s="1" t="s">
        <v>59</v>
      </c>
      <c r="E709" s="1" t="s">
        <v>8</v>
      </c>
      <c r="F709" s="1">
        <f t="shared" si="30"/>
        <v>640</v>
      </c>
      <c r="G709" s="5">
        <f t="shared" si="29"/>
        <v>0.69062500000000004</v>
      </c>
    </row>
    <row r="710" spans="1:7" ht="13">
      <c r="A710" s="4" t="s">
        <v>114</v>
      </c>
      <c r="B710" s="1">
        <v>8</v>
      </c>
      <c r="C710" s="1">
        <v>411</v>
      </c>
      <c r="D710" s="1" t="s">
        <v>42</v>
      </c>
      <c r="E710" s="1" t="s">
        <v>32</v>
      </c>
      <c r="F710" s="1">
        <f t="shared" si="30"/>
        <v>800</v>
      </c>
      <c r="G710" s="5">
        <f t="shared" si="29"/>
        <v>0.51375000000000004</v>
      </c>
    </row>
    <row r="711" spans="1:7" ht="13">
      <c r="A711" s="4" t="s">
        <v>114</v>
      </c>
      <c r="B711" s="1">
        <v>7.2</v>
      </c>
      <c r="C711" s="1">
        <v>466.82</v>
      </c>
      <c r="D711" s="1" t="s">
        <v>33</v>
      </c>
      <c r="E711" s="1" t="s">
        <v>25</v>
      </c>
      <c r="F711" s="1">
        <f t="shared" si="30"/>
        <v>720</v>
      </c>
      <c r="G711" s="5">
        <f t="shared" si="29"/>
        <v>0.64836111111111105</v>
      </c>
    </row>
    <row r="712" spans="1:7" ht="13">
      <c r="A712" s="4" t="s">
        <v>114</v>
      </c>
      <c r="B712" s="1">
        <v>7.2</v>
      </c>
      <c r="C712" s="1">
        <v>417</v>
      </c>
      <c r="D712" s="1" t="s">
        <v>33</v>
      </c>
      <c r="E712" s="1" t="s">
        <v>21</v>
      </c>
      <c r="F712" s="1">
        <f t="shared" si="30"/>
        <v>720</v>
      </c>
      <c r="G712" s="5">
        <f t="shared" si="29"/>
        <v>0.57916666666666672</v>
      </c>
    </row>
    <row r="713" spans="1:7" ht="13">
      <c r="A713" s="4" t="s">
        <v>114</v>
      </c>
      <c r="B713" s="1">
        <v>6.02</v>
      </c>
      <c r="C713" s="1">
        <v>439</v>
      </c>
      <c r="D713" s="1" t="s">
        <v>43</v>
      </c>
      <c r="E713" s="1" t="s">
        <v>8</v>
      </c>
      <c r="F713" s="1">
        <f t="shared" si="30"/>
        <v>602</v>
      </c>
      <c r="G713" s="5">
        <f t="shared" si="29"/>
        <v>0.72923588039867104</v>
      </c>
    </row>
    <row r="714" spans="1:7" ht="13">
      <c r="A714" s="4" t="s">
        <v>114</v>
      </c>
      <c r="B714" s="1">
        <v>9</v>
      </c>
      <c r="C714" s="1">
        <v>566</v>
      </c>
      <c r="D714" s="1" t="s">
        <v>44</v>
      </c>
      <c r="E714" s="1" t="s">
        <v>49</v>
      </c>
      <c r="F714" s="1">
        <f t="shared" si="30"/>
        <v>900</v>
      </c>
      <c r="G714" s="5">
        <f t="shared" si="29"/>
        <v>0.62888888888888894</v>
      </c>
    </row>
    <row r="715" spans="1:7" ht="13">
      <c r="A715" s="4" t="s">
        <v>114</v>
      </c>
      <c r="B715" s="1">
        <v>7</v>
      </c>
      <c r="C715" s="1">
        <v>327</v>
      </c>
      <c r="D715" s="1" t="s">
        <v>55</v>
      </c>
      <c r="E715" s="1" t="s">
        <v>8</v>
      </c>
      <c r="F715" s="1">
        <f t="shared" si="30"/>
        <v>700</v>
      </c>
      <c r="G715" s="5">
        <f t="shared" si="29"/>
        <v>0.46714285714285714</v>
      </c>
    </row>
    <row r="716" spans="1:7" ht="13">
      <c r="A716" s="4" t="s">
        <v>114</v>
      </c>
      <c r="B716" s="1">
        <v>8.4</v>
      </c>
      <c r="C716" s="1">
        <v>463</v>
      </c>
      <c r="D716" s="1" t="s">
        <v>33</v>
      </c>
      <c r="E716" s="1" t="s">
        <v>22</v>
      </c>
      <c r="F716" s="1">
        <f t="shared" si="30"/>
        <v>840</v>
      </c>
      <c r="G716" s="5">
        <f t="shared" si="29"/>
        <v>0.55119047619047623</v>
      </c>
    </row>
    <row r="717" spans="1:7" ht="13">
      <c r="A717" s="4" t="s">
        <v>114</v>
      </c>
      <c r="B717" s="1">
        <v>7.38</v>
      </c>
      <c r="C717" s="1">
        <v>370</v>
      </c>
      <c r="D717" s="1" t="s">
        <v>33</v>
      </c>
      <c r="E717" s="1" t="s">
        <v>28</v>
      </c>
      <c r="F717" s="1">
        <f t="shared" si="30"/>
        <v>738</v>
      </c>
      <c r="G717" s="5">
        <f t="shared" si="29"/>
        <v>0.50135501355013545</v>
      </c>
    </row>
    <row r="718" spans="1:7" ht="13">
      <c r="A718" s="4" t="s">
        <v>114</v>
      </c>
      <c r="B718" s="1">
        <v>5.88</v>
      </c>
      <c r="C718" s="1">
        <v>290</v>
      </c>
      <c r="D718" s="1" t="s">
        <v>39</v>
      </c>
      <c r="E718" s="1" t="s">
        <v>19</v>
      </c>
      <c r="F718" s="1">
        <f t="shared" si="30"/>
        <v>588</v>
      </c>
      <c r="G718" s="5">
        <f t="shared" si="29"/>
        <v>0.49319727891156462</v>
      </c>
    </row>
    <row r="719" spans="1:7" ht="13">
      <c r="A719" s="4" t="s">
        <v>114</v>
      </c>
      <c r="B719" s="1">
        <v>6.4</v>
      </c>
      <c r="C719" s="1">
        <v>407</v>
      </c>
      <c r="D719" s="1" t="s">
        <v>11</v>
      </c>
      <c r="E719" s="1" t="s">
        <v>15</v>
      </c>
      <c r="F719" s="1">
        <f t="shared" si="30"/>
        <v>640</v>
      </c>
      <c r="G719" s="5">
        <f t="shared" si="29"/>
        <v>0.63593750000000004</v>
      </c>
    </row>
    <row r="720" spans="1:7" ht="13">
      <c r="A720" s="4" t="s">
        <v>114</v>
      </c>
      <c r="B720" s="1">
        <v>4.1500000000000004</v>
      </c>
      <c r="C720" s="1">
        <v>302</v>
      </c>
      <c r="D720" s="1" t="s">
        <v>38</v>
      </c>
      <c r="E720" s="1" t="s">
        <v>14</v>
      </c>
      <c r="F720" s="1">
        <f t="shared" si="30"/>
        <v>415.00000000000006</v>
      </c>
      <c r="G720" s="5">
        <f t="shared" si="29"/>
        <v>0.7277108433734939</v>
      </c>
    </row>
    <row r="721" spans="1:7" ht="13">
      <c r="A721" s="4" t="s">
        <v>114</v>
      </c>
      <c r="B721" s="1">
        <v>4.2</v>
      </c>
      <c r="C721" s="1">
        <v>293</v>
      </c>
      <c r="D721" s="1" t="s">
        <v>11</v>
      </c>
      <c r="E721" s="1" t="s">
        <v>15</v>
      </c>
      <c r="F721" s="1">
        <f t="shared" si="30"/>
        <v>420</v>
      </c>
      <c r="G721" s="5">
        <f t="shared" si="29"/>
        <v>0.69761904761904758</v>
      </c>
    </row>
    <row r="722" spans="1:7" ht="13">
      <c r="A722" s="4" t="s">
        <v>114</v>
      </c>
      <c r="B722" s="1">
        <v>8.6</v>
      </c>
      <c r="C722" s="1">
        <v>428</v>
      </c>
      <c r="D722" s="1" t="s">
        <v>11</v>
      </c>
      <c r="E722" s="1" t="s">
        <v>19</v>
      </c>
      <c r="F722" s="1">
        <f t="shared" si="30"/>
        <v>860</v>
      </c>
      <c r="G722" s="5">
        <f t="shared" si="29"/>
        <v>0.49767441860465117</v>
      </c>
    </row>
    <row r="723" spans="1:7" ht="13">
      <c r="A723" s="4" t="s">
        <v>114</v>
      </c>
      <c r="B723" s="1">
        <v>8.58</v>
      </c>
      <c r="C723" s="1">
        <v>627</v>
      </c>
      <c r="D723" s="1" t="s">
        <v>11</v>
      </c>
      <c r="E723" s="1" t="s">
        <v>25</v>
      </c>
      <c r="F723" s="1">
        <f t="shared" si="30"/>
        <v>858</v>
      </c>
      <c r="G723" s="5">
        <f t="shared" si="29"/>
        <v>0.73076923076923073</v>
      </c>
    </row>
    <row r="724" spans="1:7" ht="13">
      <c r="A724" s="4" t="s">
        <v>114</v>
      </c>
      <c r="B724" s="1">
        <v>7.29</v>
      </c>
      <c r="C724" s="1">
        <v>509</v>
      </c>
      <c r="D724" s="1" t="s">
        <v>11</v>
      </c>
      <c r="E724" s="1" t="s">
        <v>7</v>
      </c>
      <c r="F724" s="1">
        <f t="shared" si="30"/>
        <v>729</v>
      </c>
      <c r="G724" s="5">
        <f t="shared" si="29"/>
        <v>0.69821673525377226</v>
      </c>
    </row>
    <row r="725" spans="1:7" ht="13">
      <c r="A725" s="4" t="s">
        <v>114</v>
      </c>
      <c r="B725" s="1">
        <v>7.2</v>
      </c>
      <c r="C725" s="1">
        <v>426</v>
      </c>
      <c r="D725" s="1" t="s">
        <v>43</v>
      </c>
      <c r="E725" s="1" t="s">
        <v>81</v>
      </c>
      <c r="F725" s="1">
        <f t="shared" si="30"/>
        <v>720</v>
      </c>
      <c r="G725" s="5">
        <f t="shared" si="29"/>
        <v>0.59166666666666667</v>
      </c>
    </row>
    <row r="726" spans="1:7" ht="13">
      <c r="A726" s="4" t="s">
        <v>114</v>
      </c>
      <c r="B726" s="1">
        <v>8.35</v>
      </c>
      <c r="C726" s="1">
        <v>460</v>
      </c>
      <c r="D726" s="1" t="s">
        <v>43</v>
      </c>
      <c r="E726" s="1" t="s">
        <v>7</v>
      </c>
      <c r="F726" s="1">
        <f t="shared" si="30"/>
        <v>835</v>
      </c>
      <c r="G726" s="5">
        <f t="shared" si="29"/>
        <v>0.55089820359281438</v>
      </c>
    </row>
    <row r="727" spans="1:7" ht="13">
      <c r="A727" s="4" t="s">
        <v>114</v>
      </c>
      <c r="B727" s="1">
        <v>5.6</v>
      </c>
      <c r="C727" s="1">
        <v>276</v>
      </c>
      <c r="D727" s="1" t="s">
        <v>11</v>
      </c>
      <c r="E727" s="1" t="s">
        <v>21</v>
      </c>
      <c r="F727" s="1">
        <f t="shared" si="30"/>
        <v>560</v>
      </c>
      <c r="G727" s="5">
        <f t="shared" si="29"/>
        <v>0.49285714285714288</v>
      </c>
    </row>
    <row r="728" spans="1:7" ht="13">
      <c r="A728" s="4" t="s">
        <v>114</v>
      </c>
      <c r="B728" s="1">
        <v>6.4</v>
      </c>
      <c r="C728" s="1">
        <v>409</v>
      </c>
      <c r="D728" s="1" t="s">
        <v>38</v>
      </c>
      <c r="E728" s="1" t="s">
        <v>24</v>
      </c>
      <c r="F728" s="1">
        <f t="shared" si="30"/>
        <v>640</v>
      </c>
      <c r="G728" s="5">
        <f t="shared" si="29"/>
        <v>0.63906249999999998</v>
      </c>
    </row>
    <row r="729" spans="1:7" ht="13">
      <c r="A729" s="4" t="s">
        <v>114</v>
      </c>
      <c r="B729" s="1">
        <v>8</v>
      </c>
      <c r="C729" s="1">
        <v>505</v>
      </c>
      <c r="D729" s="1" t="s">
        <v>11</v>
      </c>
      <c r="E729" s="1" t="s">
        <v>12</v>
      </c>
      <c r="F729" s="1">
        <f t="shared" si="30"/>
        <v>800</v>
      </c>
      <c r="G729" s="5">
        <f t="shared" si="29"/>
        <v>0.63124999999999998</v>
      </c>
    </row>
    <row r="730" spans="1:7" ht="13">
      <c r="A730" s="4" t="s">
        <v>114</v>
      </c>
      <c r="B730" s="1">
        <v>5.62</v>
      </c>
      <c r="C730" s="1">
        <v>380</v>
      </c>
      <c r="D730" s="1" t="s">
        <v>11</v>
      </c>
      <c r="E730" s="1" t="s">
        <v>23</v>
      </c>
      <c r="F730" s="1">
        <f t="shared" si="30"/>
        <v>562</v>
      </c>
      <c r="G730" s="5">
        <f t="shared" si="29"/>
        <v>0.67615658362989328</v>
      </c>
    </row>
    <row r="731" spans="1:7" ht="13">
      <c r="A731" s="4" t="s">
        <v>114</v>
      </c>
      <c r="B731" s="1">
        <v>7.8</v>
      </c>
      <c r="C731" s="1">
        <v>474</v>
      </c>
      <c r="D731" s="1" t="s">
        <v>39</v>
      </c>
      <c r="E731" s="1" t="s">
        <v>49</v>
      </c>
      <c r="F731" s="1">
        <f t="shared" si="30"/>
        <v>780</v>
      </c>
      <c r="G731" s="5">
        <f t="shared" si="29"/>
        <v>0.60769230769230764</v>
      </c>
    </row>
    <row r="732" spans="1:7" ht="13">
      <c r="A732" s="4" t="s">
        <v>114</v>
      </c>
      <c r="B732" s="1">
        <v>7800</v>
      </c>
      <c r="C732" s="1">
        <v>445</v>
      </c>
      <c r="D732" s="1" t="s">
        <v>43</v>
      </c>
      <c r="E732" s="1" t="s">
        <v>16</v>
      </c>
      <c r="F732" s="1">
        <f t="shared" si="30"/>
        <v>780000</v>
      </c>
      <c r="G732" s="5">
        <f t="shared" si="29"/>
        <v>5.7051282051282046E-4</v>
      </c>
    </row>
    <row r="733" spans="1:7" ht="13">
      <c r="A733" s="4" t="s">
        <v>114</v>
      </c>
      <c r="B733" s="1">
        <v>4.8</v>
      </c>
      <c r="C733" s="1">
        <v>285.39999999999998</v>
      </c>
      <c r="D733" s="1" t="s">
        <v>11</v>
      </c>
      <c r="E733" s="1" t="s">
        <v>24</v>
      </c>
      <c r="F733" s="1">
        <f t="shared" si="30"/>
        <v>480</v>
      </c>
      <c r="G733" s="5">
        <f t="shared" si="29"/>
        <v>0.59458333333333324</v>
      </c>
    </row>
    <row r="734" spans="1:7" ht="13">
      <c r="A734" s="4" t="s">
        <v>114</v>
      </c>
      <c r="B734" s="1">
        <v>4.5</v>
      </c>
      <c r="C734" s="1">
        <v>305</v>
      </c>
      <c r="D734" s="1" t="s">
        <v>11</v>
      </c>
      <c r="E734" s="1" t="s">
        <v>22</v>
      </c>
      <c r="F734" s="1">
        <f t="shared" si="30"/>
        <v>450</v>
      </c>
      <c r="G734" s="5">
        <f t="shared" si="29"/>
        <v>0.67777777777777781</v>
      </c>
    </row>
    <row r="735" spans="1:7" ht="13">
      <c r="A735" s="4" t="s">
        <v>114</v>
      </c>
      <c r="B735" s="1">
        <v>5.12</v>
      </c>
      <c r="C735" s="1">
        <v>296</v>
      </c>
      <c r="D735" s="1" t="s">
        <v>33</v>
      </c>
      <c r="E735" s="1" t="s">
        <v>15</v>
      </c>
      <c r="F735" s="1">
        <f t="shared" si="30"/>
        <v>512</v>
      </c>
      <c r="G735" s="5">
        <f t="shared" si="29"/>
        <v>0.578125</v>
      </c>
    </row>
    <row r="736" spans="1:7" ht="13">
      <c r="A736" s="4" t="s">
        <v>114</v>
      </c>
      <c r="B736" s="1">
        <v>7</v>
      </c>
      <c r="C736" s="1">
        <v>421</v>
      </c>
      <c r="D736" s="1" t="s">
        <v>11</v>
      </c>
      <c r="E736" s="1" t="s">
        <v>26</v>
      </c>
      <c r="F736" s="1">
        <f t="shared" si="30"/>
        <v>700</v>
      </c>
      <c r="G736" s="5">
        <f t="shared" si="29"/>
        <v>0.60142857142857142</v>
      </c>
    </row>
    <row r="737" spans="1:7" ht="13">
      <c r="A737" s="4" t="s">
        <v>114</v>
      </c>
      <c r="B737" s="1">
        <v>3.85</v>
      </c>
      <c r="C737" s="1">
        <v>251</v>
      </c>
      <c r="D737" s="1" t="s">
        <v>11</v>
      </c>
      <c r="E737" s="1" t="s">
        <v>20</v>
      </c>
      <c r="F737" s="1">
        <f t="shared" si="30"/>
        <v>385</v>
      </c>
      <c r="G737" s="5">
        <f t="shared" si="29"/>
        <v>0.65194805194805194</v>
      </c>
    </row>
    <row r="738" spans="1:7" ht="13">
      <c r="A738" s="4" t="s">
        <v>114</v>
      </c>
      <c r="B738" s="1">
        <v>2.8</v>
      </c>
      <c r="C738" s="1">
        <v>194</v>
      </c>
      <c r="D738" s="1" t="s">
        <v>47</v>
      </c>
      <c r="E738" s="1" t="s">
        <v>15</v>
      </c>
      <c r="F738" s="1">
        <f t="shared" si="30"/>
        <v>280</v>
      </c>
      <c r="G738" s="5">
        <f t="shared" si="29"/>
        <v>0.69285714285714284</v>
      </c>
    </row>
    <row r="739" spans="1:7" ht="13">
      <c r="A739" s="4" t="s">
        <v>114</v>
      </c>
      <c r="B739" s="1">
        <v>8.1999999999999993</v>
      </c>
      <c r="C739" s="1">
        <v>530.1</v>
      </c>
      <c r="D739" s="1" t="s">
        <v>11</v>
      </c>
      <c r="E739" s="1" t="s">
        <v>7</v>
      </c>
      <c r="F739" s="1">
        <f t="shared" si="30"/>
        <v>819.99999999999989</v>
      </c>
      <c r="G739" s="5">
        <f t="shared" si="29"/>
        <v>0.64646341463414647</v>
      </c>
    </row>
    <row r="740" spans="1:7" ht="13">
      <c r="A740" s="4" t="s">
        <v>114</v>
      </c>
      <c r="B740" s="1">
        <v>6.7</v>
      </c>
      <c r="C740" s="1">
        <v>484.1</v>
      </c>
      <c r="D740" s="1" t="s">
        <v>11</v>
      </c>
      <c r="E740" s="1" t="s">
        <v>17</v>
      </c>
      <c r="F740" s="1">
        <f t="shared" si="30"/>
        <v>670</v>
      </c>
      <c r="G740" s="5">
        <f t="shared" si="29"/>
        <v>0.72253731343283589</v>
      </c>
    </row>
    <row r="741" spans="1:7" ht="13">
      <c r="A741" s="4" t="s">
        <v>114</v>
      </c>
      <c r="B741" s="1">
        <v>4.2</v>
      </c>
      <c r="C741" s="1">
        <v>238</v>
      </c>
      <c r="D741" s="1" t="s">
        <v>37</v>
      </c>
      <c r="E741" s="1" t="s">
        <v>8</v>
      </c>
      <c r="F741" s="1">
        <f t="shared" si="30"/>
        <v>420</v>
      </c>
      <c r="G741" s="5">
        <f t="shared" si="29"/>
        <v>0.56666666666666665</v>
      </c>
    </row>
    <row r="742" spans="1:7" ht="13">
      <c r="A742" s="4" t="s">
        <v>114</v>
      </c>
      <c r="B742" s="1">
        <v>6</v>
      </c>
      <c r="C742" s="1">
        <v>262</v>
      </c>
      <c r="D742" s="1" t="s">
        <v>33</v>
      </c>
      <c r="E742" s="1" t="s">
        <v>30</v>
      </c>
      <c r="F742" s="1">
        <f t="shared" si="30"/>
        <v>600</v>
      </c>
      <c r="G742" s="5">
        <f t="shared" si="29"/>
        <v>0.43666666666666665</v>
      </c>
    </row>
    <row r="743" spans="1:7" ht="13">
      <c r="A743" s="4" t="s">
        <v>114</v>
      </c>
      <c r="B743" s="1">
        <v>9</v>
      </c>
      <c r="C743" s="1">
        <v>654</v>
      </c>
      <c r="D743" s="1" t="s">
        <v>11</v>
      </c>
      <c r="E743" s="1" t="s">
        <v>23</v>
      </c>
      <c r="F743" s="1">
        <f t="shared" si="30"/>
        <v>900</v>
      </c>
      <c r="G743" s="5">
        <f t="shared" si="29"/>
        <v>0.72666666666666668</v>
      </c>
    </row>
    <row r="744" spans="1:7" ht="13">
      <c r="A744" s="4" t="s">
        <v>114</v>
      </c>
      <c r="B744" s="1">
        <v>9.1300000000000008</v>
      </c>
      <c r="C744" s="1">
        <v>448</v>
      </c>
      <c r="D744" s="1" t="s">
        <v>11</v>
      </c>
      <c r="E744" s="1" t="s">
        <v>19</v>
      </c>
      <c r="F744" s="1">
        <f t="shared" si="30"/>
        <v>913.00000000000011</v>
      </c>
      <c r="G744" s="5">
        <f t="shared" si="29"/>
        <v>0.49069003285870749</v>
      </c>
    </row>
    <row r="745" spans="1:7" ht="13">
      <c r="A745" s="4" t="s">
        <v>114</v>
      </c>
      <c r="B745" s="1">
        <v>4.5</v>
      </c>
      <c r="C745" s="1">
        <v>317</v>
      </c>
      <c r="D745" s="1" t="s">
        <v>44</v>
      </c>
      <c r="E745" s="1" t="s">
        <v>9</v>
      </c>
      <c r="F745" s="1">
        <f t="shared" si="30"/>
        <v>450</v>
      </c>
      <c r="G745" s="5">
        <f t="shared" si="29"/>
        <v>0.70444444444444443</v>
      </c>
    </row>
    <row r="746" spans="1:7" ht="13">
      <c r="A746" s="4" t="s">
        <v>114</v>
      </c>
      <c r="B746" s="1">
        <v>12.04</v>
      </c>
      <c r="C746" s="1">
        <v>740</v>
      </c>
      <c r="D746" s="1" t="s">
        <v>11</v>
      </c>
      <c r="E746" s="1" t="s">
        <v>8</v>
      </c>
      <c r="F746" s="1">
        <f t="shared" si="30"/>
        <v>1204</v>
      </c>
      <c r="G746" s="5">
        <f t="shared" si="29"/>
        <v>0.61461794019933558</v>
      </c>
    </row>
    <row r="747" spans="1:7" ht="13">
      <c r="A747" s="4" t="s">
        <v>114</v>
      </c>
      <c r="B747" s="1">
        <v>6.09</v>
      </c>
      <c r="C747" s="1">
        <v>461</v>
      </c>
      <c r="D747" s="1" t="s">
        <v>11</v>
      </c>
      <c r="E747" s="1" t="s">
        <v>10</v>
      </c>
      <c r="F747" s="1">
        <f t="shared" si="30"/>
        <v>609</v>
      </c>
      <c r="G747" s="5">
        <f t="shared" si="29"/>
        <v>0.75697865353037763</v>
      </c>
    </row>
    <row r="748" spans="1:7" ht="13">
      <c r="A748" s="4" t="s">
        <v>114</v>
      </c>
      <c r="B748" s="1">
        <v>4</v>
      </c>
      <c r="C748" s="1">
        <v>185</v>
      </c>
      <c r="D748" s="1" t="s">
        <v>33</v>
      </c>
      <c r="E748" s="1" t="s">
        <v>26</v>
      </c>
      <c r="F748" s="1">
        <f t="shared" si="30"/>
        <v>400</v>
      </c>
      <c r="G748" s="5">
        <f t="shared" si="29"/>
        <v>0.46250000000000002</v>
      </c>
    </row>
    <row r="749" spans="1:7" ht="13">
      <c r="A749" s="4" t="s">
        <v>114</v>
      </c>
      <c r="B749" s="1">
        <v>10</v>
      </c>
      <c r="C749" s="1">
        <v>500</v>
      </c>
      <c r="D749" s="1" t="s">
        <v>39</v>
      </c>
      <c r="E749" s="1" t="s">
        <v>20</v>
      </c>
      <c r="F749" s="1">
        <f t="shared" si="30"/>
        <v>1000</v>
      </c>
      <c r="G749" s="5">
        <f t="shared" si="29"/>
        <v>0.5</v>
      </c>
    </row>
    <row r="750" spans="1:7" ht="13">
      <c r="A750" s="4" t="s">
        <v>114</v>
      </c>
      <c r="B750" s="1">
        <v>5.7</v>
      </c>
      <c r="C750" s="1">
        <v>337</v>
      </c>
      <c r="D750" s="1" t="s">
        <v>39</v>
      </c>
      <c r="E750" s="1" t="s">
        <v>28</v>
      </c>
      <c r="F750" s="1">
        <f t="shared" si="30"/>
        <v>570</v>
      </c>
      <c r="G750" s="5">
        <f t="shared" si="29"/>
        <v>0.59122807017543855</v>
      </c>
    </row>
    <row r="751" spans="1:7" ht="13">
      <c r="A751" s="4" t="s">
        <v>114</v>
      </c>
      <c r="B751" s="1">
        <v>5.6</v>
      </c>
      <c r="C751" s="1">
        <v>320.5</v>
      </c>
      <c r="D751" s="1" t="s">
        <v>33</v>
      </c>
      <c r="E751" s="1" t="s">
        <v>23</v>
      </c>
      <c r="F751" s="1">
        <f t="shared" si="30"/>
        <v>560</v>
      </c>
      <c r="G751" s="5">
        <f t="shared" si="29"/>
        <v>0.57232142857142854</v>
      </c>
    </row>
    <row r="752" spans="1:7" ht="13">
      <c r="A752" s="4" t="s">
        <v>114</v>
      </c>
      <c r="B752" s="1">
        <v>20.100000000000001</v>
      </c>
      <c r="C752" s="1">
        <v>1151</v>
      </c>
      <c r="D752" s="1" t="s">
        <v>11</v>
      </c>
      <c r="E752" s="1" t="s">
        <v>23</v>
      </c>
      <c r="F752" s="1">
        <f t="shared" si="30"/>
        <v>2010.0000000000002</v>
      </c>
      <c r="G752" s="5">
        <f t="shared" si="29"/>
        <v>0.57263681592039795</v>
      </c>
    </row>
    <row r="753" spans="1:7" ht="13">
      <c r="A753" s="4" t="s">
        <v>114</v>
      </c>
      <c r="B753" s="1">
        <v>5.14</v>
      </c>
      <c r="C753" s="1">
        <v>337</v>
      </c>
      <c r="D753" s="1" t="s">
        <v>55</v>
      </c>
      <c r="E753" s="1" t="s">
        <v>15</v>
      </c>
      <c r="F753" s="1">
        <f t="shared" si="30"/>
        <v>514</v>
      </c>
      <c r="G753" s="5">
        <f t="shared" si="29"/>
        <v>0.6556420233463035</v>
      </c>
    </row>
    <row r="754" spans="1:7" ht="13">
      <c r="A754" s="4" t="s">
        <v>114</v>
      </c>
      <c r="B754" s="1">
        <v>8.3000000000000007</v>
      </c>
      <c r="C754" s="1">
        <v>539</v>
      </c>
      <c r="D754" s="1" t="s">
        <v>11</v>
      </c>
      <c r="E754" s="1" t="s">
        <v>21</v>
      </c>
      <c r="F754" s="1">
        <f t="shared" si="30"/>
        <v>830.00000000000011</v>
      </c>
      <c r="G754" s="5">
        <f t="shared" si="29"/>
        <v>0.64939759036144573</v>
      </c>
    </row>
    <row r="755" spans="1:7" ht="13">
      <c r="A755" s="4" t="s">
        <v>114</v>
      </c>
      <c r="B755" s="1">
        <v>5.85</v>
      </c>
      <c r="C755" s="1">
        <v>385</v>
      </c>
      <c r="D755" s="1" t="s">
        <v>45</v>
      </c>
      <c r="E755" s="1" t="s">
        <v>15</v>
      </c>
      <c r="F755" s="1">
        <f t="shared" si="30"/>
        <v>585</v>
      </c>
      <c r="G755" s="5">
        <f t="shared" si="29"/>
        <v>0.65811965811965811</v>
      </c>
    </row>
    <row r="756" spans="1:7" ht="13">
      <c r="A756" s="4" t="s">
        <v>114</v>
      </c>
      <c r="B756" s="1">
        <v>6.96</v>
      </c>
      <c r="C756" s="1">
        <v>478</v>
      </c>
      <c r="D756" s="1" t="s">
        <v>11</v>
      </c>
      <c r="E756" s="1" t="s">
        <v>14</v>
      </c>
      <c r="F756" s="1">
        <f t="shared" si="30"/>
        <v>696</v>
      </c>
      <c r="G756" s="5">
        <f t="shared" si="29"/>
        <v>0.68678160919540232</v>
      </c>
    </row>
    <row r="757" spans="1:7" ht="13">
      <c r="A757" s="4" t="s">
        <v>114</v>
      </c>
      <c r="B757" s="1">
        <v>7.29</v>
      </c>
      <c r="C757" s="1">
        <v>446</v>
      </c>
      <c r="D757" s="1" t="s">
        <v>11</v>
      </c>
      <c r="E757" s="1" t="s">
        <v>22</v>
      </c>
      <c r="F757" s="1">
        <f t="shared" si="30"/>
        <v>729</v>
      </c>
      <c r="G757" s="5">
        <f t="shared" si="29"/>
        <v>0.61179698216735257</v>
      </c>
    </row>
    <row r="758" spans="1:7" ht="13">
      <c r="A758" s="4" t="s">
        <v>114</v>
      </c>
      <c r="B758" s="1">
        <v>6.88</v>
      </c>
      <c r="C758" s="1">
        <v>547</v>
      </c>
      <c r="D758" s="1" t="s">
        <v>11</v>
      </c>
      <c r="E758" s="1" t="s">
        <v>15</v>
      </c>
      <c r="F758" s="1">
        <f t="shared" si="30"/>
        <v>688</v>
      </c>
      <c r="G758" s="5">
        <f t="shared" si="29"/>
        <v>0.79505813953488369</v>
      </c>
    </row>
    <row r="759" spans="1:7" ht="13">
      <c r="A759" s="4" t="s">
        <v>114</v>
      </c>
      <c r="B759" s="1">
        <v>4.7</v>
      </c>
      <c r="C759" s="1">
        <v>197.34</v>
      </c>
      <c r="D759" s="1" t="s">
        <v>43</v>
      </c>
      <c r="E759" s="1" t="s">
        <v>15</v>
      </c>
      <c r="F759" s="1">
        <f t="shared" si="30"/>
        <v>470</v>
      </c>
      <c r="G759" s="5">
        <f t="shared" si="29"/>
        <v>0.4198723404255319</v>
      </c>
    </row>
    <row r="760" spans="1:7" ht="13">
      <c r="A760" s="4" t="s">
        <v>114</v>
      </c>
      <c r="B760" s="1">
        <v>3.6</v>
      </c>
      <c r="C760" s="1">
        <v>244</v>
      </c>
      <c r="D760" s="1" t="s">
        <v>11</v>
      </c>
      <c r="E760" s="1" t="s">
        <v>28</v>
      </c>
      <c r="F760" s="1">
        <f t="shared" si="30"/>
        <v>360</v>
      </c>
      <c r="G760" s="5">
        <f t="shared" si="29"/>
        <v>0.67777777777777781</v>
      </c>
    </row>
    <row r="761" spans="1:7" ht="13">
      <c r="A761" s="4" t="s">
        <v>114</v>
      </c>
      <c r="B761" s="1">
        <v>5</v>
      </c>
      <c r="C761" s="1">
        <v>305</v>
      </c>
      <c r="D761" s="1" t="s">
        <v>50</v>
      </c>
      <c r="E761" s="1" t="s">
        <v>17</v>
      </c>
      <c r="F761" s="1">
        <f t="shared" si="30"/>
        <v>500</v>
      </c>
      <c r="G761" s="5">
        <f t="shared" si="29"/>
        <v>0.61</v>
      </c>
    </row>
    <row r="762" spans="1:7" ht="13">
      <c r="A762" s="4" t="s">
        <v>114</v>
      </c>
      <c r="B762" s="1">
        <v>3.6</v>
      </c>
      <c r="C762" s="1">
        <v>296</v>
      </c>
      <c r="D762" s="1" t="s">
        <v>11</v>
      </c>
      <c r="E762" s="1" t="s">
        <v>24</v>
      </c>
      <c r="F762" s="1">
        <f t="shared" si="30"/>
        <v>360</v>
      </c>
      <c r="G762" s="5">
        <f t="shared" si="29"/>
        <v>0.82222222222222219</v>
      </c>
    </row>
    <row r="763" spans="1:7" ht="13">
      <c r="A763" s="4" t="s">
        <v>114</v>
      </c>
      <c r="B763" s="1">
        <v>6</v>
      </c>
      <c r="C763" s="1">
        <v>243</v>
      </c>
      <c r="D763" s="1" t="s">
        <v>70</v>
      </c>
      <c r="E763" s="1" t="s">
        <v>18</v>
      </c>
      <c r="F763" s="1">
        <f t="shared" si="30"/>
        <v>600</v>
      </c>
      <c r="G763" s="5">
        <f t="shared" si="29"/>
        <v>0.40500000000000003</v>
      </c>
    </row>
    <row r="764" spans="1:7" ht="13">
      <c r="A764" s="4" t="s">
        <v>115</v>
      </c>
      <c r="B764" s="1">
        <v>7.56</v>
      </c>
      <c r="C764" s="1">
        <v>660</v>
      </c>
      <c r="D764" s="1" t="s">
        <v>11</v>
      </c>
      <c r="E764" s="1" t="s">
        <v>7</v>
      </c>
      <c r="F764" s="1">
        <f t="shared" si="30"/>
        <v>756</v>
      </c>
      <c r="G764" s="5">
        <f t="shared" si="29"/>
        <v>0.87301587301587302</v>
      </c>
    </row>
    <row r="765" spans="1:7" ht="13">
      <c r="A765" s="4" t="s">
        <v>115</v>
      </c>
      <c r="B765" s="1">
        <v>5.8</v>
      </c>
      <c r="C765" s="1">
        <v>544</v>
      </c>
      <c r="D765" s="1" t="s">
        <v>53</v>
      </c>
      <c r="E765" s="1" t="s">
        <v>10</v>
      </c>
      <c r="F765" s="1">
        <f t="shared" si="30"/>
        <v>580</v>
      </c>
      <c r="G765" s="5">
        <f t="shared" si="29"/>
        <v>0.93793103448275861</v>
      </c>
    </row>
    <row r="766" spans="1:7" ht="13">
      <c r="A766" s="4" t="s">
        <v>115</v>
      </c>
      <c r="B766" s="1">
        <v>7.75</v>
      </c>
      <c r="C766" s="1">
        <v>674</v>
      </c>
      <c r="D766" s="1" t="s">
        <v>60</v>
      </c>
      <c r="E766" s="1" t="s">
        <v>10</v>
      </c>
      <c r="F766" s="1">
        <f t="shared" si="30"/>
        <v>775</v>
      </c>
      <c r="G766" s="5">
        <f t="shared" si="29"/>
        <v>0.86967741935483867</v>
      </c>
    </row>
    <row r="767" spans="1:7" ht="13">
      <c r="A767" s="4" t="s">
        <v>115</v>
      </c>
      <c r="B767" s="1">
        <v>5.2</v>
      </c>
      <c r="C767" s="1">
        <v>465</v>
      </c>
      <c r="D767" s="1" t="s">
        <v>45</v>
      </c>
      <c r="E767" s="1" t="s">
        <v>15</v>
      </c>
      <c r="F767" s="1">
        <f t="shared" si="30"/>
        <v>520</v>
      </c>
      <c r="G767" s="5">
        <f t="shared" si="29"/>
        <v>0.89423076923076927</v>
      </c>
    </row>
    <row r="768" spans="1:7" ht="13">
      <c r="A768" s="4" t="s">
        <v>115</v>
      </c>
      <c r="B768" s="1">
        <v>7.3</v>
      </c>
      <c r="C768" s="1">
        <v>574</v>
      </c>
      <c r="D768" s="1" t="s">
        <v>50</v>
      </c>
      <c r="E768" s="1" t="s">
        <v>15</v>
      </c>
      <c r="F768" s="1">
        <f t="shared" si="30"/>
        <v>730</v>
      </c>
      <c r="G768" s="5">
        <f t="shared" si="29"/>
        <v>0.78630136986301369</v>
      </c>
    </row>
    <row r="769" spans="1:7" ht="13">
      <c r="A769" s="4" t="s">
        <v>115</v>
      </c>
      <c r="B769" s="1">
        <v>7.83</v>
      </c>
      <c r="C769" s="1">
        <v>763</v>
      </c>
      <c r="D769" s="1" t="s">
        <v>44</v>
      </c>
      <c r="E769" s="1" t="s">
        <v>23</v>
      </c>
      <c r="F769" s="1">
        <f t="shared" si="30"/>
        <v>783</v>
      </c>
      <c r="G769" s="5">
        <f t="shared" si="29"/>
        <v>0.97445721583652622</v>
      </c>
    </row>
    <row r="770" spans="1:7" ht="13">
      <c r="A770" s="4" t="s">
        <v>115</v>
      </c>
      <c r="B770" s="1">
        <v>6</v>
      </c>
      <c r="C770" s="1">
        <v>632</v>
      </c>
      <c r="D770" s="1" t="s">
        <v>11</v>
      </c>
      <c r="E770" s="1" t="s">
        <v>19</v>
      </c>
      <c r="F770" s="1">
        <f t="shared" si="30"/>
        <v>600</v>
      </c>
      <c r="G770" s="5">
        <f t="shared" ref="G770:G833" si="31">C770/F770</f>
        <v>1.0533333333333332</v>
      </c>
    </row>
    <row r="771" spans="1:7" ht="13">
      <c r="A771" s="4" t="s">
        <v>115</v>
      </c>
      <c r="B771" s="1">
        <v>3.48</v>
      </c>
      <c r="C771" s="1">
        <v>346</v>
      </c>
      <c r="D771" s="1" t="s">
        <v>39</v>
      </c>
      <c r="E771" s="1" t="s">
        <v>15</v>
      </c>
      <c r="F771" s="1">
        <f t="shared" ref="F771:F834" si="32">B771*100</f>
        <v>348</v>
      </c>
      <c r="G771" s="5">
        <f t="shared" si="31"/>
        <v>0.99425287356321834</v>
      </c>
    </row>
    <row r="772" spans="1:7" ht="13">
      <c r="A772" s="4" t="s">
        <v>115</v>
      </c>
      <c r="B772" s="1">
        <v>5.0999999999999996</v>
      </c>
      <c r="C772" s="1">
        <v>531</v>
      </c>
      <c r="D772" s="1" t="s">
        <v>39</v>
      </c>
      <c r="E772" s="1" t="s">
        <v>15</v>
      </c>
      <c r="F772" s="1">
        <f t="shared" si="32"/>
        <v>509.99999999999994</v>
      </c>
      <c r="G772" s="5">
        <f t="shared" si="31"/>
        <v>1.0411764705882354</v>
      </c>
    </row>
    <row r="773" spans="1:7" ht="13">
      <c r="A773" s="4" t="s">
        <v>115</v>
      </c>
      <c r="B773" s="1">
        <v>7.29</v>
      </c>
      <c r="C773" s="1">
        <v>740</v>
      </c>
      <c r="D773" s="1" t="s">
        <v>11</v>
      </c>
      <c r="E773" s="1" t="s">
        <v>18</v>
      </c>
      <c r="F773" s="1">
        <f t="shared" si="32"/>
        <v>729</v>
      </c>
      <c r="G773" s="5">
        <f t="shared" si="31"/>
        <v>1.0150891632373114</v>
      </c>
    </row>
    <row r="774" spans="1:7" ht="13">
      <c r="A774" s="4" t="s">
        <v>115</v>
      </c>
      <c r="B774" s="1">
        <v>8.1199999999999992</v>
      </c>
      <c r="C774" s="1">
        <v>743</v>
      </c>
      <c r="D774" s="1" t="s">
        <v>38</v>
      </c>
      <c r="E774" s="1" t="s">
        <v>20</v>
      </c>
      <c r="F774" s="1">
        <f t="shared" si="32"/>
        <v>811.99999999999989</v>
      </c>
      <c r="G774" s="5">
        <f t="shared" si="31"/>
        <v>0.915024630541872</v>
      </c>
    </row>
    <row r="775" spans="1:7" ht="13">
      <c r="A775" s="4" t="s">
        <v>115</v>
      </c>
      <c r="B775" s="1">
        <v>3.44</v>
      </c>
      <c r="C775" s="1">
        <v>401</v>
      </c>
      <c r="D775" s="1" t="s">
        <v>43</v>
      </c>
      <c r="E775" s="1" t="s">
        <v>8</v>
      </c>
      <c r="F775" s="1">
        <f t="shared" si="32"/>
        <v>344</v>
      </c>
      <c r="G775" s="5">
        <f t="shared" si="31"/>
        <v>1.1656976744186047</v>
      </c>
    </row>
    <row r="776" spans="1:7" ht="13">
      <c r="A776" s="4" t="s">
        <v>115</v>
      </c>
      <c r="B776" s="1">
        <v>5.0999999999999996</v>
      </c>
      <c r="C776" s="1">
        <v>526</v>
      </c>
      <c r="D776" s="1" t="s">
        <v>43</v>
      </c>
      <c r="E776" s="1" t="s">
        <v>49</v>
      </c>
      <c r="F776" s="1">
        <f t="shared" si="32"/>
        <v>509.99999999999994</v>
      </c>
      <c r="G776" s="5">
        <f t="shared" si="31"/>
        <v>1.031372549019608</v>
      </c>
    </row>
    <row r="777" spans="1:7" ht="13">
      <c r="A777" s="4" t="s">
        <v>115</v>
      </c>
      <c r="B777" s="1">
        <v>4.8</v>
      </c>
      <c r="C777" s="1">
        <v>4.29</v>
      </c>
      <c r="D777" s="1" t="s">
        <v>11</v>
      </c>
      <c r="E777" s="1" t="s">
        <v>32</v>
      </c>
      <c r="F777" s="1">
        <f t="shared" si="32"/>
        <v>480</v>
      </c>
      <c r="G777" s="5">
        <f t="shared" si="31"/>
        <v>8.9374999999999993E-3</v>
      </c>
    </row>
    <row r="778" spans="1:7" ht="13">
      <c r="A778" s="4" t="s">
        <v>115</v>
      </c>
      <c r="B778" s="1">
        <v>7.2</v>
      </c>
      <c r="C778" s="1">
        <v>717</v>
      </c>
      <c r="D778" s="1" t="s">
        <v>39</v>
      </c>
      <c r="E778" s="1" t="s">
        <v>9</v>
      </c>
      <c r="F778" s="1">
        <f t="shared" si="32"/>
        <v>720</v>
      </c>
      <c r="G778" s="5">
        <f t="shared" si="31"/>
        <v>0.99583333333333335</v>
      </c>
    </row>
    <row r="779" spans="1:7" ht="13">
      <c r="A779" s="4" t="s">
        <v>115</v>
      </c>
      <c r="B779" s="1">
        <v>3</v>
      </c>
      <c r="C779" s="1">
        <v>398</v>
      </c>
      <c r="D779" s="1" t="s">
        <v>43</v>
      </c>
      <c r="E779" s="1" t="s">
        <v>18</v>
      </c>
      <c r="F779" s="1">
        <f t="shared" si="32"/>
        <v>300</v>
      </c>
      <c r="G779" s="5">
        <f t="shared" si="31"/>
        <v>1.3266666666666667</v>
      </c>
    </row>
    <row r="780" spans="1:7" ht="13">
      <c r="A780" s="4" t="s">
        <v>115</v>
      </c>
      <c r="B780" s="1">
        <v>6.2</v>
      </c>
      <c r="C780" s="1">
        <v>645</v>
      </c>
      <c r="D780" s="1" t="s">
        <v>11</v>
      </c>
      <c r="E780" s="1" t="s">
        <v>7</v>
      </c>
      <c r="F780" s="1">
        <f t="shared" si="32"/>
        <v>620</v>
      </c>
      <c r="G780" s="5">
        <f t="shared" si="31"/>
        <v>1.0403225806451613</v>
      </c>
    </row>
    <row r="781" spans="1:7" ht="13">
      <c r="A781" s="4" t="s">
        <v>115</v>
      </c>
      <c r="B781" s="1">
        <v>11</v>
      </c>
      <c r="C781" s="1">
        <v>960</v>
      </c>
      <c r="D781" s="1" t="s">
        <v>47</v>
      </c>
      <c r="E781" s="1" t="s">
        <v>14</v>
      </c>
      <c r="F781" s="1">
        <f t="shared" si="32"/>
        <v>1100</v>
      </c>
      <c r="G781" s="5">
        <f t="shared" si="31"/>
        <v>0.87272727272727268</v>
      </c>
    </row>
    <row r="782" spans="1:7" ht="13">
      <c r="A782" s="4" t="s">
        <v>115</v>
      </c>
      <c r="B782" s="1">
        <v>6.96</v>
      </c>
      <c r="C782" s="1">
        <v>377</v>
      </c>
      <c r="D782" s="1" t="s">
        <v>33</v>
      </c>
      <c r="E782" s="1" t="s">
        <v>20</v>
      </c>
      <c r="F782" s="1">
        <f t="shared" si="32"/>
        <v>696</v>
      </c>
      <c r="G782" s="5">
        <f t="shared" si="31"/>
        <v>0.54166666666666663</v>
      </c>
    </row>
    <row r="783" spans="1:7" ht="13">
      <c r="A783" s="4" t="s">
        <v>115</v>
      </c>
      <c r="B783" s="1">
        <v>5.2</v>
      </c>
      <c r="C783" s="1">
        <v>512</v>
      </c>
      <c r="D783" s="1" t="s">
        <v>39</v>
      </c>
      <c r="E783" s="1" t="s">
        <v>18</v>
      </c>
      <c r="F783" s="1">
        <f t="shared" si="32"/>
        <v>520</v>
      </c>
      <c r="G783" s="5">
        <f t="shared" si="31"/>
        <v>0.98461538461538467</v>
      </c>
    </row>
    <row r="784" spans="1:7" ht="13">
      <c r="A784" s="4" t="s">
        <v>115</v>
      </c>
      <c r="B784" s="1">
        <v>4.3</v>
      </c>
      <c r="C784" s="1">
        <v>409</v>
      </c>
      <c r="D784" s="1" t="s">
        <v>33</v>
      </c>
      <c r="E784" s="1" t="s">
        <v>16</v>
      </c>
      <c r="F784" s="1">
        <f t="shared" si="32"/>
        <v>430</v>
      </c>
      <c r="G784" s="5">
        <f t="shared" si="31"/>
        <v>0.9511627906976744</v>
      </c>
    </row>
    <row r="785" spans="1:7" ht="13">
      <c r="A785" s="4" t="s">
        <v>115</v>
      </c>
      <c r="B785" s="1">
        <v>7</v>
      </c>
      <c r="C785" s="1">
        <v>765</v>
      </c>
      <c r="D785" s="1" t="s">
        <v>47</v>
      </c>
      <c r="E785" s="1" t="s">
        <v>17</v>
      </c>
      <c r="F785" s="1">
        <f t="shared" si="32"/>
        <v>700</v>
      </c>
      <c r="G785" s="5">
        <f t="shared" si="31"/>
        <v>1.0928571428571427</v>
      </c>
    </row>
    <row r="786" spans="1:7" ht="13">
      <c r="A786" s="4" t="s">
        <v>115</v>
      </c>
      <c r="B786" s="1">
        <v>7.9</v>
      </c>
      <c r="C786" s="1">
        <v>817</v>
      </c>
      <c r="D786" s="1" t="s">
        <v>11</v>
      </c>
      <c r="E786" s="1" t="s">
        <v>27</v>
      </c>
      <c r="F786" s="1">
        <f t="shared" si="32"/>
        <v>790</v>
      </c>
      <c r="G786" s="5">
        <f t="shared" si="31"/>
        <v>1.0341772151898734</v>
      </c>
    </row>
    <row r="787" spans="1:7" ht="13">
      <c r="A787" s="4" t="s">
        <v>115</v>
      </c>
      <c r="B787" s="1">
        <v>7</v>
      </c>
      <c r="C787" s="1">
        <v>562</v>
      </c>
      <c r="D787" s="1" t="s">
        <v>11</v>
      </c>
      <c r="E787" s="1" t="s">
        <v>18</v>
      </c>
      <c r="F787" s="1">
        <f t="shared" si="32"/>
        <v>700</v>
      </c>
      <c r="G787" s="5">
        <f t="shared" si="31"/>
        <v>0.80285714285714282</v>
      </c>
    </row>
    <row r="788" spans="1:7" ht="13">
      <c r="A788" s="4" t="s">
        <v>115</v>
      </c>
      <c r="B788" s="1">
        <v>4.3499999999999996</v>
      </c>
      <c r="C788" s="1">
        <v>395</v>
      </c>
      <c r="D788" s="1" t="s">
        <v>44</v>
      </c>
      <c r="E788" s="1" t="s">
        <v>15</v>
      </c>
      <c r="F788" s="1">
        <f t="shared" si="32"/>
        <v>434.99999999999994</v>
      </c>
      <c r="G788" s="5">
        <f t="shared" si="31"/>
        <v>0.90804597701149437</v>
      </c>
    </row>
    <row r="789" spans="1:7" ht="13">
      <c r="A789" s="4" t="s">
        <v>115</v>
      </c>
      <c r="B789" s="1">
        <v>6.68</v>
      </c>
      <c r="C789" s="1">
        <v>618</v>
      </c>
      <c r="D789" s="1" t="s">
        <v>33</v>
      </c>
      <c r="E789" s="1" t="s">
        <v>12</v>
      </c>
      <c r="F789" s="1">
        <f t="shared" si="32"/>
        <v>668</v>
      </c>
      <c r="G789" s="5">
        <f t="shared" si="31"/>
        <v>0.92514970059880242</v>
      </c>
    </row>
    <row r="790" spans="1:7" ht="13">
      <c r="A790" s="4" t="s">
        <v>115</v>
      </c>
      <c r="B790" s="1">
        <v>4.3</v>
      </c>
      <c r="C790" s="1">
        <v>462</v>
      </c>
      <c r="D790" s="1" t="s">
        <v>39</v>
      </c>
      <c r="E790" s="1" t="s">
        <v>15</v>
      </c>
      <c r="F790" s="1">
        <f t="shared" si="32"/>
        <v>430</v>
      </c>
      <c r="G790" s="5">
        <f t="shared" si="31"/>
        <v>1.0744186046511628</v>
      </c>
    </row>
    <row r="791" spans="1:7" ht="13">
      <c r="A791" s="4" t="s">
        <v>115</v>
      </c>
      <c r="B791" s="1">
        <v>8.1999999999999993</v>
      </c>
      <c r="C791" s="1">
        <v>773</v>
      </c>
      <c r="D791" s="1" t="s">
        <v>39</v>
      </c>
      <c r="E791" s="1" t="s">
        <v>16</v>
      </c>
      <c r="F791" s="1">
        <f t="shared" si="32"/>
        <v>819.99999999999989</v>
      </c>
      <c r="G791" s="5">
        <f t="shared" si="31"/>
        <v>0.94268292682926846</v>
      </c>
    </row>
    <row r="792" spans="1:7" ht="13">
      <c r="A792" s="4" t="s">
        <v>115</v>
      </c>
      <c r="B792" s="1">
        <v>5.2</v>
      </c>
      <c r="C792" s="1">
        <v>436</v>
      </c>
      <c r="D792" s="1" t="s">
        <v>53</v>
      </c>
      <c r="E792" s="1" t="s">
        <v>24</v>
      </c>
      <c r="F792" s="1">
        <f t="shared" si="32"/>
        <v>520</v>
      </c>
      <c r="G792" s="5">
        <f t="shared" si="31"/>
        <v>0.83846153846153848</v>
      </c>
    </row>
    <row r="793" spans="1:7" ht="13">
      <c r="A793" s="4" t="s">
        <v>115</v>
      </c>
      <c r="B793" s="1">
        <v>6</v>
      </c>
      <c r="C793" s="1">
        <v>622</v>
      </c>
      <c r="D793" s="1" t="s">
        <v>11</v>
      </c>
      <c r="E793" s="1" t="s">
        <v>22</v>
      </c>
      <c r="F793" s="1">
        <f t="shared" si="32"/>
        <v>600</v>
      </c>
      <c r="G793" s="5">
        <f t="shared" si="31"/>
        <v>1.0366666666666666</v>
      </c>
    </row>
    <row r="794" spans="1:7" ht="13">
      <c r="A794" s="4" t="s">
        <v>115</v>
      </c>
      <c r="B794" s="1">
        <v>7.74</v>
      </c>
      <c r="C794" s="1">
        <v>716</v>
      </c>
      <c r="D794" s="1" t="s">
        <v>43</v>
      </c>
      <c r="E794" s="1" t="s">
        <v>22</v>
      </c>
      <c r="F794" s="1">
        <f t="shared" si="32"/>
        <v>774</v>
      </c>
      <c r="G794" s="5">
        <f t="shared" si="31"/>
        <v>0.92506459948320419</v>
      </c>
    </row>
    <row r="795" spans="1:7" ht="13">
      <c r="A795" s="4" t="s">
        <v>115</v>
      </c>
      <c r="B795" s="1">
        <v>2.87</v>
      </c>
      <c r="C795" s="1">
        <v>328</v>
      </c>
      <c r="D795" s="1" t="s">
        <v>11</v>
      </c>
      <c r="E795" s="1" t="s">
        <v>8</v>
      </c>
      <c r="F795" s="1">
        <f t="shared" si="32"/>
        <v>287</v>
      </c>
      <c r="G795" s="5">
        <f t="shared" si="31"/>
        <v>1.1428571428571428</v>
      </c>
    </row>
    <row r="796" spans="1:7" ht="13">
      <c r="A796" s="4" t="s">
        <v>115</v>
      </c>
      <c r="B796" s="1">
        <v>10.3</v>
      </c>
      <c r="C796" s="1">
        <v>900</v>
      </c>
      <c r="D796" s="1" t="s">
        <v>82</v>
      </c>
      <c r="E796" s="1" t="s">
        <v>26</v>
      </c>
      <c r="F796" s="1">
        <f t="shared" si="32"/>
        <v>1030</v>
      </c>
      <c r="G796" s="5">
        <f t="shared" si="31"/>
        <v>0.87378640776699024</v>
      </c>
    </row>
    <row r="797" spans="1:7" ht="13">
      <c r="A797" s="4" t="s">
        <v>115</v>
      </c>
      <c r="B797" s="1">
        <v>7.8</v>
      </c>
      <c r="C797" s="1">
        <v>692</v>
      </c>
      <c r="D797" s="1" t="s">
        <v>40</v>
      </c>
      <c r="E797" s="1" t="s">
        <v>15</v>
      </c>
      <c r="F797" s="1">
        <f t="shared" si="32"/>
        <v>780</v>
      </c>
      <c r="G797" s="5">
        <f t="shared" si="31"/>
        <v>0.88717948717948714</v>
      </c>
    </row>
    <row r="798" spans="1:7" ht="13">
      <c r="A798" s="4" t="s">
        <v>115</v>
      </c>
      <c r="B798" s="1">
        <v>7.9</v>
      </c>
      <c r="C798" s="1">
        <v>687</v>
      </c>
      <c r="D798" s="1" t="s">
        <v>11</v>
      </c>
      <c r="E798" s="1" t="s">
        <v>20</v>
      </c>
      <c r="F798" s="1">
        <f t="shared" si="32"/>
        <v>790</v>
      </c>
      <c r="G798" s="5">
        <f t="shared" si="31"/>
        <v>0.86962025316455693</v>
      </c>
    </row>
    <row r="799" spans="1:7" ht="13">
      <c r="A799" s="4" t="s">
        <v>115</v>
      </c>
      <c r="B799" s="1">
        <v>5.16</v>
      </c>
      <c r="C799" s="1">
        <v>504</v>
      </c>
      <c r="D799" s="1" t="s">
        <v>38</v>
      </c>
      <c r="E799" s="1" t="s">
        <v>26</v>
      </c>
      <c r="F799" s="1">
        <f t="shared" si="32"/>
        <v>516</v>
      </c>
      <c r="G799" s="5">
        <f t="shared" si="31"/>
        <v>0.97674418604651159</v>
      </c>
    </row>
    <row r="800" spans="1:7" ht="13">
      <c r="A800" s="4" t="s">
        <v>115</v>
      </c>
      <c r="B800" s="1">
        <v>4.8600000000000003</v>
      </c>
      <c r="C800" s="1">
        <v>485</v>
      </c>
      <c r="D800" s="1" t="s">
        <v>38</v>
      </c>
      <c r="E800" s="1" t="s">
        <v>15</v>
      </c>
      <c r="F800" s="1">
        <f t="shared" si="32"/>
        <v>486.00000000000006</v>
      </c>
      <c r="G800" s="5">
        <f t="shared" si="31"/>
        <v>0.99794238683127556</v>
      </c>
    </row>
    <row r="801" spans="1:7" ht="13">
      <c r="A801" s="4" t="s">
        <v>115</v>
      </c>
      <c r="B801" s="1">
        <v>7.4</v>
      </c>
      <c r="C801" s="1">
        <v>725</v>
      </c>
      <c r="D801" s="1" t="s">
        <v>39</v>
      </c>
      <c r="E801" s="1" t="s">
        <v>7</v>
      </c>
      <c r="F801" s="1">
        <f t="shared" si="32"/>
        <v>740</v>
      </c>
      <c r="G801" s="5">
        <f t="shared" si="31"/>
        <v>0.97972972972972971</v>
      </c>
    </row>
    <row r="802" spans="1:7" ht="13">
      <c r="A802" s="4" t="s">
        <v>115</v>
      </c>
      <c r="B802" s="1">
        <v>4.9000000000000004</v>
      </c>
      <c r="C802" s="1">
        <v>493</v>
      </c>
      <c r="D802" s="1" t="s">
        <v>44</v>
      </c>
      <c r="E802" s="1" t="s">
        <v>15</v>
      </c>
      <c r="F802" s="1">
        <f t="shared" si="32"/>
        <v>490.00000000000006</v>
      </c>
      <c r="G802" s="5">
        <f t="shared" si="31"/>
        <v>1.0061224489795917</v>
      </c>
    </row>
    <row r="803" spans="1:7" ht="13">
      <c r="A803" s="4" t="s">
        <v>115</v>
      </c>
      <c r="B803" s="1">
        <v>6.4</v>
      </c>
      <c r="C803" s="1">
        <v>745</v>
      </c>
      <c r="D803" s="1" t="s">
        <v>11</v>
      </c>
      <c r="E803" s="1" t="s">
        <v>32</v>
      </c>
      <c r="F803" s="1">
        <f t="shared" si="32"/>
        <v>640</v>
      </c>
      <c r="G803" s="5">
        <f t="shared" si="31"/>
        <v>1.1640625</v>
      </c>
    </row>
    <row r="804" spans="1:7" ht="13">
      <c r="A804" s="4" t="s">
        <v>115</v>
      </c>
      <c r="B804" s="1">
        <v>6</v>
      </c>
      <c r="C804" s="1">
        <v>542</v>
      </c>
      <c r="D804" s="1" t="s">
        <v>60</v>
      </c>
      <c r="E804" s="1" t="s">
        <v>17</v>
      </c>
      <c r="F804" s="1">
        <f t="shared" si="32"/>
        <v>600</v>
      </c>
      <c r="G804" s="5">
        <f t="shared" si="31"/>
        <v>0.90333333333333332</v>
      </c>
    </row>
    <row r="805" spans="1:7" ht="13">
      <c r="A805" s="4" t="s">
        <v>115</v>
      </c>
      <c r="B805" s="1">
        <v>6000</v>
      </c>
      <c r="C805" s="1">
        <v>650</v>
      </c>
      <c r="D805" s="1" t="s">
        <v>11</v>
      </c>
      <c r="E805" s="1" t="s">
        <v>8</v>
      </c>
      <c r="F805" s="1">
        <f t="shared" si="32"/>
        <v>600000</v>
      </c>
      <c r="G805" s="5">
        <f t="shared" si="31"/>
        <v>1.0833333333333333E-3</v>
      </c>
    </row>
    <row r="806" spans="1:7" ht="13">
      <c r="A806" s="4" t="s">
        <v>115</v>
      </c>
      <c r="B806" s="1">
        <v>5.4</v>
      </c>
      <c r="C806" s="1">
        <v>576</v>
      </c>
      <c r="D806" s="1" t="s">
        <v>11</v>
      </c>
      <c r="E806" s="1" t="s">
        <v>8</v>
      </c>
      <c r="F806" s="1">
        <f t="shared" si="32"/>
        <v>540</v>
      </c>
      <c r="G806" s="5">
        <f t="shared" si="31"/>
        <v>1.0666666666666667</v>
      </c>
    </row>
    <row r="807" spans="1:7" ht="13">
      <c r="A807" s="4" t="s">
        <v>115</v>
      </c>
      <c r="B807" s="1">
        <v>4.3</v>
      </c>
      <c r="C807" s="1">
        <v>431</v>
      </c>
      <c r="D807" s="1" t="s">
        <v>43</v>
      </c>
      <c r="E807" s="1" t="s">
        <v>20</v>
      </c>
      <c r="F807" s="1">
        <f t="shared" si="32"/>
        <v>430</v>
      </c>
      <c r="G807" s="5">
        <f t="shared" si="31"/>
        <v>1.0023255813953489</v>
      </c>
    </row>
    <row r="808" spans="1:7" ht="13">
      <c r="A808" s="4" t="s">
        <v>115</v>
      </c>
      <c r="B808" s="1">
        <v>7.9</v>
      </c>
      <c r="C808" s="1">
        <v>691</v>
      </c>
      <c r="D808" s="1" t="s">
        <v>33</v>
      </c>
      <c r="E808" s="1" t="s">
        <v>17</v>
      </c>
      <c r="F808" s="1">
        <f t="shared" si="32"/>
        <v>790</v>
      </c>
      <c r="G808" s="5">
        <f t="shared" si="31"/>
        <v>0.87468354430379747</v>
      </c>
    </row>
    <row r="809" spans="1:7" ht="13">
      <c r="A809" s="4" t="s">
        <v>115</v>
      </c>
      <c r="B809" s="1">
        <v>8.58</v>
      </c>
      <c r="C809" s="1">
        <v>854</v>
      </c>
      <c r="D809" s="1" t="s">
        <v>11</v>
      </c>
      <c r="E809" s="1" t="s">
        <v>10</v>
      </c>
      <c r="F809" s="1">
        <f t="shared" si="32"/>
        <v>858</v>
      </c>
      <c r="G809" s="5">
        <f t="shared" si="31"/>
        <v>0.99533799533799538</v>
      </c>
    </row>
    <row r="810" spans="1:7" ht="13">
      <c r="A810" s="4" t="s">
        <v>115</v>
      </c>
      <c r="B810" s="1">
        <v>7.74</v>
      </c>
      <c r="C810" s="1">
        <v>686</v>
      </c>
      <c r="D810" s="1" t="s">
        <v>33</v>
      </c>
      <c r="E810" s="1" t="s">
        <v>16</v>
      </c>
      <c r="F810" s="1">
        <f t="shared" si="32"/>
        <v>774</v>
      </c>
      <c r="G810" s="5">
        <f t="shared" si="31"/>
        <v>0.8863049095607235</v>
      </c>
    </row>
    <row r="811" spans="1:7" ht="13">
      <c r="A811" s="4" t="s">
        <v>115</v>
      </c>
      <c r="B811" s="1">
        <v>7.56</v>
      </c>
      <c r="C811" s="1">
        <v>721</v>
      </c>
      <c r="D811" s="1" t="s">
        <v>11</v>
      </c>
      <c r="E811" s="1" t="s">
        <v>20</v>
      </c>
      <c r="F811" s="1">
        <f t="shared" si="32"/>
        <v>756</v>
      </c>
      <c r="G811" s="5">
        <f t="shared" si="31"/>
        <v>0.95370370370370372</v>
      </c>
    </row>
    <row r="812" spans="1:7" ht="13">
      <c r="A812" s="4" t="s">
        <v>115</v>
      </c>
      <c r="B812" s="1">
        <v>5.44</v>
      </c>
      <c r="C812" s="1">
        <v>510</v>
      </c>
      <c r="D812" s="1" t="s">
        <v>83</v>
      </c>
      <c r="E812" s="1" t="s">
        <v>25</v>
      </c>
      <c r="F812" s="1">
        <f t="shared" si="32"/>
        <v>544</v>
      </c>
      <c r="G812" s="5">
        <f t="shared" si="31"/>
        <v>0.9375</v>
      </c>
    </row>
    <row r="813" spans="1:7" ht="13">
      <c r="A813" s="4" t="s">
        <v>115</v>
      </c>
      <c r="B813" s="1">
        <v>7.47</v>
      </c>
      <c r="C813" s="1">
        <v>663</v>
      </c>
      <c r="D813" s="1" t="s">
        <v>11</v>
      </c>
      <c r="E813" s="1" t="s">
        <v>8</v>
      </c>
      <c r="F813" s="1">
        <f t="shared" si="32"/>
        <v>747</v>
      </c>
      <c r="G813" s="5">
        <f t="shared" si="31"/>
        <v>0.8875502008032129</v>
      </c>
    </row>
    <row r="814" spans="1:7" ht="13">
      <c r="A814" s="4" t="s">
        <v>115</v>
      </c>
      <c r="B814" s="1">
        <v>11.25</v>
      </c>
      <c r="C814" s="1">
        <v>984</v>
      </c>
      <c r="D814" s="1" t="s">
        <v>45</v>
      </c>
      <c r="E814" s="1" t="s">
        <v>8</v>
      </c>
      <c r="F814" s="1">
        <f t="shared" si="32"/>
        <v>1125</v>
      </c>
      <c r="G814" s="5">
        <f t="shared" si="31"/>
        <v>0.8746666666666667</v>
      </c>
    </row>
    <row r="815" spans="1:7" ht="13">
      <c r="A815" s="4" t="s">
        <v>115</v>
      </c>
      <c r="B815" s="1">
        <v>7.14</v>
      </c>
      <c r="C815" s="1">
        <v>775</v>
      </c>
      <c r="D815" s="1" t="s">
        <v>42</v>
      </c>
      <c r="E815" s="1" t="s">
        <v>10</v>
      </c>
      <c r="F815" s="1">
        <f t="shared" si="32"/>
        <v>714</v>
      </c>
      <c r="G815" s="5">
        <f t="shared" si="31"/>
        <v>1.0854341736694677</v>
      </c>
    </row>
    <row r="816" spans="1:7" ht="13">
      <c r="A816" s="4" t="s">
        <v>115</v>
      </c>
      <c r="B816" s="1">
        <v>5.2</v>
      </c>
      <c r="C816" s="1">
        <v>518</v>
      </c>
      <c r="D816" s="1" t="s">
        <v>47</v>
      </c>
      <c r="E816" s="1" t="s">
        <v>26</v>
      </c>
      <c r="F816" s="1">
        <f t="shared" si="32"/>
        <v>520</v>
      </c>
      <c r="G816" s="5">
        <f t="shared" si="31"/>
        <v>0.99615384615384617</v>
      </c>
    </row>
    <row r="817" spans="1:7" ht="13">
      <c r="A817" s="4" t="s">
        <v>115</v>
      </c>
      <c r="B817" s="1">
        <v>4</v>
      </c>
      <c r="C817" s="1">
        <v>367</v>
      </c>
      <c r="D817" s="1" t="s">
        <v>33</v>
      </c>
      <c r="E817" s="1" t="s">
        <v>22</v>
      </c>
      <c r="F817" s="1">
        <f t="shared" si="32"/>
        <v>400</v>
      </c>
      <c r="G817" s="5">
        <f t="shared" si="31"/>
        <v>0.91749999999999998</v>
      </c>
    </row>
    <row r="818" spans="1:7" ht="13">
      <c r="A818" s="4" t="s">
        <v>115</v>
      </c>
      <c r="B818" s="1">
        <v>5.2</v>
      </c>
      <c r="C818" s="1">
        <v>537</v>
      </c>
      <c r="D818" s="1" t="s">
        <v>11</v>
      </c>
      <c r="E818" s="1" t="s">
        <v>9</v>
      </c>
      <c r="F818" s="1">
        <f t="shared" si="32"/>
        <v>520</v>
      </c>
      <c r="G818" s="5">
        <f t="shared" si="31"/>
        <v>1.0326923076923078</v>
      </c>
    </row>
    <row r="819" spans="1:7" ht="13">
      <c r="A819" s="4" t="s">
        <v>115</v>
      </c>
      <c r="B819" s="1">
        <v>7.7</v>
      </c>
      <c r="C819" s="1">
        <v>826</v>
      </c>
      <c r="D819" s="1" t="s">
        <v>55</v>
      </c>
      <c r="E819" s="1" t="s">
        <v>19</v>
      </c>
      <c r="F819" s="1">
        <f t="shared" si="32"/>
        <v>770</v>
      </c>
      <c r="G819" s="5">
        <f t="shared" si="31"/>
        <v>1.0727272727272728</v>
      </c>
    </row>
    <row r="820" spans="1:7" ht="13">
      <c r="A820" s="4" t="s">
        <v>115</v>
      </c>
      <c r="B820" s="1">
        <v>7.2</v>
      </c>
      <c r="C820" s="1">
        <v>621</v>
      </c>
      <c r="D820" s="1" t="s">
        <v>11</v>
      </c>
      <c r="E820" s="1" t="s">
        <v>16</v>
      </c>
      <c r="F820" s="1">
        <f t="shared" si="32"/>
        <v>720</v>
      </c>
      <c r="G820" s="5">
        <f t="shared" si="31"/>
        <v>0.86250000000000004</v>
      </c>
    </row>
    <row r="821" spans="1:7" ht="13">
      <c r="A821" s="4" t="s">
        <v>115</v>
      </c>
      <c r="B821" s="1">
        <v>6.6</v>
      </c>
      <c r="C821" s="1">
        <v>625</v>
      </c>
      <c r="D821" s="1" t="s">
        <v>34</v>
      </c>
      <c r="E821" s="1" t="s">
        <v>22</v>
      </c>
      <c r="F821" s="1">
        <f t="shared" si="32"/>
        <v>660</v>
      </c>
      <c r="G821" s="5">
        <f t="shared" si="31"/>
        <v>0.94696969696969702</v>
      </c>
    </row>
    <row r="822" spans="1:7" ht="13">
      <c r="A822" s="4" t="s">
        <v>115</v>
      </c>
      <c r="B822" s="1">
        <v>5.6</v>
      </c>
      <c r="C822" s="1">
        <v>561</v>
      </c>
      <c r="D822" s="1" t="s">
        <v>40</v>
      </c>
      <c r="E822" s="1" t="s">
        <v>7</v>
      </c>
      <c r="F822" s="1">
        <f t="shared" si="32"/>
        <v>560</v>
      </c>
      <c r="G822" s="5">
        <f t="shared" si="31"/>
        <v>1.0017857142857143</v>
      </c>
    </row>
    <row r="823" spans="1:7" ht="13">
      <c r="A823" s="4" t="s">
        <v>115</v>
      </c>
      <c r="B823" s="1">
        <v>6</v>
      </c>
      <c r="C823" s="1">
        <v>550</v>
      </c>
      <c r="D823" s="1" t="s">
        <v>33</v>
      </c>
      <c r="E823" s="1" t="s">
        <v>9</v>
      </c>
      <c r="F823" s="1">
        <f t="shared" si="32"/>
        <v>600</v>
      </c>
      <c r="G823" s="5">
        <f t="shared" si="31"/>
        <v>0.91666666666666663</v>
      </c>
    </row>
    <row r="824" spans="1:7" ht="13">
      <c r="A824" s="4" t="s">
        <v>115</v>
      </c>
      <c r="B824" s="1">
        <v>5.0999999999999996</v>
      </c>
      <c r="C824" s="1">
        <v>576</v>
      </c>
      <c r="D824" s="1" t="s">
        <v>11</v>
      </c>
      <c r="E824" s="1" t="s">
        <v>27</v>
      </c>
      <c r="F824" s="1">
        <f t="shared" si="32"/>
        <v>509.99999999999994</v>
      </c>
      <c r="G824" s="5">
        <f t="shared" si="31"/>
        <v>1.1294117647058826</v>
      </c>
    </row>
    <row r="825" spans="1:7" ht="13">
      <c r="A825" s="4" t="s">
        <v>115</v>
      </c>
      <c r="B825" s="1">
        <v>6.96</v>
      </c>
      <c r="C825" s="1">
        <v>715</v>
      </c>
      <c r="D825" s="1" t="s">
        <v>11</v>
      </c>
      <c r="E825" s="1" t="s">
        <v>14</v>
      </c>
      <c r="F825" s="1">
        <f t="shared" si="32"/>
        <v>696</v>
      </c>
      <c r="G825" s="5">
        <f t="shared" si="31"/>
        <v>1.0272988505747127</v>
      </c>
    </row>
    <row r="826" spans="1:7" ht="13">
      <c r="A826" s="4" t="s">
        <v>115</v>
      </c>
      <c r="B826" s="1">
        <v>7.3</v>
      </c>
      <c r="C826" s="1">
        <v>700</v>
      </c>
      <c r="D826" s="1" t="s">
        <v>38</v>
      </c>
      <c r="E826" s="1" t="s">
        <v>8</v>
      </c>
      <c r="F826" s="1">
        <f t="shared" si="32"/>
        <v>730</v>
      </c>
      <c r="G826" s="5">
        <f t="shared" si="31"/>
        <v>0.95890410958904104</v>
      </c>
    </row>
    <row r="827" spans="1:7" ht="13">
      <c r="A827" s="4" t="s">
        <v>115</v>
      </c>
      <c r="B827" s="1">
        <v>9.57</v>
      </c>
      <c r="C827" s="1">
        <v>851</v>
      </c>
      <c r="D827" s="1" t="s">
        <v>11</v>
      </c>
      <c r="E827" s="1" t="s">
        <v>25</v>
      </c>
      <c r="F827" s="1">
        <f t="shared" si="32"/>
        <v>957</v>
      </c>
      <c r="G827" s="5">
        <f t="shared" si="31"/>
        <v>0.88923719958202718</v>
      </c>
    </row>
    <row r="828" spans="1:7" ht="13">
      <c r="A828" s="4" t="s">
        <v>115</v>
      </c>
      <c r="B828" s="1">
        <v>3.48</v>
      </c>
      <c r="C828" s="1">
        <v>337</v>
      </c>
      <c r="D828" s="1" t="s">
        <v>11</v>
      </c>
      <c r="E828" s="1" t="s">
        <v>7</v>
      </c>
      <c r="F828" s="1">
        <f t="shared" si="32"/>
        <v>348</v>
      </c>
      <c r="G828" s="5">
        <f t="shared" si="31"/>
        <v>0.9683908045977011</v>
      </c>
    </row>
    <row r="829" spans="1:7" ht="13">
      <c r="A829" s="4" t="s">
        <v>115</v>
      </c>
      <c r="B829" s="1">
        <v>17.100000000000001</v>
      </c>
      <c r="C829" s="1">
        <v>1020</v>
      </c>
      <c r="D829" s="1" t="s">
        <v>11</v>
      </c>
      <c r="E829" s="1" t="s">
        <v>31</v>
      </c>
      <c r="F829" s="1">
        <f t="shared" si="32"/>
        <v>1710.0000000000002</v>
      </c>
      <c r="G829" s="5">
        <f t="shared" si="31"/>
        <v>0.59649122807017541</v>
      </c>
    </row>
    <row r="830" spans="1:7" ht="13">
      <c r="A830" s="4" t="s">
        <v>115</v>
      </c>
      <c r="B830" s="1">
        <v>6</v>
      </c>
      <c r="C830" s="1">
        <v>762</v>
      </c>
      <c r="D830" s="1" t="s">
        <v>38</v>
      </c>
      <c r="E830" s="1" t="s">
        <v>8</v>
      </c>
      <c r="F830" s="1">
        <f t="shared" si="32"/>
        <v>600</v>
      </c>
      <c r="G830" s="5">
        <f t="shared" si="31"/>
        <v>1.27</v>
      </c>
    </row>
    <row r="831" spans="1:7" ht="13">
      <c r="A831" s="4" t="s">
        <v>115</v>
      </c>
      <c r="B831" s="1">
        <v>6.4</v>
      </c>
      <c r="C831" s="1">
        <v>671</v>
      </c>
      <c r="D831" s="1" t="s">
        <v>11</v>
      </c>
      <c r="E831" s="1" t="s">
        <v>8</v>
      </c>
      <c r="F831" s="1">
        <f t="shared" si="32"/>
        <v>640</v>
      </c>
      <c r="G831" s="5">
        <f t="shared" si="31"/>
        <v>1.0484374999999999</v>
      </c>
    </row>
    <row r="832" spans="1:7" ht="13">
      <c r="A832" s="4" t="s">
        <v>115</v>
      </c>
      <c r="B832" s="1">
        <v>8.4</v>
      </c>
      <c r="C832" s="1">
        <v>759</v>
      </c>
      <c r="D832" s="1" t="s">
        <v>47</v>
      </c>
      <c r="E832" s="1" t="s">
        <v>17</v>
      </c>
      <c r="F832" s="1">
        <f t="shared" si="32"/>
        <v>840</v>
      </c>
      <c r="G832" s="5">
        <f t="shared" si="31"/>
        <v>0.90357142857142858</v>
      </c>
    </row>
    <row r="833" spans="1:7" ht="13">
      <c r="A833" s="4" t="s">
        <v>115</v>
      </c>
      <c r="B833" s="1">
        <v>6</v>
      </c>
      <c r="C833" s="1">
        <v>670</v>
      </c>
      <c r="D833" s="1" t="s">
        <v>11</v>
      </c>
      <c r="E833" s="1" t="s">
        <v>17</v>
      </c>
      <c r="F833" s="1">
        <f t="shared" si="32"/>
        <v>600</v>
      </c>
      <c r="G833" s="5">
        <f t="shared" si="31"/>
        <v>1.1166666666666667</v>
      </c>
    </row>
    <row r="834" spans="1:7" ht="13">
      <c r="A834" s="4" t="s">
        <v>115</v>
      </c>
      <c r="B834" s="1">
        <v>8.6</v>
      </c>
      <c r="C834" s="1">
        <v>920</v>
      </c>
      <c r="D834" s="1" t="s">
        <v>42</v>
      </c>
      <c r="E834" s="1" t="s">
        <v>8</v>
      </c>
      <c r="F834" s="1">
        <f t="shared" si="32"/>
        <v>860</v>
      </c>
      <c r="G834" s="5">
        <f t="shared" ref="G834:G897" si="33">C834/F834</f>
        <v>1.069767441860465</v>
      </c>
    </row>
    <row r="835" spans="1:7" ht="13">
      <c r="A835" s="4" t="s">
        <v>115</v>
      </c>
      <c r="B835" s="1">
        <v>5.22</v>
      </c>
      <c r="C835" s="1">
        <v>375</v>
      </c>
      <c r="D835" s="1" t="s">
        <v>55</v>
      </c>
      <c r="E835" s="1" t="s">
        <v>22</v>
      </c>
      <c r="F835" s="1">
        <f t="shared" ref="F835:F898" si="34">B835*100</f>
        <v>522</v>
      </c>
      <c r="G835" s="5">
        <f t="shared" si="33"/>
        <v>0.7183908045977011</v>
      </c>
    </row>
    <row r="836" spans="1:7" ht="13">
      <c r="A836" s="4" t="s">
        <v>115</v>
      </c>
      <c r="B836" s="1">
        <v>4.8</v>
      </c>
      <c r="C836" s="1">
        <v>530</v>
      </c>
      <c r="D836" s="1" t="s">
        <v>38</v>
      </c>
      <c r="E836" s="1" t="s">
        <v>21</v>
      </c>
      <c r="F836" s="1">
        <f t="shared" si="34"/>
        <v>480</v>
      </c>
      <c r="G836" s="5">
        <f t="shared" si="33"/>
        <v>1.1041666666666667</v>
      </c>
    </row>
    <row r="837" spans="1:7" ht="13">
      <c r="A837" s="4" t="s">
        <v>115</v>
      </c>
      <c r="B837" s="1">
        <v>7.6</v>
      </c>
      <c r="C837" s="1">
        <v>753</v>
      </c>
      <c r="D837" s="1" t="s">
        <v>11</v>
      </c>
      <c r="E837" s="1" t="s">
        <v>17</v>
      </c>
      <c r="F837" s="1">
        <f t="shared" si="34"/>
        <v>760</v>
      </c>
      <c r="G837" s="5">
        <f t="shared" si="33"/>
        <v>0.99078947368421055</v>
      </c>
    </row>
    <row r="838" spans="1:7" ht="13">
      <c r="A838" s="4" t="s">
        <v>115</v>
      </c>
      <c r="B838" s="1">
        <v>5.39</v>
      </c>
      <c r="C838" s="1">
        <v>595</v>
      </c>
      <c r="D838" s="1" t="s">
        <v>11</v>
      </c>
      <c r="E838" s="1" t="s">
        <v>26</v>
      </c>
      <c r="F838" s="1">
        <f t="shared" si="34"/>
        <v>539</v>
      </c>
      <c r="G838" s="5">
        <f t="shared" si="33"/>
        <v>1.1038961038961039</v>
      </c>
    </row>
    <row r="839" spans="1:7" ht="13">
      <c r="A839" s="4" t="s">
        <v>115</v>
      </c>
      <c r="B839" s="1">
        <v>7.56</v>
      </c>
      <c r="C839" s="1">
        <v>696</v>
      </c>
      <c r="D839" s="1" t="s">
        <v>11</v>
      </c>
      <c r="E839" s="1" t="s">
        <v>12</v>
      </c>
      <c r="F839" s="1">
        <f t="shared" si="34"/>
        <v>756</v>
      </c>
      <c r="G839" s="5">
        <f t="shared" si="33"/>
        <v>0.92063492063492058</v>
      </c>
    </row>
    <row r="840" spans="1:7" ht="13">
      <c r="A840" s="4" t="s">
        <v>115</v>
      </c>
      <c r="B840" s="1">
        <v>6</v>
      </c>
      <c r="C840" s="1">
        <v>600</v>
      </c>
      <c r="D840" s="1" t="s">
        <v>11</v>
      </c>
      <c r="E840" s="1" t="s">
        <v>12</v>
      </c>
      <c r="F840" s="1">
        <f t="shared" si="34"/>
        <v>600</v>
      </c>
      <c r="G840" s="5">
        <f t="shared" si="33"/>
        <v>1</v>
      </c>
    </row>
    <row r="841" spans="1:7" ht="13">
      <c r="A841" s="4" t="s">
        <v>115</v>
      </c>
      <c r="B841" s="1">
        <v>8.1</v>
      </c>
      <c r="C841" s="1">
        <v>867</v>
      </c>
      <c r="D841" s="1" t="s">
        <v>42</v>
      </c>
      <c r="E841" s="1" t="s">
        <v>10</v>
      </c>
      <c r="F841" s="1">
        <f t="shared" si="34"/>
        <v>810</v>
      </c>
      <c r="G841" s="5">
        <f t="shared" si="33"/>
        <v>1.0703703703703704</v>
      </c>
    </row>
    <row r="842" spans="1:7" ht="13">
      <c r="A842" s="4" t="s">
        <v>115</v>
      </c>
      <c r="B842" s="1">
        <v>6.4</v>
      </c>
      <c r="C842" s="1">
        <v>590</v>
      </c>
      <c r="D842" s="1" t="s">
        <v>11</v>
      </c>
      <c r="E842" s="1" t="s">
        <v>15</v>
      </c>
      <c r="F842" s="1">
        <f t="shared" si="34"/>
        <v>640</v>
      </c>
      <c r="G842" s="5">
        <f t="shared" si="33"/>
        <v>0.921875</v>
      </c>
    </row>
    <row r="843" spans="1:7" ht="13">
      <c r="A843" s="4" t="s">
        <v>115</v>
      </c>
      <c r="B843" s="1">
        <v>6.8</v>
      </c>
      <c r="C843" s="1">
        <v>744</v>
      </c>
      <c r="D843" s="1" t="s">
        <v>11</v>
      </c>
      <c r="E843" s="1" t="s">
        <v>23</v>
      </c>
      <c r="F843" s="1">
        <f t="shared" si="34"/>
        <v>680</v>
      </c>
      <c r="G843" s="5">
        <f t="shared" si="33"/>
        <v>1.0941176470588236</v>
      </c>
    </row>
    <row r="844" spans="1:7" ht="13">
      <c r="A844" s="4" t="s">
        <v>115</v>
      </c>
      <c r="B844" s="1">
        <v>6.5</v>
      </c>
      <c r="C844" s="1">
        <v>580</v>
      </c>
      <c r="D844" s="1" t="s">
        <v>33</v>
      </c>
      <c r="E844" s="1" t="s">
        <v>15</v>
      </c>
      <c r="F844" s="1">
        <f t="shared" si="34"/>
        <v>650</v>
      </c>
      <c r="G844" s="5">
        <f t="shared" si="33"/>
        <v>0.89230769230769236</v>
      </c>
    </row>
    <row r="845" spans="1:7" ht="13">
      <c r="A845" s="4" t="s">
        <v>115</v>
      </c>
      <c r="B845" s="1">
        <v>5</v>
      </c>
      <c r="C845" s="1">
        <v>514</v>
      </c>
      <c r="D845" s="1" t="s">
        <v>38</v>
      </c>
      <c r="E845" s="1" t="s">
        <v>7</v>
      </c>
      <c r="F845" s="1">
        <f t="shared" si="34"/>
        <v>500</v>
      </c>
      <c r="G845" s="5">
        <f t="shared" si="33"/>
        <v>1.028</v>
      </c>
    </row>
    <row r="846" spans="1:7" ht="13">
      <c r="A846" s="4" t="s">
        <v>115</v>
      </c>
      <c r="B846" s="1">
        <v>6.4</v>
      </c>
      <c r="C846" s="1">
        <v>564</v>
      </c>
      <c r="D846" s="1" t="s">
        <v>33</v>
      </c>
      <c r="E846" s="1" t="s">
        <v>26</v>
      </c>
      <c r="F846" s="1">
        <f t="shared" si="34"/>
        <v>640</v>
      </c>
      <c r="G846" s="5">
        <f t="shared" si="33"/>
        <v>0.88124999999999998</v>
      </c>
    </row>
    <row r="847" spans="1:7" ht="13">
      <c r="A847" s="4" t="s">
        <v>115</v>
      </c>
      <c r="B847" s="1">
        <v>3</v>
      </c>
      <c r="C847" s="1">
        <v>314</v>
      </c>
      <c r="D847" s="1" t="s">
        <v>11</v>
      </c>
      <c r="E847" s="1" t="s">
        <v>25</v>
      </c>
      <c r="F847" s="1">
        <f t="shared" si="34"/>
        <v>300</v>
      </c>
      <c r="G847" s="5">
        <f t="shared" si="33"/>
        <v>1.0466666666666666</v>
      </c>
    </row>
    <row r="848" spans="1:7" ht="13">
      <c r="A848" s="4" t="s">
        <v>115</v>
      </c>
      <c r="B848" s="1">
        <v>7.5</v>
      </c>
      <c r="C848" s="1">
        <v>634</v>
      </c>
      <c r="D848" s="1" t="s">
        <v>43</v>
      </c>
      <c r="E848" s="1" t="s">
        <v>24</v>
      </c>
      <c r="F848" s="1">
        <f t="shared" si="34"/>
        <v>750</v>
      </c>
      <c r="G848" s="5">
        <f t="shared" si="33"/>
        <v>0.84533333333333338</v>
      </c>
    </row>
    <row r="849" spans="1:7" ht="13">
      <c r="A849" s="4" t="s">
        <v>115</v>
      </c>
      <c r="B849" s="1">
        <v>8.6999999999999993</v>
      </c>
      <c r="C849" s="1">
        <v>852</v>
      </c>
      <c r="D849" s="1" t="s">
        <v>44</v>
      </c>
      <c r="E849" s="1" t="s">
        <v>20</v>
      </c>
      <c r="F849" s="1">
        <f t="shared" si="34"/>
        <v>869.99999999999989</v>
      </c>
      <c r="G849" s="5">
        <f t="shared" si="33"/>
        <v>0.97931034482758639</v>
      </c>
    </row>
    <row r="850" spans="1:7" ht="13">
      <c r="A850" s="4" t="s">
        <v>115</v>
      </c>
      <c r="B850" s="1">
        <v>7.74</v>
      </c>
      <c r="C850" s="1">
        <v>776</v>
      </c>
      <c r="D850" s="1" t="s">
        <v>11</v>
      </c>
      <c r="E850" s="1" t="s">
        <v>25</v>
      </c>
      <c r="F850" s="1">
        <f t="shared" si="34"/>
        <v>774</v>
      </c>
      <c r="G850" s="5">
        <f t="shared" si="33"/>
        <v>1.0025839793281655</v>
      </c>
    </row>
    <row r="851" spans="1:7" ht="13">
      <c r="A851" s="4" t="s">
        <v>115</v>
      </c>
      <c r="B851" s="1">
        <v>4.2</v>
      </c>
      <c r="C851" s="1">
        <v>496</v>
      </c>
      <c r="D851" s="1" t="s">
        <v>11</v>
      </c>
      <c r="E851" s="1" t="s">
        <v>25</v>
      </c>
      <c r="F851" s="1">
        <f t="shared" si="34"/>
        <v>420</v>
      </c>
      <c r="G851" s="5">
        <f t="shared" si="33"/>
        <v>1.180952380952381</v>
      </c>
    </row>
    <row r="852" spans="1:7" ht="13">
      <c r="A852" s="4" t="s">
        <v>115</v>
      </c>
      <c r="B852" s="1">
        <v>7.74</v>
      </c>
      <c r="C852" s="1">
        <v>694</v>
      </c>
      <c r="D852" s="1" t="s">
        <v>33</v>
      </c>
      <c r="E852" s="1" t="s">
        <v>7</v>
      </c>
      <c r="F852" s="1">
        <f t="shared" si="34"/>
        <v>774</v>
      </c>
      <c r="G852" s="5">
        <f t="shared" si="33"/>
        <v>0.89664082687338498</v>
      </c>
    </row>
    <row r="853" spans="1:7" ht="13">
      <c r="A853" s="4" t="s">
        <v>115</v>
      </c>
      <c r="B853" s="1">
        <v>6.4</v>
      </c>
      <c r="C853" s="1">
        <v>572.20000000000005</v>
      </c>
      <c r="D853" s="1" t="s">
        <v>35</v>
      </c>
      <c r="E853" s="1" t="s">
        <v>18</v>
      </c>
      <c r="F853" s="1">
        <f t="shared" si="34"/>
        <v>640</v>
      </c>
      <c r="G853" s="5">
        <f t="shared" si="33"/>
        <v>0.89406250000000009</v>
      </c>
    </row>
    <row r="854" spans="1:7" ht="13">
      <c r="A854" s="4" t="s">
        <v>115</v>
      </c>
      <c r="B854" s="1">
        <v>8.75</v>
      </c>
      <c r="C854" s="1">
        <v>896</v>
      </c>
      <c r="D854" s="1" t="s">
        <v>47</v>
      </c>
      <c r="E854" s="1" t="s">
        <v>31</v>
      </c>
      <c r="F854" s="1">
        <f t="shared" si="34"/>
        <v>875</v>
      </c>
      <c r="G854" s="5">
        <f t="shared" si="33"/>
        <v>1.024</v>
      </c>
    </row>
    <row r="855" spans="1:7" ht="13">
      <c r="A855" s="4" t="s">
        <v>115</v>
      </c>
      <c r="B855" s="1">
        <v>3.48</v>
      </c>
      <c r="C855" s="1">
        <v>338</v>
      </c>
      <c r="D855" s="1" t="s">
        <v>11</v>
      </c>
      <c r="E855" s="1" t="s">
        <v>7</v>
      </c>
      <c r="F855" s="1">
        <f t="shared" si="34"/>
        <v>348</v>
      </c>
      <c r="G855" s="5">
        <f t="shared" si="33"/>
        <v>0.97126436781609193</v>
      </c>
    </row>
    <row r="856" spans="1:7" ht="13">
      <c r="A856" s="4" t="s">
        <v>115</v>
      </c>
      <c r="B856" s="1">
        <v>5</v>
      </c>
      <c r="C856" s="1">
        <v>503</v>
      </c>
      <c r="D856" s="1" t="s">
        <v>39</v>
      </c>
      <c r="E856" s="1" t="s">
        <v>22</v>
      </c>
      <c r="F856" s="1">
        <f t="shared" si="34"/>
        <v>500</v>
      </c>
      <c r="G856" s="5">
        <f t="shared" si="33"/>
        <v>1.006</v>
      </c>
    </row>
    <row r="857" spans="1:7" ht="13">
      <c r="A857" s="4" t="s">
        <v>115</v>
      </c>
      <c r="B857" s="1">
        <v>6</v>
      </c>
      <c r="C857" s="1">
        <v>504</v>
      </c>
      <c r="D857" s="1" t="s">
        <v>40</v>
      </c>
      <c r="E857" s="1" t="s">
        <v>8</v>
      </c>
      <c r="F857" s="1">
        <f t="shared" si="34"/>
        <v>600</v>
      </c>
      <c r="G857" s="5">
        <f t="shared" si="33"/>
        <v>0.84</v>
      </c>
    </row>
    <row r="858" spans="1:7" ht="13">
      <c r="A858" s="4" t="s">
        <v>115</v>
      </c>
      <c r="B858" s="1">
        <v>7.56</v>
      </c>
      <c r="C858" s="1">
        <v>841</v>
      </c>
      <c r="D858" s="1" t="s">
        <v>11</v>
      </c>
      <c r="E858" s="1" t="s">
        <v>7</v>
      </c>
      <c r="F858" s="1">
        <f t="shared" si="34"/>
        <v>756</v>
      </c>
      <c r="G858" s="5">
        <f t="shared" si="33"/>
        <v>1.1124338624338623</v>
      </c>
    </row>
    <row r="859" spans="1:7" ht="13">
      <c r="A859" s="4" t="s">
        <v>115</v>
      </c>
      <c r="B859" s="1">
        <v>6.4</v>
      </c>
      <c r="C859" s="1">
        <v>664</v>
      </c>
      <c r="D859" s="1" t="s">
        <v>11</v>
      </c>
      <c r="E859" s="1" t="s">
        <v>8</v>
      </c>
      <c r="F859" s="1">
        <f t="shared" si="34"/>
        <v>640</v>
      </c>
      <c r="G859" s="5">
        <f t="shared" si="33"/>
        <v>1.0375000000000001</v>
      </c>
    </row>
    <row r="860" spans="1:7" ht="13">
      <c r="A860" s="4" t="s">
        <v>115</v>
      </c>
      <c r="B860" s="1">
        <v>7.4</v>
      </c>
      <c r="C860" s="1">
        <v>768</v>
      </c>
      <c r="D860" s="1" t="s">
        <v>11</v>
      </c>
      <c r="E860" s="1" t="s">
        <v>17</v>
      </c>
      <c r="F860" s="1">
        <f t="shared" si="34"/>
        <v>740</v>
      </c>
      <c r="G860" s="5">
        <f t="shared" si="33"/>
        <v>1.0378378378378379</v>
      </c>
    </row>
    <row r="861" spans="1:7" ht="13">
      <c r="A861" s="4" t="s">
        <v>115</v>
      </c>
      <c r="B861" s="1">
        <v>6</v>
      </c>
      <c r="C861" s="1">
        <v>634</v>
      </c>
      <c r="D861" s="1" t="s">
        <v>11</v>
      </c>
      <c r="E861" s="1" t="s">
        <v>10</v>
      </c>
      <c r="F861" s="1">
        <f t="shared" si="34"/>
        <v>600</v>
      </c>
      <c r="G861" s="5">
        <f t="shared" si="33"/>
        <v>1.0566666666666666</v>
      </c>
    </row>
    <row r="862" spans="1:7" ht="13">
      <c r="A862" s="4" t="s">
        <v>115</v>
      </c>
      <c r="B862" s="1">
        <v>7</v>
      </c>
      <c r="C862" s="1">
        <v>621</v>
      </c>
      <c r="D862" s="1" t="s">
        <v>33</v>
      </c>
      <c r="E862" s="1" t="s">
        <v>20</v>
      </c>
      <c r="F862" s="1">
        <f t="shared" si="34"/>
        <v>700</v>
      </c>
      <c r="G862" s="5">
        <f t="shared" si="33"/>
        <v>0.88714285714285712</v>
      </c>
    </row>
    <row r="863" spans="1:7" ht="13">
      <c r="A863" s="4" t="s">
        <v>115</v>
      </c>
      <c r="B863" s="1">
        <v>7.2</v>
      </c>
      <c r="C863" s="1">
        <v>713</v>
      </c>
      <c r="D863" s="1" t="s">
        <v>47</v>
      </c>
      <c r="E863" s="1" t="s">
        <v>17</v>
      </c>
      <c r="F863" s="1">
        <f t="shared" si="34"/>
        <v>720</v>
      </c>
      <c r="G863" s="5">
        <f t="shared" si="33"/>
        <v>0.99027777777777781</v>
      </c>
    </row>
    <row r="864" spans="1:7" ht="13">
      <c r="A864" s="4" t="s">
        <v>115</v>
      </c>
      <c r="B864" s="1">
        <v>5.8</v>
      </c>
      <c r="C864" s="1">
        <v>540</v>
      </c>
      <c r="D864" s="1" t="s">
        <v>11</v>
      </c>
      <c r="E864" s="1" t="s">
        <v>16</v>
      </c>
      <c r="F864" s="1">
        <f t="shared" si="34"/>
        <v>580</v>
      </c>
      <c r="G864" s="5">
        <f t="shared" si="33"/>
        <v>0.93103448275862066</v>
      </c>
    </row>
    <row r="865" spans="1:7" ht="13">
      <c r="A865" s="4" t="s">
        <v>115</v>
      </c>
      <c r="B865" s="1">
        <v>5.0999999999999996</v>
      </c>
      <c r="C865" s="1">
        <v>450</v>
      </c>
      <c r="D865" s="1" t="s">
        <v>40</v>
      </c>
      <c r="E865" s="1" t="s">
        <v>15</v>
      </c>
      <c r="F865" s="1">
        <f t="shared" si="34"/>
        <v>509.99999999999994</v>
      </c>
      <c r="G865" s="5">
        <f t="shared" si="33"/>
        <v>0.88235294117647067</v>
      </c>
    </row>
    <row r="866" spans="1:7" ht="13">
      <c r="A866" s="4" t="s">
        <v>115</v>
      </c>
      <c r="B866" s="1">
        <v>4.62</v>
      </c>
      <c r="C866" s="1">
        <v>459</v>
      </c>
      <c r="D866" s="1" t="s">
        <v>33</v>
      </c>
      <c r="E866" s="1" t="s">
        <v>15</v>
      </c>
      <c r="F866" s="1">
        <f t="shared" si="34"/>
        <v>462</v>
      </c>
      <c r="G866" s="5">
        <f t="shared" si="33"/>
        <v>0.99350649350649356</v>
      </c>
    </row>
    <row r="867" spans="1:7" ht="13">
      <c r="A867" s="4" t="s">
        <v>115</v>
      </c>
      <c r="B867" s="1">
        <v>8.5</v>
      </c>
      <c r="C867" s="1">
        <v>764</v>
      </c>
      <c r="D867" s="1" t="s">
        <v>11</v>
      </c>
      <c r="E867" s="1" t="s">
        <v>12</v>
      </c>
      <c r="F867" s="1">
        <f t="shared" si="34"/>
        <v>850</v>
      </c>
      <c r="G867" s="5">
        <f t="shared" si="33"/>
        <v>0.89882352941176469</v>
      </c>
    </row>
    <row r="868" spans="1:7" ht="13">
      <c r="A868" s="4" t="s">
        <v>115</v>
      </c>
      <c r="B868" s="1">
        <v>8</v>
      </c>
      <c r="C868" s="1">
        <v>758</v>
      </c>
      <c r="D868" s="1" t="s">
        <v>11</v>
      </c>
      <c r="E868" s="1" t="s">
        <v>28</v>
      </c>
      <c r="F868" s="1">
        <f t="shared" si="34"/>
        <v>800</v>
      </c>
      <c r="G868" s="5">
        <f t="shared" si="33"/>
        <v>0.94750000000000001</v>
      </c>
    </row>
    <row r="869" spans="1:7" ht="13">
      <c r="A869" s="4" t="s">
        <v>115</v>
      </c>
      <c r="B869" s="1">
        <v>6.96</v>
      </c>
      <c r="C869" s="1">
        <v>727</v>
      </c>
      <c r="D869" s="1" t="s">
        <v>11</v>
      </c>
      <c r="E869" s="1" t="s">
        <v>26</v>
      </c>
      <c r="F869" s="1">
        <f t="shared" si="34"/>
        <v>696</v>
      </c>
      <c r="G869" s="5">
        <f t="shared" si="33"/>
        <v>1.0445402298850575</v>
      </c>
    </row>
    <row r="870" spans="1:7" ht="13">
      <c r="A870" s="4" t="s">
        <v>115</v>
      </c>
      <c r="B870" s="1">
        <v>10.199999999999999</v>
      </c>
      <c r="C870" s="1">
        <v>850</v>
      </c>
      <c r="D870" s="1" t="s">
        <v>11</v>
      </c>
      <c r="E870" s="1" t="s">
        <v>7</v>
      </c>
      <c r="F870" s="1">
        <f t="shared" si="34"/>
        <v>1019.9999999999999</v>
      </c>
      <c r="G870" s="5">
        <f t="shared" si="33"/>
        <v>0.83333333333333348</v>
      </c>
    </row>
    <row r="871" spans="1:7" ht="13">
      <c r="A871" s="4" t="s">
        <v>115</v>
      </c>
      <c r="B871" s="1">
        <v>6.5</v>
      </c>
      <c r="C871" s="1">
        <v>610</v>
      </c>
      <c r="D871" s="1" t="s">
        <v>43</v>
      </c>
      <c r="E871" s="1" t="s">
        <v>30</v>
      </c>
      <c r="F871" s="1">
        <f t="shared" si="34"/>
        <v>650</v>
      </c>
      <c r="G871" s="5">
        <f t="shared" si="33"/>
        <v>0.93846153846153846</v>
      </c>
    </row>
    <row r="872" spans="1:7" ht="13">
      <c r="A872" s="4" t="s">
        <v>115</v>
      </c>
      <c r="B872" s="1">
        <v>7.8</v>
      </c>
      <c r="C872" s="1">
        <v>654</v>
      </c>
      <c r="D872" s="1" t="s">
        <v>11</v>
      </c>
      <c r="E872" s="1" t="s">
        <v>8</v>
      </c>
      <c r="F872" s="1">
        <f t="shared" si="34"/>
        <v>780</v>
      </c>
      <c r="G872" s="5">
        <f t="shared" si="33"/>
        <v>0.83846153846153848</v>
      </c>
    </row>
    <row r="873" spans="1:7" ht="13">
      <c r="A873" s="4" t="s">
        <v>115</v>
      </c>
      <c r="B873" s="1">
        <v>7.29</v>
      </c>
      <c r="C873" s="1">
        <v>762</v>
      </c>
      <c r="D873" s="1" t="s">
        <v>11</v>
      </c>
      <c r="E873" s="1" t="s">
        <v>27</v>
      </c>
      <c r="F873" s="1">
        <f t="shared" si="34"/>
        <v>729</v>
      </c>
      <c r="G873" s="5">
        <f t="shared" si="33"/>
        <v>1.0452674897119341</v>
      </c>
    </row>
    <row r="874" spans="1:7" ht="13">
      <c r="A874" s="4" t="s">
        <v>115</v>
      </c>
      <c r="B874" s="1">
        <v>6.4</v>
      </c>
      <c r="C874" s="1">
        <v>698</v>
      </c>
      <c r="D874" s="1" t="s">
        <v>11</v>
      </c>
      <c r="E874" s="1" t="s">
        <v>26</v>
      </c>
      <c r="F874" s="1">
        <f t="shared" si="34"/>
        <v>640</v>
      </c>
      <c r="G874" s="5">
        <f t="shared" si="33"/>
        <v>1.090625</v>
      </c>
    </row>
    <row r="875" spans="1:7" ht="13">
      <c r="A875" s="4" t="s">
        <v>115</v>
      </c>
      <c r="B875" s="1">
        <v>7.4</v>
      </c>
      <c r="C875" s="1">
        <v>634</v>
      </c>
      <c r="D875" s="1" t="s">
        <v>33</v>
      </c>
      <c r="E875" s="1" t="s">
        <v>22</v>
      </c>
      <c r="F875" s="1">
        <f t="shared" si="34"/>
        <v>740</v>
      </c>
      <c r="G875" s="5">
        <f t="shared" si="33"/>
        <v>0.85675675675675678</v>
      </c>
    </row>
    <row r="876" spans="1:7" ht="13">
      <c r="A876" s="4" t="s">
        <v>115</v>
      </c>
      <c r="B876" s="1">
        <v>8.6</v>
      </c>
      <c r="C876" s="1">
        <v>780</v>
      </c>
      <c r="D876" s="1" t="s">
        <v>11</v>
      </c>
      <c r="E876" s="1" t="s">
        <v>68</v>
      </c>
      <c r="F876" s="1">
        <f t="shared" si="34"/>
        <v>860</v>
      </c>
      <c r="G876" s="5">
        <f t="shared" si="33"/>
        <v>0.90697674418604646</v>
      </c>
    </row>
    <row r="877" spans="1:7" ht="13">
      <c r="A877" s="4" t="s">
        <v>115</v>
      </c>
      <c r="B877" s="1">
        <v>4</v>
      </c>
      <c r="C877" s="1">
        <v>400</v>
      </c>
      <c r="D877" s="1" t="s">
        <v>47</v>
      </c>
      <c r="E877" s="1" t="s">
        <v>31</v>
      </c>
      <c r="F877" s="1">
        <f t="shared" si="34"/>
        <v>400</v>
      </c>
      <c r="G877" s="5">
        <f t="shared" si="33"/>
        <v>1</v>
      </c>
    </row>
    <row r="878" spans="1:7" ht="13">
      <c r="A878" s="4" t="s">
        <v>115</v>
      </c>
      <c r="B878" s="1">
        <v>9.1999999999999993</v>
      </c>
      <c r="C878" s="1">
        <v>793</v>
      </c>
      <c r="D878" s="1" t="s">
        <v>33</v>
      </c>
      <c r="E878" s="1" t="s">
        <v>20</v>
      </c>
      <c r="F878" s="1">
        <f t="shared" si="34"/>
        <v>919.99999999999989</v>
      </c>
      <c r="G878" s="5">
        <f t="shared" si="33"/>
        <v>0.86195652173913051</v>
      </c>
    </row>
    <row r="879" spans="1:7" ht="13">
      <c r="A879" s="4" t="s">
        <v>115</v>
      </c>
      <c r="B879" s="1">
        <v>7.7</v>
      </c>
      <c r="C879" s="1">
        <v>715</v>
      </c>
      <c r="D879" s="1" t="s">
        <v>33</v>
      </c>
      <c r="E879" s="1" t="s">
        <v>16</v>
      </c>
      <c r="F879" s="1">
        <f t="shared" si="34"/>
        <v>770</v>
      </c>
      <c r="G879" s="5">
        <f t="shared" si="33"/>
        <v>0.9285714285714286</v>
      </c>
    </row>
    <row r="880" spans="1:7" ht="13">
      <c r="A880" s="4" t="s">
        <v>115</v>
      </c>
      <c r="B880" s="1">
        <v>7.4</v>
      </c>
      <c r="C880" s="1">
        <v>782</v>
      </c>
      <c r="D880" s="1" t="s">
        <v>84</v>
      </c>
      <c r="E880" s="1" t="s">
        <v>10</v>
      </c>
      <c r="F880" s="1">
        <f t="shared" si="34"/>
        <v>740</v>
      </c>
      <c r="G880" s="5">
        <f t="shared" si="33"/>
        <v>1.0567567567567568</v>
      </c>
    </row>
    <row r="881" spans="1:7" ht="13">
      <c r="A881" s="4" t="s">
        <v>115</v>
      </c>
      <c r="B881" s="1">
        <v>7.74</v>
      </c>
      <c r="C881" s="1">
        <v>749.68</v>
      </c>
      <c r="D881" s="1" t="s">
        <v>43</v>
      </c>
      <c r="E881" s="1" t="s">
        <v>25</v>
      </c>
      <c r="F881" s="1">
        <f t="shared" si="34"/>
        <v>774</v>
      </c>
      <c r="G881" s="5">
        <f t="shared" si="33"/>
        <v>0.96857881136950896</v>
      </c>
    </row>
    <row r="882" spans="1:7" ht="13">
      <c r="A882" s="4" t="s">
        <v>115</v>
      </c>
      <c r="B882" s="1">
        <v>6</v>
      </c>
      <c r="C882" s="1">
        <v>603</v>
      </c>
      <c r="D882" s="1" t="s">
        <v>11</v>
      </c>
      <c r="E882" s="1" t="s">
        <v>26</v>
      </c>
      <c r="F882" s="1">
        <f t="shared" si="34"/>
        <v>600</v>
      </c>
      <c r="G882" s="5">
        <f t="shared" si="33"/>
        <v>1.0049999999999999</v>
      </c>
    </row>
    <row r="883" spans="1:7" ht="13">
      <c r="A883" s="4" t="s">
        <v>115</v>
      </c>
      <c r="B883" s="1">
        <v>3.24</v>
      </c>
      <c r="C883" s="1">
        <v>273</v>
      </c>
      <c r="D883" s="1" t="s">
        <v>40</v>
      </c>
      <c r="E883" s="1" t="s">
        <v>20</v>
      </c>
      <c r="F883" s="1">
        <f t="shared" si="34"/>
        <v>324</v>
      </c>
      <c r="G883" s="5">
        <f t="shared" si="33"/>
        <v>0.84259259259259256</v>
      </c>
    </row>
    <row r="884" spans="1:7" ht="13">
      <c r="A884" s="4" t="s">
        <v>115</v>
      </c>
      <c r="B884" s="1">
        <v>6.88</v>
      </c>
      <c r="C884" s="1">
        <v>618</v>
      </c>
      <c r="D884" s="1" t="s">
        <v>33</v>
      </c>
      <c r="E884" s="1" t="s">
        <v>17</v>
      </c>
      <c r="F884" s="1">
        <f t="shared" si="34"/>
        <v>688</v>
      </c>
      <c r="G884" s="5">
        <f t="shared" si="33"/>
        <v>0.89825581395348841</v>
      </c>
    </row>
    <row r="885" spans="1:7" ht="13">
      <c r="A885" s="4" t="s">
        <v>115</v>
      </c>
      <c r="B885" s="1">
        <v>9.5</v>
      </c>
      <c r="C885" s="1">
        <v>925</v>
      </c>
      <c r="D885" s="1" t="s">
        <v>11</v>
      </c>
      <c r="E885" s="1" t="s">
        <v>31</v>
      </c>
      <c r="F885" s="1">
        <f t="shared" si="34"/>
        <v>950</v>
      </c>
      <c r="G885" s="5">
        <f t="shared" si="33"/>
        <v>0.97368421052631582</v>
      </c>
    </row>
    <row r="886" spans="1:7" ht="13">
      <c r="A886" s="4" t="s">
        <v>115</v>
      </c>
      <c r="B886" s="1">
        <v>8.6</v>
      </c>
      <c r="C886" s="1">
        <v>856</v>
      </c>
      <c r="D886" s="1" t="s">
        <v>11</v>
      </c>
      <c r="E886" s="1" t="s">
        <v>19</v>
      </c>
      <c r="F886" s="1">
        <f t="shared" si="34"/>
        <v>860</v>
      </c>
      <c r="G886" s="5">
        <f t="shared" si="33"/>
        <v>0.99534883720930234</v>
      </c>
    </row>
    <row r="887" spans="1:7" ht="13">
      <c r="A887" s="4" t="s">
        <v>115</v>
      </c>
      <c r="B887" s="1">
        <v>5.88</v>
      </c>
      <c r="C887" s="1">
        <v>495</v>
      </c>
      <c r="D887" s="1" t="s">
        <v>39</v>
      </c>
      <c r="E887" s="1" t="s">
        <v>22</v>
      </c>
      <c r="F887" s="1">
        <f t="shared" si="34"/>
        <v>588</v>
      </c>
      <c r="G887" s="5">
        <f t="shared" si="33"/>
        <v>0.84183673469387754</v>
      </c>
    </row>
    <row r="888" spans="1:7" ht="13">
      <c r="A888" s="4" t="s">
        <v>115</v>
      </c>
      <c r="B888" s="1">
        <v>4</v>
      </c>
      <c r="C888" s="1">
        <v>359</v>
      </c>
      <c r="D888" s="1" t="s">
        <v>43</v>
      </c>
      <c r="E888" s="1" t="s">
        <v>20</v>
      </c>
      <c r="F888" s="1">
        <f t="shared" si="34"/>
        <v>400</v>
      </c>
      <c r="G888" s="5">
        <f t="shared" si="33"/>
        <v>0.89749999999999996</v>
      </c>
    </row>
    <row r="889" spans="1:7" ht="13">
      <c r="A889" s="4" t="s">
        <v>115</v>
      </c>
      <c r="B889" s="1">
        <v>6.02</v>
      </c>
      <c r="C889" s="1">
        <v>628</v>
      </c>
      <c r="D889" s="1" t="s">
        <v>43</v>
      </c>
      <c r="E889" s="1" t="s">
        <v>8</v>
      </c>
      <c r="F889" s="1">
        <f t="shared" si="34"/>
        <v>602</v>
      </c>
      <c r="G889" s="5">
        <f t="shared" si="33"/>
        <v>1.0431893687707641</v>
      </c>
    </row>
    <row r="890" spans="1:7" ht="13">
      <c r="A890" s="4" t="s">
        <v>115</v>
      </c>
      <c r="B890" s="1">
        <v>6525</v>
      </c>
      <c r="C890" s="1">
        <v>797</v>
      </c>
      <c r="D890" s="1" t="s">
        <v>11</v>
      </c>
      <c r="E890" s="1" t="s">
        <v>8</v>
      </c>
      <c r="F890" s="1">
        <f t="shared" si="34"/>
        <v>652500</v>
      </c>
      <c r="G890" s="5">
        <f t="shared" si="33"/>
        <v>1.221455938697318E-3</v>
      </c>
    </row>
    <row r="891" spans="1:7" ht="13">
      <c r="A891" s="4" t="s">
        <v>115</v>
      </c>
      <c r="B891" s="1">
        <v>7.05</v>
      </c>
      <c r="C891" s="1">
        <v>681</v>
      </c>
      <c r="D891" s="1" t="s">
        <v>36</v>
      </c>
      <c r="E891" s="1" t="s">
        <v>15</v>
      </c>
      <c r="F891" s="1">
        <f t="shared" si="34"/>
        <v>705</v>
      </c>
      <c r="G891" s="5">
        <f t="shared" si="33"/>
        <v>0.96595744680851059</v>
      </c>
    </row>
    <row r="892" spans="1:7" ht="13">
      <c r="A892" s="4" t="s">
        <v>115</v>
      </c>
      <c r="B892" s="1">
        <v>6.88</v>
      </c>
      <c r="C892" s="1">
        <v>702.21</v>
      </c>
      <c r="D892" s="1" t="s">
        <v>38</v>
      </c>
      <c r="E892" s="1" t="s">
        <v>7</v>
      </c>
      <c r="F892" s="1">
        <f t="shared" si="34"/>
        <v>688</v>
      </c>
      <c r="G892" s="5">
        <f t="shared" si="33"/>
        <v>1.020654069767442</v>
      </c>
    </row>
    <row r="893" spans="1:7" ht="13">
      <c r="A893" s="4" t="s">
        <v>115</v>
      </c>
      <c r="B893" s="1">
        <v>6.5</v>
      </c>
      <c r="C893" s="1">
        <v>650</v>
      </c>
      <c r="D893" s="1" t="s">
        <v>11</v>
      </c>
      <c r="E893" s="1" t="s">
        <v>17</v>
      </c>
      <c r="F893" s="1">
        <f t="shared" si="34"/>
        <v>650</v>
      </c>
      <c r="G893" s="5">
        <f t="shared" si="33"/>
        <v>1</v>
      </c>
    </row>
    <row r="894" spans="1:7" ht="13">
      <c r="A894" s="4" t="s">
        <v>115</v>
      </c>
      <c r="B894" s="1">
        <v>7.8</v>
      </c>
      <c r="C894" s="1">
        <v>774</v>
      </c>
      <c r="D894" s="1" t="s">
        <v>11</v>
      </c>
      <c r="E894" s="1" t="s">
        <v>23</v>
      </c>
      <c r="F894" s="1">
        <f t="shared" si="34"/>
        <v>780</v>
      </c>
      <c r="G894" s="5">
        <f t="shared" si="33"/>
        <v>0.99230769230769234</v>
      </c>
    </row>
    <row r="895" spans="1:7" ht="13">
      <c r="A895" s="4" t="s">
        <v>115</v>
      </c>
      <c r="B895" s="1">
        <v>7.56</v>
      </c>
      <c r="C895" s="1">
        <v>741</v>
      </c>
      <c r="D895" s="1" t="s">
        <v>11</v>
      </c>
      <c r="E895" s="1" t="s">
        <v>25</v>
      </c>
      <c r="F895" s="1">
        <f t="shared" si="34"/>
        <v>756</v>
      </c>
      <c r="G895" s="5">
        <f t="shared" si="33"/>
        <v>0.98015873015873012</v>
      </c>
    </row>
    <row r="896" spans="1:7" ht="13">
      <c r="A896" s="4" t="s">
        <v>115</v>
      </c>
      <c r="B896" s="1">
        <v>8.5050000000000008</v>
      </c>
      <c r="C896" s="1">
        <v>751</v>
      </c>
      <c r="D896" s="1" t="s">
        <v>39</v>
      </c>
      <c r="E896" s="1" t="s">
        <v>20</v>
      </c>
      <c r="F896" s="1">
        <f t="shared" si="34"/>
        <v>850.50000000000011</v>
      </c>
      <c r="G896" s="5">
        <f t="shared" si="33"/>
        <v>0.88300999412110515</v>
      </c>
    </row>
    <row r="897" spans="1:7" ht="13">
      <c r="A897" s="4" t="s">
        <v>115</v>
      </c>
      <c r="B897" s="1">
        <v>6.44</v>
      </c>
      <c r="C897" s="1">
        <v>690</v>
      </c>
      <c r="D897" s="1" t="s">
        <v>47</v>
      </c>
      <c r="E897" s="1" t="s">
        <v>22</v>
      </c>
      <c r="F897" s="1">
        <f t="shared" si="34"/>
        <v>644</v>
      </c>
      <c r="G897" s="5">
        <f t="shared" si="33"/>
        <v>1.0714285714285714</v>
      </c>
    </row>
    <row r="898" spans="1:7" ht="13">
      <c r="A898" s="4" t="s">
        <v>115</v>
      </c>
      <c r="B898" s="1">
        <v>5.46</v>
      </c>
      <c r="C898" s="1">
        <v>498</v>
      </c>
      <c r="D898" s="1" t="s">
        <v>45</v>
      </c>
      <c r="E898" s="1" t="s">
        <v>14</v>
      </c>
      <c r="F898" s="1">
        <f t="shared" si="34"/>
        <v>546</v>
      </c>
      <c r="G898" s="5">
        <f t="shared" ref="G898:G961" si="35">C898/F898</f>
        <v>0.91208791208791207</v>
      </c>
    </row>
    <row r="899" spans="1:7" ht="13">
      <c r="A899" s="4" t="s">
        <v>115</v>
      </c>
      <c r="B899" s="1">
        <v>5.6</v>
      </c>
      <c r="C899" s="1">
        <v>537</v>
      </c>
      <c r="D899" s="1" t="s">
        <v>11</v>
      </c>
      <c r="E899" s="1" t="s">
        <v>68</v>
      </c>
      <c r="F899" s="1">
        <f t="shared" ref="F899:F962" si="36">B899*100</f>
        <v>560</v>
      </c>
      <c r="G899" s="5">
        <f t="shared" si="35"/>
        <v>0.95892857142857146</v>
      </c>
    </row>
    <row r="900" spans="1:7" ht="13">
      <c r="A900" s="4" t="s">
        <v>115</v>
      </c>
      <c r="B900" s="1">
        <v>6.45</v>
      </c>
      <c r="C900" s="1">
        <v>529</v>
      </c>
      <c r="D900" s="1" t="s">
        <v>33</v>
      </c>
      <c r="E900" s="1" t="s">
        <v>8</v>
      </c>
      <c r="F900" s="1">
        <f t="shared" si="36"/>
        <v>645</v>
      </c>
      <c r="G900" s="5">
        <f t="shared" si="35"/>
        <v>0.82015503875968987</v>
      </c>
    </row>
    <row r="901" spans="1:7" ht="13">
      <c r="A901" s="4" t="s">
        <v>115</v>
      </c>
      <c r="B901" s="1">
        <v>3.1</v>
      </c>
      <c r="C901" s="1">
        <v>302</v>
      </c>
      <c r="D901" s="1" t="s">
        <v>11</v>
      </c>
      <c r="E901" s="1" t="s">
        <v>31</v>
      </c>
      <c r="F901" s="1">
        <f t="shared" si="36"/>
        <v>310</v>
      </c>
      <c r="G901" s="5">
        <f t="shared" si="35"/>
        <v>0.97419354838709682</v>
      </c>
    </row>
    <row r="902" spans="1:7" ht="13">
      <c r="A902" s="4" t="s">
        <v>115</v>
      </c>
      <c r="B902" s="1">
        <v>9.3000000000000007</v>
      </c>
      <c r="C902" s="1">
        <v>876</v>
      </c>
      <c r="D902" s="1" t="s">
        <v>11</v>
      </c>
      <c r="E902" s="1" t="s">
        <v>20</v>
      </c>
      <c r="F902" s="1">
        <f t="shared" si="36"/>
        <v>930.00000000000011</v>
      </c>
      <c r="G902" s="5">
        <f t="shared" si="35"/>
        <v>0.94193548387096759</v>
      </c>
    </row>
    <row r="903" spans="1:7" ht="13">
      <c r="A903" s="4" t="s">
        <v>115</v>
      </c>
      <c r="B903" s="1">
        <v>7.3</v>
      </c>
      <c r="C903" s="1">
        <v>22</v>
      </c>
      <c r="D903" s="1" t="s">
        <v>11</v>
      </c>
      <c r="E903" s="1" t="s">
        <v>16</v>
      </c>
      <c r="F903" s="1">
        <f t="shared" si="36"/>
        <v>730</v>
      </c>
      <c r="G903" s="5">
        <f t="shared" si="35"/>
        <v>3.0136986301369864E-2</v>
      </c>
    </row>
    <row r="904" spans="1:7" ht="13">
      <c r="A904" s="4" t="s">
        <v>115</v>
      </c>
      <c r="B904" s="1">
        <v>4.2</v>
      </c>
      <c r="C904" s="1">
        <v>482</v>
      </c>
      <c r="D904" s="1" t="s">
        <v>11</v>
      </c>
      <c r="E904" s="1" t="s">
        <v>15</v>
      </c>
      <c r="F904" s="1">
        <f t="shared" si="36"/>
        <v>420</v>
      </c>
      <c r="G904" s="5">
        <f t="shared" si="35"/>
        <v>1.1476190476190475</v>
      </c>
    </row>
    <row r="905" spans="1:7" ht="13">
      <c r="A905" s="4" t="s">
        <v>115</v>
      </c>
      <c r="B905" s="1">
        <v>5.2</v>
      </c>
      <c r="C905" s="1">
        <v>492</v>
      </c>
      <c r="D905" s="1" t="s">
        <v>11</v>
      </c>
      <c r="E905" s="1" t="s">
        <v>8</v>
      </c>
      <c r="F905" s="1">
        <f t="shared" si="36"/>
        <v>520</v>
      </c>
      <c r="G905" s="5">
        <f t="shared" si="35"/>
        <v>0.94615384615384612</v>
      </c>
    </row>
    <row r="906" spans="1:7" ht="13">
      <c r="A906" s="4" t="s">
        <v>115</v>
      </c>
      <c r="B906" s="1">
        <v>8.64</v>
      </c>
      <c r="C906" s="1">
        <v>870</v>
      </c>
      <c r="D906" s="1" t="s">
        <v>11</v>
      </c>
      <c r="E906" s="1" t="s">
        <v>9</v>
      </c>
      <c r="F906" s="1">
        <f t="shared" si="36"/>
        <v>864</v>
      </c>
      <c r="G906" s="5">
        <f t="shared" si="35"/>
        <v>1.0069444444444444</v>
      </c>
    </row>
    <row r="907" spans="1:7" ht="13">
      <c r="A907" s="4" t="s">
        <v>115</v>
      </c>
      <c r="B907" s="1">
        <v>6</v>
      </c>
      <c r="C907" s="1">
        <v>449</v>
      </c>
      <c r="D907" s="1" t="s">
        <v>53</v>
      </c>
      <c r="E907" s="1" t="s">
        <v>49</v>
      </c>
      <c r="F907" s="1">
        <f t="shared" si="36"/>
        <v>600</v>
      </c>
      <c r="G907" s="5">
        <f t="shared" si="35"/>
        <v>0.74833333333333329</v>
      </c>
    </row>
    <row r="908" spans="1:7" ht="13">
      <c r="A908" s="4" t="s">
        <v>115</v>
      </c>
      <c r="B908" s="1">
        <v>7.74</v>
      </c>
      <c r="C908" s="1">
        <v>752</v>
      </c>
      <c r="D908" s="1" t="s">
        <v>53</v>
      </c>
      <c r="E908" s="1" t="s">
        <v>31</v>
      </c>
      <c r="F908" s="1">
        <f t="shared" si="36"/>
        <v>774</v>
      </c>
      <c r="G908" s="5">
        <f t="shared" si="35"/>
        <v>0.9715762273901809</v>
      </c>
    </row>
    <row r="909" spans="1:7" ht="13">
      <c r="A909" s="4" t="s">
        <v>115</v>
      </c>
      <c r="B909" s="1">
        <v>3.2</v>
      </c>
      <c r="C909" s="1">
        <v>75.900000000000006</v>
      </c>
      <c r="D909" s="1" t="s">
        <v>66</v>
      </c>
      <c r="E909" s="1" t="s">
        <v>22</v>
      </c>
      <c r="F909" s="1">
        <f t="shared" si="36"/>
        <v>320</v>
      </c>
      <c r="G909" s="5">
        <f t="shared" si="35"/>
        <v>0.23718750000000002</v>
      </c>
    </row>
    <row r="910" spans="1:7" ht="13">
      <c r="A910" s="4" t="s">
        <v>115</v>
      </c>
      <c r="B910" s="1">
        <v>7.8</v>
      </c>
      <c r="C910" s="1">
        <v>681</v>
      </c>
      <c r="D910" s="1" t="s">
        <v>33</v>
      </c>
      <c r="E910" s="1" t="s">
        <v>24</v>
      </c>
      <c r="F910" s="1">
        <f t="shared" si="36"/>
        <v>780</v>
      </c>
      <c r="G910" s="5">
        <f t="shared" si="35"/>
        <v>0.87307692307692308</v>
      </c>
    </row>
    <row r="911" spans="1:7" ht="13">
      <c r="A911" s="4" t="s">
        <v>115</v>
      </c>
      <c r="B911" s="1">
        <v>8.1</v>
      </c>
      <c r="C911" s="1">
        <v>760</v>
      </c>
      <c r="D911" s="1" t="s">
        <v>39</v>
      </c>
      <c r="E911" s="1" t="s">
        <v>17</v>
      </c>
      <c r="F911" s="1">
        <f t="shared" si="36"/>
        <v>810</v>
      </c>
      <c r="G911" s="5">
        <f t="shared" si="35"/>
        <v>0.93827160493827155</v>
      </c>
    </row>
    <row r="912" spans="1:7" ht="13">
      <c r="A912" s="4" t="s">
        <v>115</v>
      </c>
      <c r="B912" s="1">
        <v>9.1999999999999993</v>
      </c>
      <c r="C912" s="1">
        <v>801</v>
      </c>
      <c r="D912" s="1" t="s">
        <v>33</v>
      </c>
      <c r="E912" s="1" t="s">
        <v>15</v>
      </c>
      <c r="F912" s="1">
        <f t="shared" si="36"/>
        <v>919.99999999999989</v>
      </c>
      <c r="G912" s="5">
        <f t="shared" si="35"/>
        <v>0.87065217391304361</v>
      </c>
    </row>
    <row r="913" spans="1:7" ht="13">
      <c r="A913" s="4" t="s">
        <v>115</v>
      </c>
      <c r="B913" s="1">
        <v>8</v>
      </c>
      <c r="C913" s="1">
        <v>623</v>
      </c>
      <c r="D913" s="1" t="s">
        <v>11</v>
      </c>
      <c r="E913" s="1" t="s">
        <v>22</v>
      </c>
      <c r="F913" s="1">
        <f t="shared" si="36"/>
        <v>800</v>
      </c>
      <c r="G913" s="5">
        <f t="shared" si="35"/>
        <v>0.77875000000000005</v>
      </c>
    </row>
    <row r="914" spans="1:7" ht="13">
      <c r="A914" s="4" t="s">
        <v>115</v>
      </c>
      <c r="B914" s="1">
        <v>8.8000000000000007</v>
      </c>
      <c r="C914" s="1">
        <v>621</v>
      </c>
      <c r="D914" s="1" t="s">
        <v>44</v>
      </c>
      <c r="E914" s="1" t="s">
        <v>25</v>
      </c>
      <c r="F914" s="1">
        <f t="shared" si="36"/>
        <v>880.00000000000011</v>
      </c>
      <c r="G914" s="5">
        <f t="shared" si="35"/>
        <v>0.70568181818181808</v>
      </c>
    </row>
    <row r="915" spans="1:7" ht="13">
      <c r="A915" s="4" t="s">
        <v>115</v>
      </c>
      <c r="B915" s="1">
        <v>8.8000000000000007</v>
      </c>
      <c r="C915" s="1">
        <v>777</v>
      </c>
      <c r="D915" s="1" t="s">
        <v>47</v>
      </c>
      <c r="E915" s="1" t="s">
        <v>30</v>
      </c>
      <c r="F915" s="1">
        <f t="shared" si="36"/>
        <v>880.00000000000011</v>
      </c>
      <c r="G915" s="5">
        <f t="shared" si="35"/>
        <v>0.88295454545454533</v>
      </c>
    </row>
    <row r="916" spans="1:7" ht="13">
      <c r="A916" s="4" t="s">
        <v>115</v>
      </c>
      <c r="B916" s="1">
        <v>4.8600000000000003</v>
      </c>
      <c r="C916" s="1">
        <v>471</v>
      </c>
      <c r="D916" s="1" t="s">
        <v>11</v>
      </c>
      <c r="E916" s="1" t="s">
        <v>18</v>
      </c>
      <c r="F916" s="1">
        <f t="shared" si="36"/>
        <v>486.00000000000006</v>
      </c>
      <c r="G916" s="5">
        <f t="shared" si="35"/>
        <v>0.96913580246913567</v>
      </c>
    </row>
    <row r="917" spans="1:7" ht="13">
      <c r="A917" s="4" t="s">
        <v>115</v>
      </c>
      <c r="B917" s="1">
        <v>7.6</v>
      </c>
      <c r="C917" s="1">
        <v>639</v>
      </c>
      <c r="D917" s="1" t="s">
        <v>33</v>
      </c>
      <c r="E917" s="1" t="s">
        <v>21</v>
      </c>
      <c r="F917" s="1">
        <f t="shared" si="36"/>
        <v>760</v>
      </c>
      <c r="G917" s="5">
        <f t="shared" si="35"/>
        <v>0.84078947368421053</v>
      </c>
    </row>
    <row r="918" spans="1:7" ht="13">
      <c r="A918" s="4" t="s">
        <v>115</v>
      </c>
      <c r="B918" s="1">
        <v>8.5</v>
      </c>
      <c r="C918" s="1">
        <v>763</v>
      </c>
      <c r="D918" s="1" t="s">
        <v>33</v>
      </c>
      <c r="E918" s="1" t="s">
        <v>46</v>
      </c>
      <c r="F918" s="1">
        <f t="shared" si="36"/>
        <v>850</v>
      </c>
      <c r="G918" s="5">
        <f t="shared" si="35"/>
        <v>0.89764705882352946</v>
      </c>
    </row>
    <row r="919" spans="1:7" ht="13">
      <c r="A919" s="4" t="s">
        <v>115</v>
      </c>
      <c r="B919" s="1">
        <v>5</v>
      </c>
      <c r="C919" s="1">
        <v>464</v>
      </c>
      <c r="D919" s="1" t="s">
        <v>11</v>
      </c>
      <c r="E919" s="1" t="s">
        <v>14</v>
      </c>
      <c r="F919" s="1">
        <f t="shared" si="36"/>
        <v>500</v>
      </c>
      <c r="G919" s="5">
        <f t="shared" si="35"/>
        <v>0.92800000000000005</v>
      </c>
    </row>
    <row r="920" spans="1:7" ht="13">
      <c r="A920" s="4" t="s">
        <v>115</v>
      </c>
      <c r="B920" s="1">
        <v>8.6</v>
      </c>
      <c r="C920" s="1">
        <v>840</v>
      </c>
      <c r="D920" s="1" t="s">
        <v>11</v>
      </c>
      <c r="E920" s="1" t="s">
        <v>14</v>
      </c>
      <c r="F920" s="1">
        <f t="shared" si="36"/>
        <v>860</v>
      </c>
      <c r="G920" s="5">
        <f t="shared" si="35"/>
        <v>0.97674418604651159</v>
      </c>
    </row>
    <row r="921" spans="1:7" ht="13">
      <c r="A921" s="4" t="s">
        <v>115</v>
      </c>
      <c r="B921" s="1">
        <v>6.2</v>
      </c>
      <c r="C921" s="1">
        <v>732</v>
      </c>
      <c r="D921" s="1" t="s">
        <v>11</v>
      </c>
      <c r="E921" s="1" t="s">
        <v>10</v>
      </c>
      <c r="F921" s="1">
        <f t="shared" si="36"/>
        <v>620</v>
      </c>
      <c r="G921" s="5">
        <f t="shared" si="35"/>
        <v>1.1806451612903226</v>
      </c>
    </row>
    <row r="922" spans="1:7" ht="13">
      <c r="A922" s="4" t="s">
        <v>115</v>
      </c>
      <c r="B922" s="1">
        <v>6.7</v>
      </c>
      <c r="C922" s="1">
        <v>581</v>
      </c>
      <c r="D922" s="1" t="s">
        <v>33</v>
      </c>
      <c r="E922" s="1" t="s">
        <v>21</v>
      </c>
      <c r="F922" s="1">
        <f t="shared" si="36"/>
        <v>670</v>
      </c>
      <c r="G922" s="5">
        <f t="shared" si="35"/>
        <v>0.86716417910447763</v>
      </c>
    </row>
    <row r="923" spans="1:7" ht="13">
      <c r="A923" s="4" t="s">
        <v>115</v>
      </c>
      <c r="B923" s="1">
        <v>5.88</v>
      </c>
      <c r="C923" s="1">
        <v>517</v>
      </c>
      <c r="D923" s="1" t="s">
        <v>39</v>
      </c>
      <c r="E923" s="1" t="s">
        <v>19</v>
      </c>
      <c r="F923" s="1">
        <f t="shared" si="36"/>
        <v>588</v>
      </c>
      <c r="G923" s="5">
        <f t="shared" si="35"/>
        <v>0.87925170068027214</v>
      </c>
    </row>
    <row r="924" spans="1:7" ht="13">
      <c r="A924" s="4" t="s">
        <v>115</v>
      </c>
      <c r="B924" s="1">
        <v>5.81</v>
      </c>
      <c r="C924" s="1">
        <v>641</v>
      </c>
      <c r="D924" s="1" t="s">
        <v>38</v>
      </c>
      <c r="E924" s="1" t="s">
        <v>8</v>
      </c>
      <c r="F924" s="1">
        <f t="shared" si="36"/>
        <v>581</v>
      </c>
      <c r="G924" s="5">
        <f t="shared" si="35"/>
        <v>1.1032702237521514</v>
      </c>
    </row>
    <row r="925" spans="1:7" ht="13">
      <c r="A925" s="4" t="s">
        <v>115</v>
      </c>
      <c r="B925" s="1">
        <v>5.25</v>
      </c>
      <c r="C925" s="1">
        <v>550</v>
      </c>
      <c r="D925" s="1" t="s">
        <v>11</v>
      </c>
      <c r="E925" s="1" t="s">
        <v>16</v>
      </c>
      <c r="F925" s="1">
        <f t="shared" si="36"/>
        <v>525</v>
      </c>
      <c r="G925" s="5">
        <f t="shared" si="35"/>
        <v>1.0476190476190477</v>
      </c>
    </row>
    <row r="926" spans="1:7" ht="13">
      <c r="A926" s="4" t="s">
        <v>115</v>
      </c>
      <c r="B926" s="1">
        <v>7.2</v>
      </c>
      <c r="C926" s="1">
        <v>706</v>
      </c>
      <c r="D926" s="1" t="s">
        <v>11</v>
      </c>
      <c r="E926" s="1" t="s">
        <v>10</v>
      </c>
      <c r="F926" s="1">
        <f t="shared" si="36"/>
        <v>720</v>
      </c>
      <c r="G926" s="5">
        <f t="shared" si="35"/>
        <v>0.98055555555555551</v>
      </c>
    </row>
    <row r="927" spans="1:7" ht="13">
      <c r="A927" s="4" t="s">
        <v>115</v>
      </c>
      <c r="B927" s="1">
        <v>6.88</v>
      </c>
      <c r="C927" s="1">
        <v>752</v>
      </c>
      <c r="D927" s="1" t="s">
        <v>11</v>
      </c>
      <c r="E927" s="1" t="s">
        <v>8</v>
      </c>
      <c r="F927" s="1">
        <f t="shared" si="36"/>
        <v>688</v>
      </c>
      <c r="G927" s="5">
        <f t="shared" si="35"/>
        <v>1.0930232558139534</v>
      </c>
    </row>
    <row r="928" spans="1:7" ht="13">
      <c r="A928" s="4" t="s">
        <v>115</v>
      </c>
      <c r="B928" s="1">
        <v>13.76</v>
      </c>
      <c r="C928" s="1">
        <v>1194</v>
      </c>
      <c r="D928" s="1" t="s">
        <v>33</v>
      </c>
      <c r="E928" s="1" t="s">
        <v>23</v>
      </c>
      <c r="F928" s="1">
        <f t="shared" si="36"/>
        <v>1376</v>
      </c>
      <c r="G928" s="5">
        <f t="shared" si="35"/>
        <v>0.86773255813953487</v>
      </c>
    </row>
    <row r="929" spans="1:7" ht="13">
      <c r="A929" s="4" t="s">
        <v>115</v>
      </c>
      <c r="B929" s="1">
        <v>7.7</v>
      </c>
      <c r="C929" s="1">
        <v>765</v>
      </c>
      <c r="D929" s="1" t="s">
        <v>11</v>
      </c>
      <c r="E929" s="1" t="s">
        <v>49</v>
      </c>
      <c r="F929" s="1">
        <f t="shared" si="36"/>
        <v>770</v>
      </c>
      <c r="G929" s="5">
        <f t="shared" si="35"/>
        <v>0.99350649350649356</v>
      </c>
    </row>
    <row r="930" spans="1:7" ht="13">
      <c r="A930" s="4" t="s">
        <v>115</v>
      </c>
      <c r="B930" s="1">
        <v>6.2</v>
      </c>
      <c r="C930" s="1">
        <v>641</v>
      </c>
      <c r="D930" s="1" t="s">
        <v>11</v>
      </c>
      <c r="E930" s="1" t="s">
        <v>16</v>
      </c>
      <c r="F930" s="1">
        <f t="shared" si="36"/>
        <v>620</v>
      </c>
      <c r="G930" s="5">
        <f t="shared" si="35"/>
        <v>1.0338709677419355</v>
      </c>
    </row>
    <row r="931" spans="1:7" ht="13">
      <c r="A931" s="4" t="s">
        <v>115</v>
      </c>
      <c r="B931" s="1">
        <v>7.8</v>
      </c>
      <c r="C931" s="1">
        <v>778</v>
      </c>
      <c r="D931" s="1" t="s">
        <v>55</v>
      </c>
      <c r="E931" s="1" t="s">
        <v>49</v>
      </c>
      <c r="F931" s="1">
        <f t="shared" si="36"/>
        <v>780</v>
      </c>
      <c r="G931" s="5">
        <f t="shared" si="35"/>
        <v>0.99743589743589745</v>
      </c>
    </row>
    <row r="932" spans="1:7" ht="13">
      <c r="A932" s="4" t="s">
        <v>115</v>
      </c>
      <c r="B932" s="1">
        <v>4.8</v>
      </c>
      <c r="C932" s="1">
        <v>413</v>
      </c>
      <c r="D932" s="1" t="s">
        <v>11</v>
      </c>
      <c r="E932" s="1" t="s">
        <v>24</v>
      </c>
      <c r="F932" s="1">
        <f t="shared" si="36"/>
        <v>480</v>
      </c>
      <c r="G932" s="5">
        <f t="shared" si="35"/>
        <v>0.86041666666666672</v>
      </c>
    </row>
    <row r="933" spans="1:7" ht="13">
      <c r="A933" s="4" t="s">
        <v>115</v>
      </c>
      <c r="B933" s="1">
        <v>3.44</v>
      </c>
      <c r="C933" s="1">
        <v>375</v>
      </c>
      <c r="D933" s="1" t="s">
        <v>11</v>
      </c>
      <c r="E933" s="1" t="s">
        <v>9</v>
      </c>
      <c r="F933" s="1">
        <f t="shared" si="36"/>
        <v>344</v>
      </c>
      <c r="G933" s="5">
        <f t="shared" si="35"/>
        <v>1.0901162790697674</v>
      </c>
    </row>
    <row r="934" spans="1:7" ht="13">
      <c r="A934" s="4" t="s">
        <v>115</v>
      </c>
      <c r="B934" s="1">
        <v>5.6</v>
      </c>
      <c r="C934" s="1">
        <v>550</v>
      </c>
      <c r="D934" s="1" t="s">
        <v>54</v>
      </c>
      <c r="E934" s="1" t="s">
        <v>22</v>
      </c>
      <c r="F934" s="1">
        <f t="shared" si="36"/>
        <v>560</v>
      </c>
      <c r="G934" s="5">
        <f t="shared" si="35"/>
        <v>0.9821428571428571</v>
      </c>
    </row>
    <row r="935" spans="1:7" ht="13">
      <c r="A935" s="4" t="s">
        <v>115</v>
      </c>
      <c r="B935" s="1">
        <v>9.3000000000000007</v>
      </c>
      <c r="C935" s="1">
        <v>917</v>
      </c>
      <c r="D935" s="1" t="s">
        <v>45</v>
      </c>
      <c r="E935" s="1" t="s">
        <v>10</v>
      </c>
      <c r="F935" s="1">
        <f t="shared" si="36"/>
        <v>930.00000000000011</v>
      </c>
      <c r="G935" s="5">
        <f t="shared" si="35"/>
        <v>0.98602150537634392</v>
      </c>
    </row>
    <row r="936" spans="1:7" ht="13">
      <c r="A936" s="4" t="s">
        <v>115</v>
      </c>
      <c r="B936" s="1">
        <v>4.3</v>
      </c>
      <c r="C936" s="1">
        <v>443.77</v>
      </c>
      <c r="D936" s="1" t="s">
        <v>11</v>
      </c>
      <c r="E936" s="1" t="s">
        <v>24</v>
      </c>
      <c r="F936" s="1">
        <f t="shared" si="36"/>
        <v>430</v>
      </c>
      <c r="G936" s="5">
        <f t="shared" si="35"/>
        <v>1.0320232558139535</v>
      </c>
    </row>
    <row r="937" spans="1:7" ht="13">
      <c r="A937" s="4" t="s">
        <v>115</v>
      </c>
      <c r="B937" s="1">
        <v>5.2</v>
      </c>
      <c r="C937" s="1">
        <v>532.70000000000005</v>
      </c>
      <c r="D937" s="1" t="s">
        <v>39</v>
      </c>
      <c r="E937" s="1" t="s">
        <v>25</v>
      </c>
      <c r="F937" s="1">
        <f t="shared" si="36"/>
        <v>520</v>
      </c>
      <c r="G937" s="5">
        <f t="shared" si="35"/>
        <v>1.0244230769230771</v>
      </c>
    </row>
    <row r="938" spans="1:7" ht="13">
      <c r="A938" s="4" t="s">
        <v>115</v>
      </c>
      <c r="B938" s="1">
        <v>6.8</v>
      </c>
      <c r="C938" s="1">
        <v>609</v>
      </c>
      <c r="D938" s="1" t="s">
        <v>44</v>
      </c>
      <c r="E938" s="1" t="s">
        <v>22</v>
      </c>
      <c r="F938" s="1">
        <f t="shared" si="36"/>
        <v>680</v>
      </c>
      <c r="G938" s="5">
        <f t="shared" si="35"/>
        <v>0.89558823529411768</v>
      </c>
    </row>
    <row r="939" spans="1:7" ht="13">
      <c r="A939" s="4" t="s">
        <v>115</v>
      </c>
      <c r="B939" s="1">
        <v>5.25</v>
      </c>
      <c r="C939" s="1">
        <v>535</v>
      </c>
      <c r="D939" s="1" t="s">
        <v>11</v>
      </c>
      <c r="E939" s="1" t="s">
        <v>16</v>
      </c>
      <c r="F939" s="1">
        <f t="shared" si="36"/>
        <v>525</v>
      </c>
      <c r="G939" s="5">
        <f t="shared" si="35"/>
        <v>1.019047619047619</v>
      </c>
    </row>
    <row r="940" spans="1:7" ht="13">
      <c r="A940" s="4" t="s">
        <v>115</v>
      </c>
      <c r="B940" s="1">
        <v>4.5999999999999996</v>
      </c>
      <c r="C940" s="1">
        <v>479</v>
      </c>
      <c r="D940" s="1" t="s">
        <v>11</v>
      </c>
      <c r="E940" s="1" t="s">
        <v>9</v>
      </c>
      <c r="F940" s="1">
        <f t="shared" si="36"/>
        <v>459.99999999999994</v>
      </c>
      <c r="G940" s="5">
        <f t="shared" si="35"/>
        <v>1.0413043478260871</v>
      </c>
    </row>
    <row r="941" spans="1:7" ht="13">
      <c r="A941" s="4" t="s">
        <v>115</v>
      </c>
      <c r="B941" s="1">
        <v>7.2</v>
      </c>
      <c r="C941" s="1">
        <v>686</v>
      </c>
      <c r="D941" s="1" t="s">
        <v>33</v>
      </c>
      <c r="E941" s="1" t="s">
        <v>15</v>
      </c>
      <c r="F941" s="1">
        <f t="shared" si="36"/>
        <v>720</v>
      </c>
      <c r="G941" s="5">
        <f t="shared" si="35"/>
        <v>0.95277777777777772</v>
      </c>
    </row>
    <row r="942" spans="1:7" ht="13">
      <c r="A942" s="4" t="s">
        <v>115</v>
      </c>
      <c r="B942" s="1">
        <v>9.8000000000000007</v>
      </c>
      <c r="C942" s="1">
        <v>810</v>
      </c>
      <c r="D942" s="1" t="s">
        <v>33</v>
      </c>
      <c r="E942" s="1" t="s">
        <v>22</v>
      </c>
      <c r="F942" s="1">
        <f t="shared" si="36"/>
        <v>980.00000000000011</v>
      </c>
      <c r="G942" s="5">
        <f t="shared" si="35"/>
        <v>0.82653061224489788</v>
      </c>
    </row>
    <row r="943" spans="1:7" ht="13">
      <c r="A943" s="4" t="s">
        <v>115</v>
      </c>
      <c r="B943" s="1">
        <v>7.74</v>
      </c>
      <c r="C943" s="1">
        <v>764.3</v>
      </c>
      <c r="D943" s="1" t="s">
        <v>11</v>
      </c>
      <c r="E943" s="1" t="s">
        <v>29</v>
      </c>
      <c r="F943" s="1">
        <f t="shared" si="36"/>
        <v>774</v>
      </c>
      <c r="G943" s="5">
        <f t="shared" si="35"/>
        <v>0.98746770025839792</v>
      </c>
    </row>
    <row r="944" spans="1:7" ht="13">
      <c r="A944" s="4" t="s">
        <v>115</v>
      </c>
      <c r="B944" s="1">
        <v>6.02</v>
      </c>
      <c r="C944" s="1">
        <v>614</v>
      </c>
      <c r="D944" s="1" t="s">
        <v>42</v>
      </c>
      <c r="E944" s="1" t="s">
        <v>14</v>
      </c>
      <c r="F944" s="1">
        <f t="shared" si="36"/>
        <v>602</v>
      </c>
      <c r="G944" s="5">
        <f t="shared" si="35"/>
        <v>1.0199335548172757</v>
      </c>
    </row>
    <row r="945" spans="1:7" ht="13">
      <c r="A945" s="4" t="s">
        <v>115</v>
      </c>
      <c r="B945" s="1">
        <v>5.6</v>
      </c>
      <c r="C945" s="1">
        <v>423</v>
      </c>
      <c r="D945" s="1" t="s">
        <v>11</v>
      </c>
      <c r="E945" s="1" t="s">
        <v>21</v>
      </c>
      <c r="F945" s="1">
        <f t="shared" si="36"/>
        <v>560</v>
      </c>
      <c r="G945" s="5">
        <f t="shared" si="35"/>
        <v>0.75535714285714284</v>
      </c>
    </row>
    <row r="946" spans="1:7" ht="13">
      <c r="A946" s="4" t="s">
        <v>115</v>
      </c>
      <c r="B946" s="1">
        <v>4.0999999999999996</v>
      </c>
      <c r="C946" s="1">
        <v>412</v>
      </c>
      <c r="D946" s="1" t="s">
        <v>38</v>
      </c>
      <c r="E946" s="1" t="s">
        <v>16</v>
      </c>
      <c r="F946" s="1">
        <f t="shared" si="36"/>
        <v>409.99999999999994</v>
      </c>
      <c r="G946" s="5">
        <f t="shared" si="35"/>
        <v>1.004878048780488</v>
      </c>
    </row>
    <row r="947" spans="1:7" ht="13">
      <c r="A947" s="4" t="s">
        <v>115</v>
      </c>
      <c r="B947" s="1">
        <v>6.4</v>
      </c>
      <c r="C947" s="1">
        <v>576</v>
      </c>
      <c r="D947" s="1" t="s">
        <v>85</v>
      </c>
      <c r="E947" s="1" t="s">
        <v>8</v>
      </c>
      <c r="F947" s="1">
        <f t="shared" si="36"/>
        <v>640</v>
      </c>
      <c r="G947" s="5">
        <f t="shared" si="35"/>
        <v>0.9</v>
      </c>
    </row>
    <row r="948" spans="1:7" ht="13">
      <c r="A948" s="4" t="s">
        <v>115</v>
      </c>
      <c r="B948" s="1">
        <v>6.96</v>
      </c>
      <c r="C948" s="1">
        <v>635.5</v>
      </c>
      <c r="D948" s="1" t="s">
        <v>33</v>
      </c>
      <c r="E948" s="1" t="s">
        <v>12</v>
      </c>
      <c r="F948" s="1">
        <f t="shared" si="36"/>
        <v>696</v>
      </c>
      <c r="G948" s="5">
        <f t="shared" si="35"/>
        <v>0.91307471264367812</v>
      </c>
    </row>
    <row r="949" spans="1:7" ht="13">
      <c r="A949" s="4" t="s">
        <v>115</v>
      </c>
      <c r="B949" s="1">
        <v>6.88</v>
      </c>
      <c r="C949" s="1">
        <v>706</v>
      </c>
      <c r="D949" s="1" t="s">
        <v>11</v>
      </c>
      <c r="E949" s="1" t="s">
        <v>8</v>
      </c>
      <c r="F949" s="1">
        <f t="shared" si="36"/>
        <v>688</v>
      </c>
      <c r="G949" s="5">
        <f t="shared" si="35"/>
        <v>1.0261627906976745</v>
      </c>
    </row>
    <row r="950" spans="1:7" ht="13">
      <c r="A950" s="4" t="s">
        <v>115</v>
      </c>
      <c r="B950" s="1">
        <v>8.9</v>
      </c>
      <c r="C950" s="1">
        <v>801</v>
      </c>
      <c r="D950" s="1" t="s">
        <v>43</v>
      </c>
      <c r="E950" s="1" t="s">
        <v>17</v>
      </c>
      <c r="F950" s="1">
        <f t="shared" si="36"/>
        <v>890</v>
      </c>
      <c r="G950" s="5">
        <f t="shared" si="35"/>
        <v>0.9</v>
      </c>
    </row>
    <row r="951" spans="1:7" ht="13">
      <c r="A951" s="4" t="s">
        <v>115</v>
      </c>
      <c r="B951" s="1">
        <v>5.67</v>
      </c>
      <c r="C951" s="1">
        <v>455</v>
      </c>
      <c r="D951" s="1" t="s">
        <v>86</v>
      </c>
      <c r="E951" s="1" t="s">
        <v>8</v>
      </c>
      <c r="F951" s="1">
        <f t="shared" si="36"/>
        <v>567</v>
      </c>
      <c r="G951" s="5">
        <f t="shared" si="35"/>
        <v>0.80246913580246915</v>
      </c>
    </row>
    <row r="952" spans="1:7" ht="13">
      <c r="A952" s="4" t="s">
        <v>115</v>
      </c>
      <c r="B952" s="1">
        <v>8.6</v>
      </c>
      <c r="C952" s="1">
        <v>751</v>
      </c>
      <c r="D952" s="1" t="s">
        <v>11</v>
      </c>
      <c r="E952" s="1" t="s">
        <v>10</v>
      </c>
      <c r="F952" s="1">
        <f t="shared" si="36"/>
        <v>860</v>
      </c>
      <c r="G952" s="5">
        <f t="shared" si="35"/>
        <v>0.87325581395348839</v>
      </c>
    </row>
    <row r="953" spans="1:7" ht="13">
      <c r="A953" s="4" t="s">
        <v>115</v>
      </c>
      <c r="B953" s="1">
        <v>8.6</v>
      </c>
      <c r="C953" s="1">
        <v>771</v>
      </c>
      <c r="D953" s="1" t="s">
        <v>11</v>
      </c>
      <c r="E953" s="1" t="s">
        <v>68</v>
      </c>
      <c r="F953" s="1">
        <f t="shared" si="36"/>
        <v>860</v>
      </c>
      <c r="G953" s="5">
        <f t="shared" si="35"/>
        <v>0.89651162790697669</v>
      </c>
    </row>
    <row r="954" spans="1:7" ht="13">
      <c r="A954" s="4" t="s">
        <v>115</v>
      </c>
      <c r="B954" s="1">
        <v>7</v>
      </c>
      <c r="C954" s="1">
        <v>630</v>
      </c>
      <c r="D954" s="1" t="s">
        <v>33</v>
      </c>
      <c r="E954" s="1" t="s">
        <v>15</v>
      </c>
      <c r="F954" s="1">
        <f t="shared" si="36"/>
        <v>700</v>
      </c>
      <c r="G954" s="5">
        <f t="shared" si="35"/>
        <v>0.9</v>
      </c>
    </row>
    <row r="955" spans="1:7" ht="13">
      <c r="A955" s="4" t="s">
        <v>115</v>
      </c>
      <c r="B955" s="1">
        <v>4.9000000000000004</v>
      </c>
      <c r="C955" s="1">
        <v>472</v>
      </c>
      <c r="D955" s="1" t="s">
        <v>43</v>
      </c>
      <c r="E955" s="1" t="s">
        <v>17</v>
      </c>
      <c r="F955" s="1">
        <f t="shared" si="36"/>
        <v>490.00000000000006</v>
      </c>
      <c r="G955" s="5">
        <f t="shared" si="35"/>
        <v>0.96326530612244887</v>
      </c>
    </row>
    <row r="956" spans="1:7" ht="13">
      <c r="A956" s="4" t="s">
        <v>115</v>
      </c>
      <c r="B956" s="1">
        <v>7.56</v>
      </c>
      <c r="C956" s="1">
        <v>777</v>
      </c>
      <c r="D956" s="1" t="s">
        <v>11</v>
      </c>
      <c r="E956" s="1" t="s">
        <v>49</v>
      </c>
      <c r="F956" s="1">
        <f t="shared" si="36"/>
        <v>756</v>
      </c>
      <c r="G956" s="5">
        <f t="shared" si="35"/>
        <v>1.0277777777777777</v>
      </c>
    </row>
    <row r="957" spans="1:7" ht="13">
      <c r="A957" s="4" t="s">
        <v>115</v>
      </c>
      <c r="B957" s="1">
        <v>4.92</v>
      </c>
      <c r="C957" s="1">
        <v>491</v>
      </c>
      <c r="D957" s="1" t="s">
        <v>47</v>
      </c>
      <c r="E957" s="1" t="s">
        <v>10</v>
      </c>
      <c r="F957" s="1">
        <f t="shared" si="36"/>
        <v>492</v>
      </c>
      <c r="G957" s="5">
        <f t="shared" si="35"/>
        <v>0.99796747967479671</v>
      </c>
    </row>
    <row r="958" spans="1:7" ht="13">
      <c r="A958" s="4" t="s">
        <v>115</v>
      </c>
      <c r="B958" s="1">
        <v>7.39</v>
      </c>
      <c r="C958" s="1">
        <v>654</v>
      </c>
      <c r="D958" s="1" t="s">
        <v>52</v>
      </c>
      <c r="E958" s="1" t="s">
        <v>25</v>
      </c>
      <c r="F958" s="1">
        <f t="shared" si="36"/>
        <v>739</v>
      </c>
      <c r="G958" s="5">
        <f t="shared" si="35"/>
        <v>0.8849797023004059</v>
      </c>
    </row>
    <row r="959" spans="1:7" ht="13">
      <c r="A959" s="4" t="s">
        <v>115</v>
      </c>
      <c r="B959" s="1">
        <v>3.5</v>
      </c>
      <c r="C959" s="1">
        <v>320</v>
      </c>
      <c r="D959" s="1" t="s">
        <v>55</v>
      </c>
      <c r="E959" s="1" t="s">
        <v>15</v>
      </c>
      <c r="F959" s="1">
        <f t="shared" si="36"/>
        <v>350</v>
      </c>
      <c r="G959" s="5">
        <f t="shared" si="35"/>
        <v>0.91428571428571426</v>
      </c>
    </row>
    <row r="960" spans="1:7" ht="13">
      <c r="A960" s="4" t="s">
        <v>115</v>
      </c>
      <c r="B960" s="1">
        <v>6.9</v>
      </c>
      <c r="C960" s="1">
        <v>681</v>
      </c>
      <c r="D960" s="1" t="s">
        <v>38</v>
      </c>
      <c r="E960" s="1" t="s">
        <v>8</v>
      </c>
      <c r="F960" s="1">
        <f t="shared" si="36"/>
        <v>690</v>
      </c>
      <c r="G960" s="5">
        <f t="shared" si="35"/>
        <v>0.9869565217391304</v>
      </c>
    </row>
    <row r="961" spans="1:7" ht="13">
      <c r="A961" s="4" t="s">
        <v>115</v>
      </c>
      <c r="B961" s="1">
        <v>8.33</v>
      </c>
      <c r="C961" s="1">
        <v>677</v>
      </c>
      <c r="D961" s="1" t="s">
        <v>47</v>
      </c>
      <c r="E961" s="1" t="s">
        <v>7</v>
      </c>
      <c r="F961" s="1">
        <f t="shared" si="36"/>
        <v>833</v>
      </c>
      <c r="G961" s="5">
        <f t="shared" si="35"/>
        <v>0.81272509003601445</v>
      </c>
    </row>
    <row r="962" spans="1:7" ht="13">
      <c r="A962" s="4" t="s">
        <v>115</v>
      </c>
      <c r="B962" s="1">
        <v>6.8</v>
      </c>
      <c r="C962" s="1">
        <v>525</v>
      </c>
      <c r="D962" s="1" t="s">
        <v>33</v>
      </c>
      <c r="E962" s="1" t="s">
        <v>20</v>
      </c>
      <c r="F962" s="1">
        <f t="shared" si="36"/>
        <v>680</v>
      </c>
      <c r="G962" s="5">
        <f t="shared" ref="G962:G1025" si="37">C962/F962</f>
        <v>0.7720588235294118</v>
      </c>
    </row>
    <row r="963" spans="1:7" ht="13">
      <c r="A963" s="4" t="s">
        <v>115</v>
      </c>
      <c r="B963" s="1">
        <v>6.7</v>
      </c>
      <c r="C963" s="1">
        <v>601</v>
      </c>
      <c r="D963" s="1" t="s">
        <v>58</v>
      </c>
      <c r="E963" s="1" t="s">
        <v>22</v>
      </c>
      <c r="F963" s="1">
        <f t="shared" ref="F963:F1026" si="38">B963*100</f>
        <v>670</v>
      </c>
      <c r="G963" s="5">
        <f t="shared" si="37"/>
        <v>0.89701492537313432</v>
      </c>
    </row>
    <row r="964" spans="1:7" ht="13">
      <c r="A964" s="4" t="s">
        <v>115</v>
      </c>
      <c r="B964" s="1">
        <v>8.4</v>
      </c>
      <c r="C964" s="1">
        <v>876</v>
      </c>
      <c r="D964" s="1" t="s">
        <v>11</v>
      </c>
      <c r="E964" s="1" t="s">
        <v>7</v>
      </c>
      <c r="F964" s="1">
        <f t="shared" si="38"/>
        <v>840</v>
      </c>
      <c r="G964" s="5">
        <f t="shared" si="37"/>
        <v>1.0428571428571429</v>
      </c>
    </row>
    <row r="965" spans="1:7" ht="13">
      <c r="A965" s="4" t="s">
        <v>115</v>
      </c>
      <c r="B965" s="1">
        <v>6.72</v>
      </c>
      <c r="C965" s="1">
        <v>550</v>
      </c>
      <c r="D965" s="1" t="s">
        <v>39</v>
      </c>
      <c r="E965" s="1" t="s">
        <v>25</v>
      </c>
      <c r="F965" s="1">
        <f t="shared" si="38"/>
        <v>672</v>
      </c>
      <c r="G965" s="5">
        <f t="shared" si="37"/>
        <v>0.81845238095238093</v>
      </c>
    </row>
    <row r="966" spans="1:7" ht="13">
      <c r="A966" s="4" t="s">
        <v>115</v>
      </c>
      <c r="B966" s="1">
        <v>7.9</v>
      </c>
      <c r="C966" s="1">
        <v>685</v>
      </c>
      <c r="D966" s="1" t="s">
        <v>33</v>
      </c>
      <c r="E966" s="1" t="s">
        <v>7</v>
      </c>
      <c r="F966" s="1">
        <f t="shared" si="38"/>
        <v>790</v>
      </c>
      <c r="G966" s="5">
        <f t="shared" si="37"/>
        <v>0.86708860759493667</v>
      </c>
    </row>
    <row r="967" spans="1:7" ht="13">
      <c r="A967" s="4" t="s">
        <v>115</v>
      </c>
      <c r="B967" s="1">
        <v>7.44</v>
      </c>
      <c r="C967" s="1">
        <v>631</v>
      </c>
      <c r="D967" s="1" t="s">
        <v>35</v>
      </c>
      <c r="E967" s="1" t="s">
        <v>18</v>
      </c>
      <c r="F967" s="1">
        <f t="shared" si="38"/>
        <v>744</v>
      </c>
      <c r="G967" s="5">
        <f t="shared" si="37"/>
        <v>0.8481182795698925</v>
      </c>
    </row>
    <row r="968" spans="1:7" ht="13">
      <c r="A968" s="4" t="s">
        <v>115</v>
      </c>
      <c r="B968" s="1">
        <v>7.29</v>
      </c>
      <c r="C968" s="1">
        <v>686</v>
      </c>
      <c r="D968" s="1" t="s">
        <v>53</v>
      </c>
      <c r="E968" s="1" t="s">
        <v>15</v>
      </c>
      <c r="F968" s="1">
        <f t="shared" si="38"/>
        <v>729</v>
      </c>
      <c r="G968" s="5">
        <f t="shared" si="37"/>
        <v>0.94101508916323728</v>
      </c>
    </row>
    <row r="969" spans="1:7" ht="13">
      <c r="A969" s="4" t="s">
        <v>115</v>
      </c>
      <c r="B969" s="1">
        <v>8.6</v>
      </c>
      <c r="C969" s="1">
        <v>755.93</v>
      </c>
      <c r="D969" s="1" t="s">
        <v>33</v>
      </c>
      <c r="E969" s="1" t="s">
        <v>26</v>
      </c>
      <c r="F969" s="1">
        <f t="shared" si="38"/>
        <v>860</v>
      </c>
      <c r="G969" s="5">
        <f t="shared" si="37"/>
        <v>0.87898837209302316</v>
      </c>
    </row>
    <row r="970" spans="1:7" ht="13">
      <c r="A970" s="4" t="s">
        <v>115</v>
      </c>
      <c r="B970" s="1">
        <v>6.02</v>
      </c>
      <c r="C970" s="1">
        <v>547</v>
      </c>
      <c r="D970" s="1" t="s">
        <v>33</v>
      </c>
      <c r="E970" s="1" t="s">
        <v>9</v>
      </c>
      <c r="F970" s="1">
        <f t="shared" si="38"/>
        <v>602</v>
      </c>
      <c r="G970" s="5">
        <f t="shared" si="37"/>
        <v>0.90863787375415284</v>
      </c>
    </row>
    <row r="971" spans="1:7" ht="13">
      <c r="A971" s="4" t="s">
        <v>115</v>
      </c>
      <c r="B971" s="1">
        <v>5.6</v>
      </c>
      <c r="C971" s="1">
        <v>409</v>
      </c>
      <c r="D971" s="1" t="s">
        <v>33</v>
      </c>
      <c r="E971" s="1" t="s">
        <v>7</v>
      </c>
      <c r="F971" s="1">
        <f t="shared" si="38"/>
        <v>560</v>
      </c>
      <c r="G971" s="5">
        <f t="shared" si="37"/>
        <v>0.73035714285714282</v>
      </c>
    </row>
    <row r="972" spans="1:7" ht="13">
      <c r="A972" s="4" t="s">
        <v>115</v>
      </c>
      <c r="B972" s="1">
        <v>5.81</v>
      </c>
      <c r="C972" s="1">
        <v>577</v>
      </c>
      <c r="D972" s="1" t="s">
        <v>38</v>
      </c>
      <c r="E972" s="1" t="s">
        <v>8</v>
      </c>
      <c r="F972" s="1">
        <f t="shared" si="38"/>
        <v>581</v>
      </c>
      <c r="G972" s="5">
        <f t="shared" si="37"/>
        <v>0.99311531841652323</v>
      </c>
    </row>
    <row r="973" spans="1:7" ht="13">
      <c r="A973" s="4" t="s">
        <v>115</v>
      </c>
      <c r="B973" s="1">
        <v>7.56</v>
      </c>
      <c r="C973" s="1">
        <v>714</v>
      </c>
      <c r="D973" s="1" t="s">
        <v>87</v>
      </c>
      <c r="E973" s="1" t="s">
        <v>15</v>
      </c>
      <c r="F973" s="1">
        <f t="shared" si="38"/>
        <v>756</v>
      </c>
      <c r="G973" s="5">
        <f t="shared" si="37"/>
        <v>0.94444444444444442</v>
      </c>
    </row>
    <row r="974" spans="1:7" ht="13">
      <c r="A974" s="4" t="s">
        <v>115</v>
      </c>
      <c r="B974" s="1">
        <v>6</v>
      </c>
      <c r="C974" s="1">
        <v>618</v>
      </c>
      <c r="D974" s="1" t="s">
        <v>52</v>
      </c>
      <c r="E974" s="1" t="s">
        <v>26</v>
      </c>
      <c r="F974" s="1">
        <f t="shared" si="38"/>
        <v>600</v>
      </c>
      <c r="G974" s="5">
        <f t="shared" si="37"/>
        <v>1.03</v>
      </c>
    </row>
    <row r="975" spans="1:7" ht="13">
      <c r="A975" s="4" t="s">
        <v>115</v>
      </c>
      <c r="B975" s="1">
        <v>6.72</v>
      </c>
      <c r="C975" s="1">
        <v>606</v>
      </c>
      <c r="D975" s="1" t="s">
        <v>33</v>
      </c>
      <c r="E975" s="1" t="s">
        <v>27</v>
      </c>
      <c r="F975" s="1">
        <f t="shared" si="38"/>
        <v>672</v>
      </c>
      <c r="G975" s="5">
        <f t="shared" si="37"/>
        <v>0.9017857142857143</v>
      </c>
    </row>
    <row r="976" spans="1:7" ht="13">
      <c r="A976" s="4" t="s">
        <v>115</v>
      </c>
      <c r="B976" s="1">
        <v>5.92</v>
      </c>
      <c r="C976" s="1">
        <v>620</v>
      </c>
      <c r="D976" s="1" t="s">
        <v>11</v>
      </c>
      <c r="E976" s="1" t="s">
        <v>17</v>
      </c>
      <c r="F976" s="1">
        <f t="shared" si="38"/>
        <v>592</v>
      </c>
      <c r="G976" s="5">
        <f t="shared" si="37"/>
        <v>1.0472972972972974</v>
      </c>
    </row>
    <row r="977" spans="1:7" ht="13">
      <c r="A977" s="4" t="s">
        <v>115</v>
      </c>
      <c r="B977" s="1">
        <v>5.5</v>
      </c>
      <c r="C977" s="1">
        <v>562</v>
      </c>
      <c r="D977" s="1" t="s">
        <v>11</v>
      </c>
      <c r="E977" s="1" t="s">
        <v>15</v>
      </c>
      <c r="F977" s="1">
        <f t="shared" si="38"/>
        <v>550</v>
      </c>
      <c r="G977" s="5">
        <f t="shared" si="37"/>
        <v>1.0218181818181817</v>
      </c>
    </row>
    <row r="978" spans="1:7" ht="13">
      <c r="A978" s="4" t="s">
        <v>115</v>
      </c>
      <c r="B978" s="1">
        <v>8.6999999999999993</v>
      </c>
      <c r="C978" s="1">
        <v>845</v>
      </c>
      <c r="D978" s="1" t="s">
        <v>11</v>
      </c>
      <c r="E978" s="1" t="s">
        <v>9</v>
      </c>
      <c r="F978" s="1">
        <f t="shared" si="38"/>
        <v>869.99999999999989</v>
      </c>
      <c r="G978" s="5">
        <f t="shared" si="37"/>
        <v>0.97126436781609204</v>
      </c>
    </row>
    <row r="979" spans="1:7" ht="13">
      <c r="A979" s="4" t="s">
        <v>115</v>
      </c>
      <c r="B979" s="1">
        <v>6.1</v>
      </c>
      <c r="C979" s="1">
        <v>551</v>
      </c>
      <c r="D979" s="1" t="s">
        <v>48</v>
      </c>
      <c r="E979" s="1" t="s">
        <v>23</v>
      </c>
      <c r="F979" s="1">
        <f t="shared" si="38"/>
        <v>610</v>
      </c>
      <c r="G979" s="5">
        <f t="shared" si="37"/>
        <v>0.90327868852459015</v>
      </c>
    </row>
    <row r="980" spans="1:7" ht="13">
      <c r="A980" s="4" t="s">
        <v>115</v>
      </c>
      <c r="B980" s="1">
        <v>8.6</v>
      </c>
      <c r="C980" s="1">
        <v>840</v>
      </c>
      <c r="D980" s="1" t="s">
        <v>33</v>
      </c>
      <c r="E980" s="1" t="s">
        <v>8</v>
      </c>
      <c r="F980" s="1">
        <f t="shared" si="38"/>
        <v>860</v>
      </c>
      <c r="G980" s="5">
        <f t="shared" si="37"/>
        <v>0.97674418604651159</v>
      </c>
    </row>
    <row r="981" spans="1:7" ht="13">
      <c r="A981" s="4" t="s">
        <v>115</v>
      </c>
      <c r="B981" s="1">
        <v>7.65</v>
      </c>
      <c r="C981" s="1">
        <v>761</v>
      </c>
      <c r="D981" s="1" t="s">
        <v>11</v>
      </c>
      <c r="E981" s="1" t="s">
        <v>16</v>
      </c>
      <c r="F981" s="1">
        <f t="shared" si="38"/>
        <v>765</v>
      </c>
      <c r="G981" s="5">
        <f t="shared" si="37"/>
        <v>0.99477124183006538</v>
      </c>
    </row>
    <row r="982" spans="1:7" ht="13">
      <c r="A982" s="4" t="s">
        <v>115</v>
      </c>
      <c r="B982" s="1">
        <v>4</v>
      </c>
      <c r="C982" s="1">
        <v>364</v>
      </c>
      <c r="D982" s="1" t="s">
        <v>11</v>
      </c>
      <c r="E982" s="1" t="s">
        <v>28</v>
      </c>
      <c r="F982" s="1">
        <f t="shared" si="38"/>
        <v>400</v>
      </c>
      <c r="G982" s="5">
        <f t="shared" si="37"/>
        <v>0.91</v>
      </c>
    </row>
    <row r="983" spans="1:7" ht="13">
      <c r="A983" s="4" t="s">
        <v>115</v>
      </c>
      <c r="B983" s="1">
        <v>7.6</v>
      </c>
      <c r="C983" s="1">
        <v>602</v>
      </c>
      <c r="D983" s="1" t="s">
        <v>33</v>
      </c>
      <c r="E983" s="1" t="s">
        <v>17</v>
      </c>
      <c r="F983" s="1">
        <f t="shared" si="38"/>
        <v>760</v>
      </c>
      <c r="G983" s="5">
        <f t="shared" si="37"/>
        <v>0.79210526315789476</v>
      </c>
    </row>
    <row r="984" spans="1:7" ht="13">
      <c r="A984" s="4" t="s">
        <v>115</v>
      </c>
      <c r="B984" s="1">
        <v>4</v>
      </c>
      <c r="C984" s="1">
        <v>426</v>
      </c>
      <c r="D984" s="1" t="s">
        <v>11</v>
      </c>
      <c r="E984" s="1" t="s">
        <v>9</v>
      </c>
      <c r="F984" s="1">
        <f t="shared" si="38"/>
        <v>400</v>
      </c>
      <c r="G984" s="5">
        <f t="shared" si="37"/>
        <v>1.0649999999999999</v>
      </c>
    </row>
    <row r="985" spans="1:7" ht="13">
      <c r="A985" s="4" t="s">
        <v>115</v>
      </c>
      <c r="B985" s="1">
        <v>6.15</v>
      </c>
      <c r="C985" s="1">
        <v>637</v>
      </c>
      <c r="D985" s="1" t="s">
        <v>11</v>
      </c>
      <c r="E985" s="1" t="s">
        <v>8</v>
      </c>
      <c r="F985" s="1">
        <f t="shared" si="38"/>
        <v>615</v>
      </c>
      <c r="G985" s="5">
        <f t="shared" si="37"/>
        <v>1.0357723577235773</v>
      </c>
    </row>
    <row r="986" spans="1:7" ht="13">
      <c r="A986" s="4" t="s">
        <v>115</v>
      </c>
      <c r="B986" s="1">
        <v>6.1</v>
      </c>
      <c r="C986" s="1">
        <v>693</v>
      </c>
      <c r="D986" s="1" t="s">
        <v>38</v>
      </c>
      <c r="E986" s="1" t="s">
        <v>25</v>
      </c>
      <c r="F986" s="1">
        <f t="shared" si="38"/>
        <v>610</v>
      </c>
      <c r="G986" s="5">
        <f t="shared" si="37"/>
        <v>1.1360655737704919</v>
      </c>
    </row>
    <row r="987" spans="1:7" ht="13">
      <c r="A987" s="4" t="s">
        <v>115</v>
      </c>
      <c r="B987" s="1">
        <v>6</v>
      </c>
      <c r="C987" s="1">
        <v>545</v>
      </c>
      <c r="D987" s="1" t="s">
        <v>88</v>
      </c>
      <c r="E987" s="1" t="s">
        <v>8</v>
      </c>
      <c r="F987" s="1">
        <f t="shared" si="38"/>
        <v>600</v>
      </c>
      <c r="G987" s="5">
        <f t="shared" si="37"/>
        <v>0.90833333333333333</v>
      </c>
    </row>
    <row r="988" spans="1:7" ht="13">
      <c r="A988" s="4" t="s">
        <v>115</v>
      </c>
      <c r="B988" s="1">
        <v>9.6</v>
      </c>
      <c r="C988" s="1">
        <v>917</v>
      </c>
      <c r="D988" s="1" t="s">
        <v>33</v>
      </c>
      <c r="E988" s="1" t="s">
        <v>12</v>
      </c>
      <c r="F988" s="1">
        <f t="shared" si="38"/>
        <v>960</v>
      </c>
      <c r="G988" s="5">
        <f t="shared" si="37"/>
        <v>0.95520833333333333</v>
      </c>
    </row>
    <row r="989" spans="1:7" ht="13">
      <c r="A989" s="4" t="s">
        <v>115</v>
      </c>
      <c r="B989" s="1">
        <v>5.6</v>
      </c>
      <c r="C989" s="1">
        <v>515.42999999999995</v>
      </c>
      <c r="D989" s="1" t="s">
        <v>11</v>
      </c>
      <c r="E989" s="1" t="s">
        <v>8</v>
      </c>
      <c r="F989" s="1">
        <f t="shared" si="38"/>
        <v>560</v>
      </c>
      <c r="G989" s="5">
        <f t="shared" si="37"/>
        <v>0.92041071428571419</v>
      </c>
    </row>
    <row r="990" spans="1:7" ht="13">
      <c r="A990" s="4" t="s">
        <v>115</v>
      </c>
      <c r="B990" s="1">
        <v>19.600000000000001</v>
      </c>
      <c r="C990" s="1">
        <v>2045</v>
      </c>
      <c r="D990" s="1" t="s">
        <v>43</v>
      </c>
      <c r="E990" s="1" t="s">
        <v>23</v>
      </c>
      <c r="F990" s="1">
        <f t="shared" si="38"/>
        <v>1960.0000000000002</v>
      </c>
      <c r="G990" s="5">
        <f t="shared" si="37"/>
        <v>1.0433673469387754</v>
      </c>
    </row>
    <row r="991" spans="1:7" ht="13">
      <c r="A991" s="4" t="s">
        <v>115</v>
      </c>
      <c r="B991" s="1">
        <v>5</v>
      </c>
      <c r="C991" s="1">
        <v>654</v>
      </c>
      <c r="D991" s="1" t="s">
        <v>33</v>
      </c>
      <c r="E991" s="1" t="s">
        <v>32</v>
      </c>
      <c r="F991" s="1">
        <f t="shared" si="38"/>
        <v>500</v>
      </c>
      <c r="G991" s="5">
        <f t="shared" si="37"/>
        <v>1.3080000000000001</v>
      </c>
    </row>
    <row r="992" spans="1:7" ht="13">
      <c r="A992" s="4" t="s">
        <v>115</v>
      </c>
      <c r="B992" s="1">
        <v>5.59</v>
      </c>
      <c r="C992" s="1">
        <v>528</v>
      </c>
      <c r="D992" s="1" t="s">
        <v>36</v>
      </c>
      <c r="E992" s="1" t="s">
        <v>9</v>
      </c>
      <c r="F992" s="1">
        <f t="shared" si="38"/>
        <v>559</v>
      </c>
      <c r="G992" s="5">
        <f t="shared" si="37"/>
        <v>0.94454382826475847</v>
      </c>
    </row>
    <row r="993" spans="1:7" ht="13">
      <c r="A993" s="4" t="s">
        <v>115</v>
      </c>
      <c r="B993" s="1">
        <v>7.7</v>
      </c>
      <c r="C993" s="1">
        <v>769</v>
      </c>
      <c r="D993" s="1" t="s">
        <v>11</v>
      </c>
      <c r="E993" s="1" t="s">
        <v>22</v>
      </c>
      <c r="F993" s="1">
        <f t="shared" si="38"/>
        <v>770</v>
      </c>
      <c r="G993" s="5">
        <f t="shared" si="37"/>
        <v>0.99870129870129876</v>
      </c>
    </row>
    <row r="994" spans="1:7" ht="13">
      <c r="A994" s="4" t="s">
        <v>115</v>
      </c>
      <c r="B994" s="1">
        <v>5.2</v>
      </c>
      <c r="C994" s="1">
        <v>557</v>
      </c>
      <c r="D994" s="1" t="s">
        <v>42</v>
      </c>
      <c r="E994" s="1" t="s">
        <v>30</v>
      </c>
      <c r="F994" s="1">
        <f t="shared" si="38"/>
        <v>520</v>
      </c>
      <c r="G994" s="5">
        <f t="shared" si="37"/>
        <v>1.0711538461538461</v>
      </c>
    </row>
    <row r="995" spans="1:7" ht="13">
      <c r="A995" s="4" t="s">
        <v>115</v>
      </c>
      <c r="B995" s="1">
        <v>7.74</v>
      </c>
      <c r="C995" s="1">
        <v>840</v>
      </c>
      <c r="D995" s="1" t="s">
        <v>11</v>
      </c>
      <c r="E995" s="1" t="s">
        <v>20</v>
      </c>
      <c r="F995" s="1">
        <f t="shared" si="38"/>
        <v>774</v>
      </c>
      <c r="G995" s="5">
        <f t="shared" si="37"/>
        <v>1.0852713178294573</v>
      </c>
    </row>
    <row r="996" spans="1:7" ht="13">
      <c r="A996" s="4" t="s">
        <v>115</v>
      </c>
      <c r="B996" s="1">
        <v>7.74</v>
      </c>
      <c r="C996" s="1">
        <v>737</v>
      </c>
      <c r="D996" s="1" t="s">
        <v>33</v>
      </c>
      <c r="E996" s="1" t="s">
        <v>9</v>
      </c>
      <c r="F996" s="1">
        <f t="shared" si="38"/>
        <v>774</v>
      </c>
      <c r="G996" s="5">
        <f t="shared" si="37"/>
        <v>0.95219638242894056</v>
      </c>
    </row>
    <row r="997" spans="1:7" ht="13">
      <c r="A997" s="4" t="s">
        <v>115</v>
      </c>
      <c r="B997" s="1">
        <v>7.3</v>
      </c>
      <c r="C997" s="1">
        <v>696</v>
      </c>
      <c r="D997" s="1" t="s">
        <v>47</v>
      </c>
      <c r="E997" s="1" t="s">
        <v>28</v>
      </c>
      <c r="F997" s="1">
        <f t="shared" si="38"/>
        <v>730</v>
      </c>
      <c r="G997" s="5">
        <f t="shared" si="37"/>
        <v>0.95342465753424654</v>
      </c>
    </row>
    <row r="998" spans="1:7" ht="13">
      <c r="A998" s="4" t="s">
        <v>115</v>
      </c>
      <c r="B998" s="1">
        <v>7.7</v>
      </c>
      <c r="C998" s="1">
        <v>683</v>
      </c>
      <c r="D998" s="1" t="s">
        <v>35</v>
      </c>
      <c r="E998" s="1" t="s">
        <v>8</v>
      </c>
      <c r="F998" s="1">
        <f t="shared" si="38"/>
        <v>770</v>
      </c>
      <c r="G998" s="5">
        <f t="shared" si="37"/>
        <v>0.88701298701298703</v>
      </c>
    </row>
    <row r="999" spans="1:7" ht="13">
      <c r="A999" s="4" t="s">
        <v>115</v>
      </c>
      <c r="B999" s="1">
        <v>7.4</v>
      </c>
      <c r="C999" s="1">
        <v>430</v>
      </c>
      <c r="D999" s="1" t="s">
        <v>33</v>
      </c>
      <c r="E999" s="1" t="s">
        <v>17</v>
      </c>
      <c r="F999" s="1">
        <f t="shared" si="38"/>
        <v>740</v>
      </c>
      <c r="G999" s="5">
        <f t="shared" si="37"/>
        <v>0.58108108108108103</v>
      </c>
    </row>
    <row r="1000" spans="1:7" ht="13">
      <c r="A1000" s="4" t="s">
        <v>115</v>
      </c>
      <c r="B1000" s="1">
        <v>9.57</v>
      </c>
      <c r="C1000" s="1">
        <v>830</v>
      </c>
      <c r="D1000" s="1" t="s">
        <v>42</v>
      </c>
      <c r="E1000" s="1" t="s">
        <v>22</v>
      </c>
      <c r="F1000" s="1">
        <f t="shared" si="38"/>
        <v>957</v>
      </c>
      <c r="G1000" s="5">
        <f t="shared" si="37"/>
        <v>0.86729362591431558</v>
      </c>
    </row>
    <row r="1001" spans="1:7" ht="13">
      <c r="A1001" s="4" t="s">
        <v>115</v>
      </c>
      <c r="B1001" s="1">
        <v>8</v>
      </c>
      <c r="C1001" s="1">
        <v>630</v>
      </c>
      <c r="D1001" s="1" t="s">
        <v>11</v>
      </c>
      <c r="E1001" s="1" t="s">
        <v>68</v>
      </c>
      <c r="F1001" s="1">
        <f t="shared" si="38"/>
        <v>800</v>
      </c>
      <c r="G1001" s="5">
        <f t="shared" si="37"/>
        <v>0.78749999999999998</v>
      </c>
    </row>
    <row r="1002" spans="1:7" ht="13">
      <c r="A1002" s="4" t="s">
        <v>115</v>
      </c>
      <c r="B1002" s="1">
        <v>7.7</v>
      </c>
      <c r="C1002" s="1">
        <v>681</v>
      </c>
      <c r="D1002" s="1" t="s">
        <v>39</v>
      </c>
      <c r="E1002" s="1" t="s">
        <v>16</v>
      </c>
      <c r="F1002" s="1">
        <f t="shared" si="38"/>
        <v>770</v>
      </c>
      <c r="G1002" s="5">
        <f t="shared" si="37"/>
        <v>0.88441558441558443</v>
      </c>
    </row>
    <row r="1003" spans="1:7" ht="13">
      <c r="A1003" s="4" t="s">
        <v>115</v>
      </c>
      <c r="B1003" s="1">
        <v>4.3</v>
      </c>
      <c r="C1003" s="1">
        <v>456</v>
      </c>
      <c r="D1003" s="1" t="s">
        <v>11</v>
      </c>
      <c r="E1003" s="1" t="s">
        <v>9</v>
      </c>
      <c r="F1003" s="1">
        <f t="shared" si="38"/>
        <v>430</v>
      </c>
      <c r="G1003" s="5">
        <f t="shared" si="37"/>
        <v>1.0604651162790697</v>
      </c>
    </row>
    <row r="1004" spans="1:7" ht="13">
      <c r="A1004" s="4" t="s">
        <v>115</v>
      </c>
      <c r="B1004" s="1">
        <v>4.3499999999999996</v>
      </c>
      <c r="C1004" s="1">
        <v>448.38</v>
      </c>
      <c r="D1004" s="1" t="s">
        <v>11</v>
      </c>
      <c r="E1004" s="1" t="s">
        <v>15</v>
      </c>
      <c r="F1004" s="1">
        <f t="shared" si="38"/>
        <v>434.99999999999994</v>
      </c>
      <c r="G1004" s="5">
        <f t="shared" si="37"/>
        <v>1.0307586206896553</v>
      </c>
    </row>
    <row r="1005" spans="1:7" ht="13">
      <c r="A1005" s="4" t="s">
        <v>115</v>
      </c>
      <c r="B1005" s="1">
        <v>7.6</v>
      </c>
      <c r="C1005" s="1">
        <v>775</v>
      </c>
      <c r="D1005" s="1" t="s">
        <v>11</v>
      </c>
      <c r="E1005" s="1" t="s">
        <v>16</v>
      </c>
      <c r="F1005" s="1">
        <f t="shared" si="38"/>
        <v>760</v>
      </c>
      <c r="G1005" s="5">
        <f t="shared" si="37"/>
        <v>1.0197368421052631</v>
      </c>
    </row>
    <row r="1006" spans="1:7" ht="13">
      <c r="A1006" s="4" t="s">
        <v>115</v>
      </c>
      <c r="B1006" s="1">
        <v>4.3499999999999996</v>
      </c>
      <c r="C1006" s="1">
        <v>385</v>
      </c>
      <c r="D1006" s="1" t="s">
        <v>33</v>
      </c>
      <c r="E1006" s="1" t="s">
        <v>19</v>
      </c>
      <c r="F1006" s="1">
        <f t="shared" si="38"/>
        <v>434.99999999999994</v>
      </c>
      <c r="G1006" s="5">
        <f t="shared" si="37"/>
        <v>0.88505747126436796</v>
      </c>
    </row>
    <row r="1007" spans="1:7" ht="13">
      <c r="A1007" s="4" t="s">
        <v>115</v>
      </c>
      <c r="B1007" s="1">
        <v>6</v>
      </c>
      <c r="C1007" s="1">
        <v>630</v>
      </c>
      <c r="D1007" s="1" t="s">
        <v>39</v>
      </c>
      <c r="E1007" s="1" t="s">
        <v>9</v>
      </c>
      <c r="F1007" s="1">
        <f t="shared" si="38"/>
        <v>600</v>
      </c>
      <c r="G1007" s="5">
        <f t="shared" si="37"/>
        <v>1.05</v>
      </c>
    </row>
    <row r="1008" spans="1:7" ht="13">
      <c r="A1008" s="4" t="s">
        <v>115</v>
      </c>
      <c r="B1008" s="1">
        <v>5.5</v>
      </c>
      <c r="C1008" s="1">
        <v>620</v>
      </c>
      <c r="D1008" s="1" t="s">
        <v>11</v>
      </c>
      <c r="E1008" s="1" t="s">
        <v>10</v>
      </c>
      <c r="F1008" s="1">
        <f t="shared" si="38"/>
        <v>550</v>
      </c>
      <c r="G1008" s="5">
        <f t="shared" si="37"/>
        <v>1.1272727272727272</v>
      </c>
    </row>
    <row r="1009" spans="1:7" ht="13">
      <c r="A1009" s="4" t="s">
        <v>115</v>
      </c>
      <c r="B1009" s="1">
        <v>7.92</v>
      </c>
      <c r="C1009" s="1">
        <v>740</v>
      </c>
      <c r="D1009" s="1" t="s">
        <v>67</v>
      </c>
      <c r="E1009" s="1" t="s">
        <v>12</v>
      </c>
      <c r="F1009" s="1">
        <f t="shared" si="38"/>
        <v>792</v>
      </c>
      <c r="G1009" s="5">
        <f t="shared" si="37"/>
        <v>0.93434343434343436</v>
      </c>
    </row>
    <row r="1010" spans="1:7" ht="13">
      <c r="A1010" s="4" t="s">
        <v>115</v>
      </c>
      <c r="B1010" s="1">
        <v>6.5</v>
      </c>
      <c r="C1010" s="1">
        <v>728</v>
      </c>
      <c r="D1010" s="1" t="s">
        <v>11</v>
      </c>
      <c r="E1010" s="1" t="s">
        <v>18</v>
      </c>
      <c r="F1010" s="1">
        <f t="shared" si="38"/>
        <v>650</v>
      </c>
      <c r="G1010" s="5">
        <f t="shared" si="37"/>
        <v>1.1200000000000001</v>
      </c>
    </row>
    <row r="1011" spans="1:7" ht="13">
      <c r="A1011" s="4" t="s">
        <v>115</v>
      </c>
      <c r="B1011" s="1">
        <v>7.3</v>
      </c>
      <c r="C1011" s="1">
        <v>753</v>
      </c>
      <c r="D1011" s="1" t="s">
        <v>53</v>
      </c>
      <c r="E1011" s="1" t="s">
        <v>17</v>
      </c>
      <c r="F1011" s="1">
        <f t="shared" si="38"/>
        <v>730</v>
      </c>
      <c r="G1011" s="5">
        <f t="shared" si="37"/>
        <v>1.0315068493150685</v>
      </c>
    </row>
    <row r="1012" spans="1:7" ht="13">
      <c r="A1012" s="4" t="s">
        <v>115</v>
      </c>
      <c r="B1012" s="1">
        <v>7.6</v>
      </c>
      <c r="C1012" s="1">
        <v>758</v>
      </c>
      <c r="D1012" s="1" t="s">
        <v>33</v>
      </c>
      <c r="E1012" s="1" t="s">
        <v>12</v>
      </c>
      <c r="F1012" s="1">
        <f t="shared" si="38"/>
        <v>760</v>
      </c>
      <c r="G1012" s="5">
        <f t="shared" si="37"/>
        <v>0.99736842105263157</v>
      </c>
    </row>
    <row r="1013" spans="1:7" ht="13">
      <c r="A1013" s="4" t="s">
        <v>115</v>
      </c>
      <c r="B1013" s="1">
        <v>5.4</v>
      </c>
      <c r="C1013" s="1">
        <v>402</v>
      </c>
      <c r="D1013" s="1" t="s">
        <v>59</v>
      </c>
      <c r="E1013" s="1" t="s">
        <v>16</v>
      </c>
      <c r="F1013" s="1">
        <f t="shared" si="38"/>
        <v>540</v>
      </c>
      <c r="G1013" s="5">
        <f t="shared" si="37"/>
        <v>0.74444444444444446</v>
      </c>
    </row>
    <row r="1014" spans="1:7" ht="13">
      <c r="A1014" s="4" t="s">
        <v>115</v>
      </c>
      <c r="B1014" s="1">
        <v>8.4</v>
      </c>
      <c r="C1014" s="1">
        <v>780</v>
      </c>
      <c r="D1014" s="1" t="s">
        <v>33</v>
      </c>
      <c r="E1014" s="1" t="s">
        <v>25</v>
      </c>
      <c r="F1014" s="1">
        <f t="shared" si="38"/>
        <v>840</v>
      </c>
      <c r="G1014" s="5">
        <f t="shared" si="37"/>
        <v>0.9285714285714286</v>
      </c>
    </row>
    <row r="1015" spans="1:7" ht="13">
      <c r="A1015" s="4" t="s">
        <v>115</v>
      </c>
      <c r="B1015" s="1">
        <v>5</v>
      </c>
      <c r="C1015" s="1">
        <v>448</v>
      </c>
      <c r="D1015" s="1" t="s">
        <v>40</v>
      </c>
      <c r="E1015" s="1" t="s">
        <v>12</v>
      </c>
      <c r="F1015" s="1">
        <f t="shared" si="38"/>
        <v>500</v>
      </c>
      <c r="G1015" s="5">
        <f t="shared" si="37"/>
        <v>0.89600000000000002</v>
      </c>
    </row>
    <row r="1016" spans="1:7" ht="13">
      <c r="A1016" s="4" t="s">
        <v>115</v>
      </c>
      <c r="B1016" s="1">
        <v>6.7</v>
      </c>
      <c r="C1016" s="1">
        <v>676</v>
      </c>
      <c r="D1016" s="1" t="s">
        <v>11</v>
      </c>
      <c r="E1016" s="1" t="s">
        <v>16</v>
      </c>
      <c r="F1016" s="1">
        <f t="shared" si="38"/>
        <v>670</v>
      </c>
      <c r="G1016" s="5">
        <f t="shared" si="37"/>
        <v>1.008955223880597</v>
      </c>
    </row>
    <row r="1017" spans="1:7" ht="13">
      <c r="A1017" s="4" t="s">
        <v>115</v>
      </c>
      <c r="B1017" s="1">
        <v>6</v>
      </c>
      <c r="C1017" s="1">
        <v>632</v>
      </c>
      <c r="D1017" s="1" t="s">
        <v>33</v>
      </c>
      <c r="E1017" s="1" t="s">
        <v>7</v>
      </c>
      <c r="F1017" s="1">
        <f t="shared" si="38"/>
        <v>600</v>
      </c>
      <c r="G1017" s="5">
        <f t="shared" si="37"/>
        <v>1.0533333333333332</v>
      </c>
    </row>
    <row r="1018" spans="1:7" ht="13">
      <c r="A1018" s="4" t="s">
        <v>115</v>
      </c>
      <c r="B1018" s="1">
        <v>5.0999999999999996</v>
      </c>
      <c r="C1018" s="1">
        <v>429</v>
      </c>
      <c r="D1018" s="1" t="s">
        <v>33</v>
      </c>
      <c r="E1018" s="1" t="s">
        <v>15</v>
      </c>
      <c r="F1018" s="1">
        <f t="shared" si="38"/>
        <v>509.99999999999994</v>
      </c>
      <c r="G1018" s="5">
        <f t="shared" si="37"/>
        <v>0.84117647058823541</v>
      </c>
    </row>
    <row r="1019" spans="1:7" ht="13">
      <c r="A1019" s="4" t="s">
        <v>115</v>
      </c>
      <c r="B1019" s="1">
        <v>4.3499999999999996</v>
      </c>
      <c r="C1019" s="1">
        <v>469</v>
      </c>
      <c r="D1019" s="1" t="s">
        <v>47</v>
      </c>
      <c r="E1019" s="1" t="s">
        <v>9</v>
      </c>
      <c r="F1019" s="1">
        <f t="shared" si="38"/>
        <v>434.99999999999994</v>
      </c>
      <c r="G1019" s="5">
        <f t="shared" si="37"/>
        <v>1.07816091954023</v>
      </c>
    </row>
    <row r="1020" spans="1:7" ht="13">
      <c r="A1020" s="4" t="s">
        <v>115</v>
      </c>
      <c r="B1020" s="1">
        <v>8.3000000000000007</v>
      </c>
      <c r="C1020" s="1">
        <v>861</v>
      </c>
      <c r="D1020" s="1" t="s">
        <v>11</v>
      </c>
      <c r="E1020" s="1" t="s">
        <v>17</v>
      </c>
      <c r="F1020" s="1">
        <f t="shared" si="38"/>
        <v>830.00000000000011</v>
      </c>
      <c r="G1020" s="5">
        <f t="shared" si="37"/>
        <v>1.0373493975903614</v>
      </c>
    </row>
    <row r="1021" spans="1:7" ht="13">
      <c r="A1021" s="4" t="s">
        <v>115</v>
      </c>
      <c r="B1021" s="1">
        <v>7.3949999999999996</v>
      </c>
      <c r="C1021" s="1">
        <v>726</v>
      </c>
      <c r="D1021" s="1" t="s">
        <v>42</v>
      </c>
      <c r="E1021" s="1" t="s">
        <v>25</v>
      </c>
      <c r="F1021" s="1">
        <f t="shared" si="38"/>
        <v>739.5</v>
      </c>
      <c r="G1021" s="5">
        <f t="shared" si="37"/>
        <v>0.98174442190669375</v>
      </c>
    </row>
    <row r="1022" spans="1:7" ht="13">
      <c r="A1022" s="4" t="s">
        <v>115</v>
      </c>
      <c r="B1022" s="1">
        <v>4.5</v>
      </c>
      <c r="C1022" s="1">
        <v>431</v>
      </c>
      <c r="D1022" s="1" t="s">
        <v>33</v>
      </c>
      <c r="E1022" s="1" t="s">
        <v>17</v>
      </c>
      <c r="F1022" s="1">
        <f t="shared" si="38"/>
        <v>450</v>
      </c>
      <c r="G1022" s="5">
        <f t="shared" si="37"/>
        <v>0.95777777777777773</v>
      </c>
    </row>
    <row r="1023" spans="1:7" ht="13">
      <c r="A1023" s="4" t="s">
        <v>115</v>
      </c>
      <c r="B1023" s="1">
        <v>5.2</v>
      </c>
      <c r="C1023" s="1">
        <v>459</v>
      </c>
      <c r="D1023" s="1" t="s">
        <v>60</v>
      </c>
      <c r="E1023" s="1" t="s">
        <v>24</v>
      </c>
      <c r="F1023" s="1">
        <f t="shared" si="38"/>
        <v>520</v>
      </c>
      <c r="G1023" s="5">
        <f t="shared" si="37"/>
        <v>0.88269230769230766</v>
      </c>
    </row>
    <row r="1024" spans="1:7" ht="13">
      <c r="A1024" s="4" t="s">
        <v>115</v>
      </c>
      <c r="B1024" s="1">
        <v>4.5</v>
      </c>
      <c r="C1024" s="1">
        <v>447.3</v>
      </c>
      <c r="D1024" s="1" t="s">
        <v>43</v>
      </c>
      <c r="E1024" s="1" t="s">
        <v>15</v>
      </c>
      <c r="F1024" s="1">
        <f t="shared" si="38"/>
        <v>450</v>
      </c>
      <c r="G1024" s="5">
        <f t="shared" si="37"/>
        <v>0.99399999999999999</v>
      </c>
    </row>
    <row r="1025" spans="1:7" ht="13">
      <c r="A1025" s="4" t="s">
        <v>115</v>
      </c>
      <c r="B1025" s="1">
        <v>9.1300000000000008</v>
      </c>
      <c r="C1025" s="1">
        <v>1024</v>
      </c>
      <c r="D1025" s="1" t="s">
        <v>11</v>
      </c>
      <c r="E1025" s="1" t="s">
        <v>23</v>
      </c>
      <c r="F1025" s="1">
        <f t="shared" si="38"/>
        <v>913.00000000000011</v>
      </c>
      <c r="G1025" s="5">
        <f t="shared" si="37"/>
        <v>1.1215772179627599</v>
      </c>
    </row>
    <row r="1026" spans="1:7" ht="13">
      <c r="A1026" s="4" t="s">
        <v>115</v>
      </c>
      <c r="B1026" s="1">
        <v>4.8</v>
      </c>
      <c r="C1026" s="1">
        <v>360</v>
      </c>
      <c r="D1026" s="1" t="s">
        <v>43</v>
      </c>
      <c r="E1026" s="1" t="s">
        <v>22</v>
      </c>
      <c r="F1026" s="1">
        <f t="shared" si="38"/>
        <v>480</v>
      </c>
      <c r="G1026" s="5">
        <f t="shared" ref="G1026:G1089" si="39">C1026/F1026</f>
        <v>0.75</v>
      </c>
    </row>
    <row r="1027" spans="1:7" ht="13">
      <c r="A1027" s="4" t="s">
        <v>115</v>
      </c>
      <c r="B1027" s="1">
        <v>3.4</v>
      </c>
      <c r="C1027" s="1">
        <v>342</v>
      </c>
      <c r="D1027" s="1" t="s">
        <v>11</v>
      </c>
      <c r="E1027" s="1" t="s">
        <v>15</v>
      </c>
      <c r="F1027" s="1">
        <f t="shared" ref="F1027:F1090" si="40">B1027*100</f>
        <v>340</v>
      </c>
      <c r="G1027" s="5">
        <f t="shared" si="39"/>
        <v>1.0058823529411764</v>
      </c>
    </row>
    <row r="1028" spans="1:7" ht="13">
      <c r="A1028" s="4" t="s">
        <v>115</v>
      </c>
      <c r="B1028" s="1">
        <v>7.5</v>
      </c>
      <c r="C1028" s="1">
        <v>658</v>
      </c>
      <c r="D1028" s="1" t="s">
        <v>34</v>
      </c>
      <c r="E1028" s="1" t="s">
        <v>22</v>
      </c>
      <c r="F1028" s="1">
        <f t="shared" si="40"/>
        <v>750</v>
      </c>
      <c r="G1028" s="5">
        <f t="shared" si="39"/>
        <v>0.8773333333333333</v>
      </c>
    </row>
    <row r="1029" spans="1:7" ht="13">
      <c r="A1029" s="4" t="s">
        <v>115</v>
      </c>
      <c r="B1029" s="1">
        <v>6.96</v>
      </c>
      <c r="C1029" s="1">
        <v>729</v>
      </c>
      <c r="D1029" s="1" t="s">
        <v>11</v>
      </c>
      <c r="E1029" s="1" t="s">
        <v>31</v>
      </c>
      <c r="F1029" s="1">
        <f t="shared" si="40"/>
        <v>696</v>
      </c>
      <c r="G1029" s="5">
        <f t="shared" si="39"/>
        <v>1.0474137931034482</v>
      </c>
    </row>
    <row r="1030" spans="1:7" ht="13">
      <c r="A1030" s="4" t="s">
        <v>115</v>
      </c>
      <c r="B1030" s="1">
        <v>7.78</v>
      </c>
      <c r="C1030" s="1">
        <v>761</v>
      </c>
      <c r="D1030" s="1" t="s">
        <v>47</v>
      </c>
      <c r="E1030" s="1" t="s">
        <v>23</v>
      </c>
      <c r="F1030" s="1">
        <f t="shared" si="40"/>
        <v>778</v>
      </c>
      <c r="G1030" s="5">
        <f t="shared" si="39"/>
        <v>0.97814910025706936</v>
      </c>
    </row>
    <row r="1031" spans="1:7" ht="13">
      <c r="A1031" s="4" t="s">
        <v>115</v>
      </c>
      <c r="B1031" s="1">
        <v>5.6</v>
      </c>
      <c r="C1031" s="1">
        <v>620</v>
      </c>
      <c r="D1031" s="1" t="s">
        <v>33</v>
      </c>
      <c r="E1031" s="1" t="s">
        <v>12</v>
      </c>
      <c r="F1031" s="1">
        <f t="shared" si="40"/>
        <v>560</v>
      </c>
      <c r="G1031" s="5">
        <f t="shared" si="39"/>
        <v>1.1071428571428572</v>
      </c>
    </row>
    <row r="1032" spans="1:7" ht="13">
      <c r="A1032" s="4" t="s">
        <v>115</v>
      </c>
      <c r="B1032" s="1">
        <v>5</v>
      </c>
      <c r="C1032" s="1">
        <v>446</v>
      </c>
      <c r="D1032" s="1" t="s">
        <v>50</v>
      </c>
      <c r="E1032" s="1" t="s">
        <v>22</v>
      </c>
      <c r="F1032" s="1">
        <f t="shared" si="40"/>
        <v>500</v>
      </c>
      <c r="G1032" s="5">
        <f t="shared" si="39"/>
        <v>0.89200000000000002</v>
      </c>
    </row>
    <row r="1033" spans="1:7" ht="13">
      <c r="A1033" s="4" t="s">
        <v>115</v>
      </c>
      <c r="B1033" s="1">
        <v>6.96</v>
      </c>
      <c r="C1033" s="1">
        <v>765</v>
      </c>
      <c r="D1033" s="1" t="s">
        <v>11</v>
      </c>
      <c r="E1033" s="1" t="s">
        <v>8</v>
      </c>
      <c r="F1033" s="1">
        <f t="shared" si="40"/>
        <v>696</v>
      </c>
      <c r="G1033" s="5">
        <f t="shared" si="39"/>
        <v>1.0991379310344827</v>
      </c>
    </row>
    <row r="1034" spans="1:7" ht="13">
      <c r="A1034" s="4" t="s">
        <v>115</v>
      </c>
      <c r="B1034" s="1">
        <v>6.9</v>
      </c>
      <c r="C1034" s="1">
        <v>464</v>
      </c>
      <c r="D1034" s="1" t="s">
        <v>36</v>
      </c>
      <c r="E1034" s="1" t="s">
        <v>26</v>
      </c>
      <c r="F1034" s="1">
        <f t="shared" si="40"/>
        <v>690</v>
      </c>
      <c r="G1034" s="5">
        <f t="shared" si="39"/>
        <v>0.672463768115942</v>
      </c>
    </row>
    <row r="1035" spans="1:7" ht="13">
      <c r="A1035" s="4" t="s">
        <v>115</v>
      </c>
      <c r="B1035" s="1">
        <v>7.56</v>
      </c>
      <c r="C1035" s="1">
        <v>852</v>
      </c>
      <c r="D1035" s="1" t="s">
        <v>11</v>
      </c>
      <c r="E1035" s="1" t="s">
        <v>9</v>
      </c>
      <c r="F1035" s="1">
        <f t="shared" si="40"/>
        <v>756</v>
      </c>
      <c r="G1035" s="5">
        <f t="shared" si="39"/>
        <v>1.126984126984127</v>
      </c>
    </row>
    <row r="1036" spans="1:7" ht="13">
      <c r="A1036" s="4" t="s">
        <v>115</v>
      </c>
      <c r="B1036" s="1">
        <v>6.3</v>
      </c>
      <c r="C1036" s="1">
        <v>594.95000000000005</v>
      </c>
      <c r="D1036" s="1" t="s">
        <v>43</v>
      </c>
      <c r="E1036" s="1" t="s">
        <v>29</v>
      </c>
      <c r="F1036" s="1">
        <f t="shared" si="40"/>
        <v>630</v>
      </c>
      <c r="G1036" s="5">
        <f t="shared" si="39"/>
        <v>0.94436507936507941</v>
      </c>
    </row>
    <row r="1037" spans="1:7" ht="13">
      <c r="A1037" s="4" t="s">
        <v>115</v>
      </c>
      <c r="B1037" s="1">
        <v>5.4</v>
      </c>
      <c r="C1037" s="1">
        <v>512</v>
      </c>
      <c r="D1037" s="1" t="s">
        <v>35</v>
      </c>
      <c r="E1037" s="1" t="s">
        <v>8</v>
      </c>
      <c r="F1037" s="1">
        <f t="shared" si="40"/>
        <v>540</v>
      </c>
      <c r="G1037" s="5">
        <f t="shared" si="39"/>
        <v>0.94814814814814818</v>
      </c>
    </row>
    <row r="1038" spans="1:7" ht="13">
      <c r="A1038" s="4" t="s">
        <v>115</v>
      </c>
      <c r="B1038" s="1">
        <v>4.05</v>
      </c>
      <c r="C1038" s="1">
        <v>381</v>
      </c>
      <c r="D1038" s="1" t="s">
        <v>34</v>
      </c>
      <c r="E1038" s="1" t="s">
        <v>30</v>
      </c>
      <c r="F1038" s="1">
        <f t="shared" si="40"/>
        <v>405</v>
      </c>
      <c r="G1038" s="5">
        <f t="shared" si="39"/>
        <v>0.94074074074074077</v>
      </c>
    </row>
    <row r="1039" spans="1:7" ht="13">
      <c r="A1039" s="4" t="s">
        <v>115</v>
      </c>
      <c r="B1039" s="1">
        <v>9</v>
      </c>
      <c r="C1039" s="1">
        <v>1036</v>
      </c>
      <c r="D1039" s="1" t="s">
        <v>11</v>
      </c>
      <c r="E1039" s="1" t="s">
        <v>12</v>
      </c>
      <c r="F1039" s="1">
        <f t="shared" si="40"/>
        <v>900</v>
      </c>
      <c r="G1039" s="5">
        <f t="shared" si="39"/>
        <v>1.1511111111111112</v>
      </c>
    </row>
    <row r="1040" spans="1:7" ht="13">
      <c r="A1040" s="4" t="s">
        <v>115</v>
      </c>
      <c r="B1040" s="1">
        <v>7.3</v>
      </c>
      <c r="C1040" s="1">
        <v>590</v>
      </c>
      <c r="D1040" s="1" t="s">
        <v>39</v>
      </c>
      <c r="E1040" s="1" t="s">
        <v>31</v>
      </c>
      <c r="F1040" s="1">
        <f t="shared" si="40"/>
        <v>730</v>
      </c>
      <c r="G1040" s="5">
        <f t="shared" si="39"/>
        <v>0.80821917808219179</v>
      </c>
    </row>
    <row r="1041" spans="1:7" ht="13">
      <c r="A1041" s="4" t="s">
        <v>115</v>
      </c>
      <c r="B1041" s="1">
        <v>6.4</v>
      </c>
      <c r="C1041" s="1">
        <v>610</v>
      </c>
      <c r="D1041" s="1" t="s">
        <v>11</v>
      </c>
      <c r="E1041" s="1" t="s">
        <v>17</v>
      </c>
      <c r="F1041" s="1">
        <f t="shared" si="40"/>
        <v>640</v>
      </c>
      <c r="G1041" s="5">
        <f t="shared" si="39"/>
        <v>0.953125</v>
      </c>
    </row>
    <row r="1042" spans="1:7" ht="13">
      <c r="A1042" s="4" t="s">
        <v>115</v>
      </c>
      <c r="B1042" s="1">
        <v>9.5</v>
      </c>
      <c r="C1042" s="1">
        <v>830</v>
      </c>
      <c r="D1042" s="1" t="s">
        <v>33</v>
      </c>
      <c r="E1042" s="1" t="s">
        <v>18</v>
      </c>
      <c r="F1042" s="1">
        <f t="shared" si="40"/>
        <v>950</v>
      </c>
      <c r="G1042" s="5">
        <f t="shared" si="39"/>
        <v>0.87368421052631584</v>
      </c>
    </row>
    <row r="1043" spans="1:7" ht="13">
      <c r="A1043" s="4" t="s">
        <v>115</v>
      </c>
      <c r="B1043" s="1">
        <v>7.29</v>
      </c>
      <c r="C1043" s="1">
        <v>475.5</v>
      </c>
      <c r="D1043" s="1" t="s">
        <v>43</v>
      </c>
      <c r="E1043" s="1" t="s">
        <v>24</v>
      </c>
      <c r="F1043" s="1">
        <f t="shared" si="40"/>
        <v>729</v>
      </c>
      <c r="G1043" s="5">
        <f t="shared" si="39"/>
        <v>0.65226337448559668</v>
      </c>
    </row>
    <row r="1044" spans="1:7" ht="13">
      <c r="A1044" s="4" t="s">
        <v>115</v>
      </c>
      <c r="B1044" s="1">
        <v>8.6999999999999993</v>
      </c>
      <c r="C1044" s="1">
        <v>856</v>
      </c>
      <c r="D1044" s="1" t="s">
        <v>11</v>
      </c>
      <c r="E1044" s="1" t="s">
        <v>26</v>
      </c>
      <c r="F1044" s="1">
        <f t="shared" si="40"/>
        <v>869.99999999999989</v>
      </c>
      <c r="G1044" s="5">
        <f t="shared" si="39"/>
        <v>0.98390804597701165</v>
      </c>
    </row>
    <row r="1045" spans="1:7" ht="13">
      <c r="A1045" s="4" t="s">
        <v>115</v>
      </c>
      <c r="B1045" s="1">
        <v>3.9</v>
      </c>
      <c r="C1045" s="1">
        <v>399</v>
      </c>
      <c r="D1045" s="1" t="s">
        <v>89</v>
      </c>
      <c r="E1045" s="1" t="s">
        <v>16</v>
      </c>
      <c r="F1045" s="1">
        <f t="shared" si="40"/>
        <v>390</v>
      </c>
      <c r="G1045" s="5">
        <f t="shared" si="39"/>
        <v>1.023076923076923</v>
      </c>
    </row>
    <row r="1046" spans="1:7" ht="13">
      <c r="A1046" s="4" t="s">
        <v>115</v>
      </c>
      <c r="B1046" s="1">
        <v>6.88</v>
      </c>
      <c r="C1046" s="1">
        <v>638</v>
      </c>
      <c r="D1046" s="1" t="s">
        <v>33</v>
      </c>
      <c r="E1046" s="1" t="s">
        <v>10</v>
      </c>
      <c r="F1046" s="1">
        <f t="shared" si="40"/>
        <v>688</v>
      </c>
      <c r="G1046" s="5">
        <f t="shared" si="39"/>
        <v>0.92732558139534882</v>
      </c>
    </row>
    <row r="1047" spans="1:7" ht="13">
      <c r="A1047" s="4" t="s">
        <v>115</v>
      </c>
      <c r="B1047" s="1">
        <v>7.4</v>
      </c>
      <c r="C1047" s="1">
        <v>686</v>
      </c>
      <c r="D1047" s="1" t="s">
        <v>47</v>
      </c>
      <c r="E1047" s="1" t="s">
        <v>26</v>
      </c>
      <c r="F1047" s="1">
        <f t="shared" si="40"/>
        <v>740</v>
      </c>
      <c r="G1047" s="5">
        <f t="shared" si="39"/>
        <v>0.927027027027027</v>
      </c>
    </row>
    <row r="1048" spans="1:7" ht="13">
      <c r="A1048" s="4" t="s">
        <v>115</v>
      </c>
      <c r="B1048" s="1">
        <v>5.88</v>
      </c>
      <c r="C1048" s="1">
        <v>587</v>
      </c>
      <c r="D1048" s="1" t="s">
        <v>11</v>
      </c>
      <c r="E1048" s="1" t="s">
        <v>15</v>
      </c>
      <c r="F1048" s="1">
        <f t="shared" si="40"/>
        <v>588</v>
      </c>
      <c r="G1048" s="5">
        <f t="shared" si="39"/>
        <v>0.99829931972789121</v>
      </c>
    </row>
    <row r="1049" spans="1:7" ht="13">
      <c r="A1049" s="4" t="s">
        <v>115</v>
      </c>
      <c r="B1049" s="1">
        <v>4.8</v>
      </c>
      <c r="C1049" s="1">
        <v>405</v>
      </c>
      <c r="D1049" s="1" t="s">
        <v>11</v>
      </c>
      <c r="E1049" s="1" t="s">
        <v>10</v>
      </c>
      <c r="F1049" s="1">
        <f t="shared" si="40"/>
        <v>480</v>
      </c>
      <c r="G1049" s="5">
        <f t="shared" si="39"/>
        <v>0.84375</v>
      </c>
    </row>
    <row r="1050" spans="1:7" ht="13">
      <c r="A1050" s="4" t="s">
        <v>115</v>
      </c>
      <c r="B1050" s="1">
        <v>7.74</v>
      </c>
      <c r="C1050" s="1">
        <v>689</v>
      </c>
      <c r="D1050" s="1" t="s">
        <v>37</v>
      </c>
      <c r="E1050" s="1" t="s">
        <v>16</v>
      </c>
      <c r="F1050" s="1">
        <f t="shared" si="40"/>
        <v>774</v>
      </c>
      <c r="G1050" s="5">
        <f t="shared" si="39"/>
        <v>0.89018087855297157</v>
      </c>
    </row>
    <row r="1051" spans="1:7" ht="13">
      <c r="A1051" s="4" t="s">
        <v>115</v>
      </c>
      <c r="B1051" s="1">
        <v>7.74</v>
      </c>
      <c r="C1051" s="1">
        <v>734</v>
      </c>
      <c r="D1051" s="1" t="s">
        <v>36</v>
      </c>
      <c r="E1051" s="1" t="s">
        <v>9</v>
      </c>
      <c r="F1051" s="1">
        <f t="shared" si="40"/>
        <v>774</v>
      </c>
      <c r="G1051" s="5">
        <f t="shared" si="39"/>
        <v>0.94832041343669249</v>
      </c>
    </row>
    <row r="1052" spans="1:7" ht="13">
      <c r="A1052" s="4" t="s">
        <v>115</v>
      </c>
      <c r="B1052" s="1">
        <v>8.1999999999999993</v>
      </c>
      <c r="C1052" s="1">
        <v>777</v>
      </c>
      <c r="D1052" s="1" t="s">
        <v>11</v>
      </c>
      <c r="E1052" s="1" t="s">
        <v>12</v>
      </c>
      <c r="F1052" s="1">
        <f t="shared" si="40"/>
        <v>819.99999999999989</v>
      </c>
      <c r="G1052" s="5">
        <f t="shared" si="39"/>
        <v>0.94756097560975627</v>
      </c>
    </row>
    <row r="1053" spans="1:7" ht="13">
      <c r="A1053" s="4" t="s">
        <v>115</v>
      </c>
      <c r="B1053" s="1">
        <v>4.3</v>
      </c>
      <c r="C1053" s="1">
        <v>461</v>
      </c>
      <c r="D1053" s="1" t="s">
        <v>39</v>
      </c>
      <c r="E1053" s="1" t="s">
        <v>15</v>
      </c>
      <c r="F1053" s="1">
        <f t="shared" si="40"/>
        <v>430</v>
      </c>
      <c r="G1053" s="5">
        <f t="shared" si="39"/>
        <v>1.0720930232558139</v>
      </c>
    </row>
    <row r="1054" spans="1:7" ht="13">
      <c r="A1054" s="4" t="s">
        <v>115</v>
      </c>
      <c r="B1054" s="1">
        <v>4</v>
      </c>
      <c r="C1054" s="1">
        <v>276</v>
      </c>
      <c r="D1054" s="1" t="s">
        <v>50</v>
      </c>
      <c r="E1054" s="1" t="s">
        <v>15</v>
      </c>
      <c r="F1054" s="1">
        <f t="shared" si="40"/>
        <v>400</v>
      </c>
      <c r="G1054" s="5">
        <f t="shared" si="39"/>
        <v>0.69</v>
      </c>
    </row>
    <row r="1055" spans="1:7" ht="13">
      <c r="A1055" s="4" t="s">
        <v>115</v>
      </c>
      <c r="B1055" s="1">
        <v>6375</v>
      </c>
      <c r="C1055" s="1">
        <v>661</v>
      </c>
      <c r="D1055" s="1" t="s">
        <v>11</v>
      </c>
      <c r="E1055" s="1" t="s">
        <v>12</v>
      </c>
      <c r="F1055" s="1">
        <f t="shared" si="40"/>
        <v>637500</v>
      </c>
      <c r="G1055" s="5">
        <f t="shared" si="39"/>
        <v>1.0368627450980392E-3</v>
      </c>
    </row>
    <row r="1056" spans="1:7" ht="13">
      <c r="A1056" s="4" t="s">
        <v>115</v>
      </c>
      <c r="B1056" s="1">
        <v>4.8</v>
      </c>
      <c r="C1056" s="1">
        <v>511</v>
      </c>
      <c r="D1056" s="1" t="s">
        <v>11</v>
      </c>
      <c r="E1056" s="1" t="s">
        <v>21</v>
      </c>
      <c r="F1056" s="1">
        <f t="shared" si="40"/>
        <v>480</v>
      </c>
      <c r="G1056" s="5">
        <f t="shared" si="39"/>
        <v>1.0645833333333334</v>
      </c>
    </row>
    <row r="1057" spans="1:7" ht="13">
      <c r="A1057" s="4" t="s">
        <v>115</v>
      </c>
      <c r="B1057" s="1">
        <v>6.24</v>
      </c>
      <c r="C1057" s="1">
        <v>795</v>
      </c>
      <c r="D1057" s="1" t="s">
        <v>11</v>
      </c>
      <c r="E1057" s="1" t="s">
        <v>17</v>
      </c>
      <c r="F1057" s="1">
        <f t="shared" si="40"/>
        <v>624</v>
      </c>
      <c r="G1057" s="5">
        <f t="shared" si="39"/>
        <v>1.2740384615384615</v>
      </c>
    </row>
    <row r="1058" spans="1:7" ht="13">
      <c r="A1058" s="4" t="s">
        <v>115</v>
      </c>
      <c r="B1058" s="1">
        <v>5.85</v>
      </c>
      <c r="C1058" s="1">
        <v>540</v>
      </c>
      <c r="D1058" s="1" t="s">
        <v>45</v>
      </c>
      <c r="E1058" s="1" t="s">
        <v>15</v>
      </c>
      <c r="F1058" s="1">
        <f t="shared" si="40"/>
        <v>585</v>
      </c>
      <c r="G1058" s="5">
        <f t="shared" si="39"/>
        <v>0.92307692307692313</v>
      </c>
    </row>
    <row r="1059" spans="1:7" ht="13">
      <c r="A1059" s="4" t="s">
        <v>115</v>
      </c>
      <c r="B1059" s="1">
        <v>2.6</v>
      </c>
      <c r="C1059" s="1">
        <v>1741</v>
      </c>
      <c r="D1059" s="1" t="s">
        <v>43</v>
      </c>
      <c r="E1059" s="1" t="s">
        <v>22</v>
      </c>
      <c r="F1059" s="1">
        <f t="shared" si="40"/>
        <v>260</v>
      </c>
      <c r="G1059" s="5">
        <f t="shared" si="39"/>
        <v>6.6961538461538463</v>
      </c>
    </row>
    <row r="1060" spans="1:7" ht="13">
      <c r="A1060" s="4" t="s">
        <v>115</v>
      </c>
      <c r="B1060" s="1">
        <v>5.0999999999999996</v>
      </c>
      <c r="C1060" s="1">
        <v>523</v>
      </c>
      <c r="D1060" s="1" t="s">
        <v>59</v>
      </c>
      <c r="E1060" s="1" t="s">
        <v>18</v>
      </c>
      <c r="F1060" s="1">
        <f t="shared" si="40"/>
        <v>509.99999999999994</v>
      </c>
      <c r="G1060" s="5">
        <f t="shared" si="39"/>
        <v>1.0254901960784315</v>
      </c>
    </row>
    <row r="1061" spans="1:7" ht="13">
      <c r="A1061" s="4" t="s">
        <v>115</v>
      </c>
      <c r="B1061" s="1">
        <v>6.88</v>
      </c>
      <c r="C1061" s="1">
        <v>669</v>
      </c>
      <c r="D1061" s="1" t="s">
        <v>47</v>
      </c>
      <c r="E1061" s="1" t="s">
        <v>28</v>
      </c>
      <c r="F1061" s="1">
        <f t="shared" si="40"/>
        <v>688</v>
      </c>
      <c r="G1061" s="5">
        <f t="shared" si="39"/>
        <v>0.97238372093023251</v>
      </c>
    </row>
    <row r="1062" spans="1:7" ht="13">
      <c r="A1062" s="4" t="s">
        <v>115</v>
      </c>
      <c r="B1062" s="1">
        <v>8</v>
      </c>
      <c r="C1062" s="1">
        <v>635</v>
      </c>
      <c r="D1062" s="1" t="s">
        <v>52</v>
      </c>
      <c r="E1062" s="1" t="s">
        <v>16</v>
      </c>
      <c r="F1062" s="1">
        <f t="shared" si="40"/>
        <v>800</v>
      </c>
      <c r="G1062" s="5">
        <f t="shared" si="39"/>
        <v>0.79374999999999996</v>
      </c>
    </row>
    <row r="1063" spans="1:7" ht="13">
      <c r="A1063" s="4" t="s">
        <v>115</v>
      </c>
      <c r="B1063" s="1">
        <v>6</v>
      </c>
      <c r="C1063" s="1">
        <v>628</v>
      </c>
      <c r="D1063" s="1" t="s">
        <v>33</v>
      </c>
      <c r="E1063" s="1" t="s">
        <v>32</v>
      </c>
      <c r="F1063" s="1">
        <f t="shared" si="40"/>
        <v>600</v>
      </c>
      <c r="G1063" s="5">
        <f t="shared" si="39"/>
        <v>1.0466666666666666</v>
      </c>
    </row>
    <row r="1064" spans="1:7" ht="13">
      <c r="A1064" s="4" t="s">
        <v>115</v>
      </c>
      <c r="B1064" s="1">
        <v>6.7</v>
      </c>
      <c r="C1064" s="1">
        <v>674</v>
      </c>
      <c r="D1064" s="1" t="s">
        <v>11</v>
      </c>
      <c r="E1064" s="1" t="s">
        <v>17</v>
      </c>
      <c r="F1064" s="1">
        <f t="shared" si="40"/>
        <v>670</v>
      </c>
      <c r="G1064" s="5">
        <f t="shared" si="39"/>
        <v>1.0059701492537314</v>
      </c>
    </row>
    <row r="1065" spans="1:7" ht="13">
      <c r="A1065" s="4" t="s">
        <v>115</v>
      </c>
      <c r="B1065" s="1">
        <v>6.88</v>
      </c>
      <c r="C1065" s="1">
        <v>676</v>
      </c>
      <c r="D1065" s="1" t="s">
        <v>33</v>
      </c>
      <c r="E1065" s="1" t="s">
        <v>8</v>
      </c>
      <c r="F1065" s="1">
        <f t="shared" si="40"/>
        <v>688</v>
      </c>
      <c r="G1065" s="5">
        <f t="shared" si="39"/>
        <v>0.98255813953488369</v>
      </c>
    </row>
    <row r="1066" spans="1:7" ht="13">
      <c r="A1066" s="4" t="s">
        <v>115</v>
      </c>
      <c r="B1066" s="1">
        <v>7.8</v>
      </c>
      <c r="C1066" s="1">
        <v>750</v>
      </c>
      <c r="D1066" s="1" t="s">
        <v>47</v>
      </c>
      <c r="E1066" s="1" t="s">
        <v>21</v>
      </c>
      <c r="F1066" s="1">
        <f t="shared" si="40"/>
        <v>780</v>
      </c>
      <c r="G1066" s="5">
        <f t="shared" si="39"/>
        <v>0.96153846153846156</v>
      </c>
    </row>
    <row r="1067" spans="1:7" ht="13">
      <c r="A1067" s="4" t="s">
        <v>115</v>
      </c>
      <c r="B1067" s="1">
        <v>6.75</v>
      </c>
      <c r="C1067" s="1">
        <v>629</v>
      </c>
      <c r="D1067" s="1" t="s">
        <v>11</v>
      </c>
      <c r="E1067" s="1" t="s">
        <v>26</v>
      </c>
      <c r="F1067" s="1">
        <f t="shared" si="40"/>
        <v>675</v>
      </c>
      <c r="G1067" s="5">
        <f t="shared" si="39"/>
        <v>0.93185185185185182</v>
      </c>
    </row>
    <row r="1068" spans="1:7" ht="13">
      <c r="A1068" s="4" t="s">
        <v>115</v>
      </c>
      <c r="B1068" s="1">
        <v>5.46</v>
      </c>
      <c r="C1068" s="1">
        <v>561</v>
      </c>
      <c r="D1068" s="1" t="s">
        <v>43</v>
      </c>
      <c r="E1068" s="1" t="s">
        <v>15</v>
      </c>
      <c r="F1068" s="1">
        <f t="shared" si="40"/>
        <v>546</v>
      </c>
      <c r="G1068" s="5">
        <f t="shared" si="39"/>
        <v>1.0274725274725274</v>
      </c>
    </row>
    <row r="1069" spans="1:7" ht="13">
      <c r="A1069" s="4" t="s">
        <v>115</v>
      </c>
      <c r="B1069" s="1">
        <v>6.15</v>
      </c>
      <c r="C1069" s="1">
        <v>540</v>
      </c>
      <c r="D1069" s="1" t="s">
        <v>37</v>
      </c>
      <c r="E1069" s="1" t="s">
        <v>17</v>
      </c>
      <c r="F1069" s="1">
        <f t="shared" si="40"/>
        <v>615</v>
      </c>
      <c r="G1069" s="5">
        <f t="shared" si="39"/>
        <v>0.87804878048780488</v>
      </c>
    </row>
    <row r="1070" spans="1:7" ht="13">
      <c r="A1070" s="4" t="s">
        <v>115</v>
      </c>
      <c r="B1070" s="1">
        <v>5.22</v>
      </c>
      <c r="C1070" s="1">
        <v>592</v>
      </c>
      <c r="D1070" s="1" t="s">
        <v>11</v>
      </c>
      <c r="E1070" s="1" t="s">
        <v>8</v>
      </c>
      <c r="F1070" s="1">
        <f t="shared" si="40"/>
        <v>522</v>
      </c>
      <c r="G1070" s="5">
        <f t="shared" si="39"/>
        <v>1.1340996168582376</v>
      </c>
    </row>
    <row r="1071" spans="1:7" ht="13">
      <c r="A1071" s="4" t="s">
        <v>115</v>
      </c>
      <c r="B1071" s="1">
        <v>8.6999999999999993</v>
      </c>
      <c r="C1071" s="1">
        <v>888</v>
      </c>
      <c r="D1071" s="1" t="s">
        <v>11</v>
      </c>
      <c r="E1071" s="1" t="s">
        <v>10</v>
      </c>
      <c r="F1071" s="1">
        <f t="shared" si="40"/>
        <v>869.99999999999989</v>
      </c>
      <c r="G1071" s="5">
        <f t="shared" si="39"/>
        <v>1.0206896551724138</v>
      </c>
    </row>
    <row r="1072" spans="1:7" ht="13">
      <c r="A1072" s="4" t="s">
        <v>115</v>
      </c>
      <c r="B1072" s="1">
        <v>8.4</v>
      </c>
      <c r="C1072" s="1">
        <v>763</v>
      </c>
      <c r="D1072" s="1" t="s">
        <v>11</v>
      </c>
      <c r="E1072" s="1" t="s">
        <v>24</v>
      </c>
      <c r="F1072" s="1">
        <f t="shared" si="40"/>
        <v>840</v>
      </c>
      <c r="G1072" s="5">
        <f t="shared" si="39"/>
        <v>0.90833333333333333</v>
      </c>
    </row>
    <row r="1073" spans="1:7" ht="13">
      <c r="A1073" s="4" t="s">
        <v>115</v>
      </c>
      <c r="B1073" s="1">
        <v>6.4</v>
      </c>
      <c r="C1073" s="1">
        <v>644</v>
      </c>
      <c r="D1073" s="1" t="s">
        <v>38</v>
      </c>
      <c r="E1073" s="1" t="s">
        <v>9</v>
      </c>
      <c r="F1073" s="1">
        <f t="shared" si="40"/>
        <v>640</v>
      </c>
      <c r="G1073" s="5">
        <f t="shared" si="39"/>
        <v>1.0062500000000001</v>
      </c>
    </row>
    <row r="1074" spans="1:7" ht="13">
      <c r="A1074" s="4" t="s">
        <v>115</v>
      </c>
      <c r="B1074" s="1">
        <v>4</v>
      </c>
      <c r="C1074" s="1">
        <v>404</v>
      </c>
      <c r="D1074" s="1" t="s">
        <v>11</v>
      </c>
      <c r="E1074" s="1" t="s">
        <v>8</v>
      </c>
      <c r="F1074" s="1">
        <f t="shared" si="40"/>
        <v>400</v>
      </c>
      <c r="G1074" s="5">
        <f t="shared" si="39"/>
        <v>1.01</v>
      </c>
    </row>
    <row r="1075" spans="1:7" ht="13">
      <c r="A1075" s="4" t="s">
        <v>115</v>
      </c>
      <c r="B1075" s="1">
        <v>6.96</v>
      </c>
      <c r="C1075" s="1">
        <v>643</v>
      </c>
      <c r="D1075" s="1" t="s">
        <v>78</v>
      </c>
      <c r="E1075" s="1" t="s">
        <v>15</v>
      </c>
      <c r="F1075" s="1">
        <f t="shared" si="40"/>
        <v>696</v>
      </c>
      <c r="G1075" s="5">
        <f t="shared" si="39"/>
        <v>0.92385057471264365</v>
      </c>
    </row>
    <row r="1076" spans="1:7" ht="13">
      <c r="A1076" s="4" t="s">
        <v>115</v>
      </c>
      <c r="B1076" s="1">
        <v>5.67</v>
      </c>
      <c r="C1076" s="1">
        <v>520</v>
      </c>
      <c r="D1076" s="1" t="s">
        <v>33</v>
      </c>
      <c r="E1076" s="1" t="s">
        <v>14</v>
      </c>
      <c r="F1076" s="1">
        <f t="shared" si="40"/>
        <v>567</v>
      </c>
      <c r="G1076" s="5">
        <f t="shared" si="39"/>
        <v>0.91710758377425039</v>
      </c>
    </row>
    <row r="1077" spans="1:7" ht="13">
      <c r="A1077" s="4" t="s">
        <v>115</v>
      </c>
      <c r="B1077" s="1">
        <v>8.6</v>
      </c>
      <c r="C1077" s="1">
        <v>771</v>
      </c>
      <c r="D1077" s="1" t="s">
        <v>11</v>
      </c>
      <c r="E1077" s="1" t="s">
        <v>68</v>
      </c>
      <c r="F1077" s="1">
        <f t="shared" si="40"/>
        <v>860</v>
      </c>
      <c r="G1077" s="5">
        <f t="shared" si="39"/>
        <v>0.89651162790697669</v>
      </c>
    </row>
    <row r="1078" spans="1:7" ht="13">
      <c r="A1078" s="4" t="s">
        <v>115</v>
      </c>
      <c r="B1078" s="1">
        <v>7.2</v>
      </c>
      <c r="C1078" s="1">
        <v>956</v>
      </c>
      <c r="D1078" s="1" t="s">
        <v>38</v>
      </c>
      <c r="E1078" s="1" t="s">
        <v>8</v>
      </c>
      <c r="F1078" s="1">
        <f t="shared" si="40"/>
        <v>720</v>
      </c>
      <c r="G1078" s="5">
        <f t="shared" si="39"/>
        <v>1.3277777777777777</v>
      </c>
    </row>
    <row r="1079" spans="1:7" ht="13">
      <c r="A1079" s="4" t="s">
        <v>115</v>
      </c>
      <c r="B1079" s="1">
        <v>5.6</v>
      </c>
      <c r="C1079" s="1">
        <v>492</v>
      </c>
      <c r="D1079" s="1" t="s">
        <v>33</v>
      </c>
      <c r="E1079" s="1" t="s">
        <v>16</v>
      </c>
      <c r="F1079" s="1">
        <f t="shared" si="40"/>
        <v>560</v>
      </c>
      <c r="G1079" s="5">
        <f t="shared" si="39"/>
        <v>0.87857142857142856</v>
      </c>
    </row>
    <row r="1080" spans="1:7" ht="13">
      <c r="A1080" s="4" t="s">
        <v>115</v>
      </c>
      <c r="B1080" s="1">
        <v>7.38</v>
      </c>
      <c r="C1080" s="1">
        <v>675</v>
      </c>
      <c r="D1080" s="1" t="s">
        <v>33</v>
      </c>
      <c r="E1080" s="1" t="s">
        <v>8</v>
      </c>
      <c r="F1080" s="1">
        <f t="shared" si="40"/>
        <v>738</v>
      </c>
      <c r="G1080" s="5">
        <f t="shared" si="39"/>
        <v>0.91463414634146345</v>
      </c>
    </row>
    <row r="1081" spans="1:7" ht="13">
      <c r="A1081" s="4" t="s">
        <v>115</v>
      </c>
      <c r="B1081" s="1">
        <v>3.6</v>
      </c>
      <c r="C1081" s="1">
        <v>365</v>
      </c>
      <c r="D1081" s="1" t="s">
        <v>47</v>
      </c>
      <c r="E1081" s="1" t="s">
        <v>28</v>
      </c>
      <c r="F1081" s="1">
        <f t="shared" si="40"/>
        <v>360</v>
      </c>
      <c r="G1081" s="5">
        <f t="shared" si="39"/>
        <v>1.0138888888888888</v>
      </c>
    </row>
    <row r="1082" spans="1:7" ht="13">
      <c r="A1082" s="4" t="s">
        <v>115</v>
      </c>
      <c r="B1082" s="1">
        <v>4.5</v>
      </c>
      <c r="C1082" s="1">
        <v>438</v>
      </c>
      <c r="D1082" s="1" t="s">
        <v>39</v>
      </c>
      <c r="E1082" s="1" t="s">
        <v>15</v>
      </c>
      <c r="F1082" s="1">
        <f t="shared" si="40"/>
        <v>450</v>
      </c>
      <c r="G1082" s="5">
        <f t="shared" si="39"/>
        <v>0.97333333333333338</v>
      </c>
    </row>
    <row r="1083" spans="1:7" ht="13">
      <c r="A1083" s="4" t="s">
        <v>115</v>
      </c>
      <c r="B1083" s="1">
        <v>4.8</v>
      </c>
      <c r="C1083" s="1">
        <v>416</v>
      </c>
      <c r="D1083" s="1" t="s">
        <v>33</v>
      </c>
      <c r="E1083" s="1" t="s">
        <v>10</v>
      </c>
      <c r="F1083" s="1">
        <f t="shared" si="40"/>
        <v>480</v>
      </c>
      <c r="G1083" s="5">
        <f t="shared" si="39"/>
        <v>0.8666666666666667</v>
      </c>
    </row>
    <row r="1084" spans="1:7" ht="13">
      <c r="A1084" s="4" t="s">
        <v>115</v>
      </c>
      <c r="B1084" s="1">
        <v>6</v>
      </c>
      <c r="C1084" s="1">
        <v>594</v>
      </c>
      <c r="D1084" s="1" t="s">
        <v>11</v>
      </c>
      <c r="E1084" s="1" t="s">
        <v>14</v>
      </c>
      <c r="F1084" s="1">
        <f t="shared" si="40"/>
        <v>600</v>
      </c>
      <c r="G1084" s="5">
        <f t="shared" si="39"/>
        <v>0.99</v>
      </c>
    </row>
    <row r="1085" spans="1:7" ht="13">
      <c r="A1085" s="4" t="s">
        <v>115</v>
      </c>
      <c r="B1085" s="1">
        <v>6.88</v>
      </c>
      <c r="C1085" s="1">
        <v>579</v>
      </c>
      <c r="D1085" s="1" t="s">
        <v>43</v>
      </c>
      <c r="E1085" s="1" t="s">
        <v>16</v>
      </c>
      <c r="F1085" s="1">
        <f t="shared" si="40"/>
        <v>688</v>
      </c>
      <c r="G1085" s="5">
        <f t="shared" si="39"/>
        <v>0.84156976744186052</v>
      </c>
    </row>
    <row r="1086" spans="1:7" ht="13">
      <c r="A1086" s="4" t="s">
        <v>115</v>
      </c>
      <c r="B1086" s="1">
        <v>6</v>
      </c>
      <c r="C1086" s="1">
        <v>612</v>
      </c>
      <c r="D1086" s="1" t="s">
        <v>47</v>
      </c>
      <c r="E1086" s="1" t="s">
        <v>29</v>
      </c>
      <c r="F1086" s="1">
        <f t="shared" si="40"/>
        <v>600</v>
      </c>
      <c r="G1086" s="5">
        <f t="shared" si="39"/>
        <v>1.02</v>
      </c>
    </row>
    <row r="1087" spans="1:7" ht="13">
      <c r="A1087" s="4" t="s">
        <v>115</v>
      </c>
      <c r="B1087" s="1">
        <v>5</v>
      </c>
      <c r="C1087" s="1">
        <v>596</v>
      </c>
      <c r="D1087" s="1" t="s">
        <v>42</v>
      </c>
      <c r="E1087" s="1" t="s">
        <v>24</v>
      </c>
      <c r="F1087" s="1">
        <f t="shared" si="40"/>
        <v>500</v>
      </c>
      <c r="G1087" s="5">
        <f t="shared" si="39"/>
        <v>1.1919999999999999</v>
      </c>
    </row>
    <row r="1088" spans="1:7" ht="13">
      <c r="A1088" s="4" t="s">
        <v>115</v>
      </c>
      <c r="B1088" s="1">
        <v>4</v>
      </c>
      <c r="C1088" s="1">
        <v>372</v>
      </c>
      <c r="D1088" s="1" t="s">
        <v>43</v>
      </c>
      <c r="E1088" s="1" t="s">
        <v>68</v>
      </c>
      <c r="F1088" s="1">
        <f t="shared" si="40"/>
        <v>400</v>
      </c>
      <c r="G1088" s="5">
        <f t="shared" si="39"/>
        <v>0.93</v>
      </c>
    </row>
    <row r="1089" spans="1:7" ht="13">
      <c r="A1089" s="4" t="s">
        <v>115</v>
      </c>
      <c r="B1089" s="1">
        <v>6</v>
      </c>
      <c r="C1089" s="1">
        <v>596</v>
      </c>
      <c r="D1089" s="1" t="s">
        <v>47</v>
      </c>
      <c r="E1089" s="1" t="s">
        <v>20</v>
      </c>
      <c r="F1089" s="1">
        <f t="shared" si="40"/>
        <v>600</v>
      </c>
      <c r="G1089" s="5">
        <f t="shared" si="39"/>
        <v>0.99333333333333329</v>
      </c>
    </row>
    <row r="1090" spans="1:7" ht="13">
      <c r="A1090" s="4" t="s">
        <v>115</v>
      </c>
      <c r="B1090" s="1">
        <v>6.7</v>
      </c>
      <c r="C1090" s="1">
        <v>604</v>
      </c>
      <c r="D1090" s="1" t="s">
        <v>33</v>
      </c>
      <c r="E1090" s="1" t="s">
        <v>15</v>
      </c>
      <c r="F1090" s="1">
        <f t="shared" si="40"/>
        <v>670</v>
      </c>
      <c r="G1090" s="5">
        <f t="shared" ref="G1090:G1153" si="41">C1090/F1090</f>
        <v>0.90149253731343282</v>
      </c>
    </row>
    <row r="1091" spans="1:7" ht="13">
      <c r="A1091" s="4" t="s">
        <v>115</v>
      </c>
      <c r="B1091" s="1">
        <v>5.16</v>
      </c>
      <c r="C1091" s="1">
        <v>492</v>
      </c>
      <c r="D1091" s="1" t="s">
        <v>42</v>
      </c>
      <c r="E1091" s="1" t="s">
        <v>22</v>
      </c>
      <c r="F1091" s="1">
        <f t="shared" ref="F1091:F1154" si="42">B1091*100</f>
        <v>516</v>
      </c>
      <c r="G1091" s="5">
        <f t="shared" si="41"/>
        <v>0.95348837209302328</v>
      </c>
    </row>
    <row r="1092" spans="1:7" ht="13">
      <c r="A1092" s="4" t="s">
        <v>115</v>
      </c>
      <c r="B1092" s="1">
        <v>10</v>
      </c>
      <c r="C1092" s="1">
        <v>800.51</v>
      </c>
      <c r="D1092" s="1" t="s">
        <v>47</v>
      </c>
      <c r="E1092" s="1" t="s">
        <v>22</v>
      </c>
      <c r="F1092" s="1">
        <f t="shared" si="42"/>
        <v>1000</v>
      </c>
      <c r="G1092" s="5">
        <f t="shared" si="41"/>
        <v>0.80050999999999994</v>
      </c>
    </row>
    <row r="1093" spans="1:7" ht="13">
      <c r="A1093" s="4" t="s">
        <v>115</v>
      </c>
      <c r="B1093" s="1">
        <v>6</v>
      </c>
      <c r="C1093" s="1">
        <v>786</v>
      </c>
      <c r="D1093" s="1" t="s">
        <v>43</v>
      </c>
      <c r="E1093" s="1" t="s">
        <v>32</v>
      </c>
      <c r="F1093" s="1">
        <f t="shared" si="42"/>
        <v>600</v>
      </c>
      <c r="G1093" s="5">
        <f t="shared" si="41"/>
        <v>1.31</v>
      </c>
    </row>
    <row r="1094" spans="1:7" ht="13">
      <c r="A1094" s="4" t="s">
        <v>115</v>
      </c>
      <c r="B1094" s="1">
        <v>5.0999999999999996</v>
      </c>
      <c r="C1094" s="1">
        <v>526</v>
      </c>
      <c r="D1094" s="1" t="s">
        <v>79</v>
      </c>
      <c r="E1094" s="1" t="s">
        <v>69</v>
      </c>
      <c r="F1094" s="1">
        <f t="shared" si="42"/>
        <v>509.99999999999994</v>
      </c>
      <c r="G1094" s="5">
        <f t="shared" si="41"/>
        <v>1.031372549019608</v>
      </c>
    </row>
    <row r="1095" spans="1:7" ht="13">
      <c r="A1095" s="4" t="s">
        <v>116</v>
      </c>
      <c r="B1095" s="1">
        <v>7.74</v>
      </c>
      <c r="C1095" s="1">
        <v>760</v>
      </c>
      <c r="D1095" s="1" t="s">
        <v>11</v>
      </c>
      <c r="E1095" s="1" t="s">
        <v>17</v>
      </c>
      <c r="F1095" s="1">
        <f t="shared" si="42"/>
        <v>774</v>
      </c>
      <c r="G1095" s="5">
        <f t="shared" si="41"/>
        <v>0.98191214470284238</v>
      </c>
    </row>
    <row r="1096" spans="1:7" ht="13">
      <c r="A1096" s="4" t="s">
        <v>116</v>
      </c>
      <c r="B1096" s="1">
        <v>6.8</v>
      </c>
      <c r="C1096" s="1">
        <v>769</v>
      </c>
      <c r="D1096" s="1" t="s">
        <v>11</v>
      </c>
      <c r="E1096" s="1" t="s">
        <v>23</v>
      </c>
      <c r="F1096" s="1">
        <f t="shared" si="42"/>
        <v>680</v>
      </c>
      <c r="G1096" s="5">
        <f t="shared" si="41"/>
        <v>1.1308823529411764</v>
      </c>
    </row>
    <row r="1097" spans="1:7" ht="13">
      <c r="A1097" s="4" t="s">
        <v>116</v>
      </c>
      <c r="B1097" s="1">
        <v>8.6</v>
      </c>
      <c r="C1097" s="1">
        <v>781</v>
      </c>
      <c r="D1097" s="1" t="s">
        <v>79</v>
      </c>
      <c r="E1097" s="1" t="s">
        <v>22</v>
      </c>
      <c r="F1097" s="1">
        <f t="shared" si="42"/>
        <v>860</v>
      </c>
      <c r="G1097" s="5">
        <f t="shared" si="41"/>
        <v>0.9081395348837209</v>
      </c>
    </row>
    <row r="1098" spans="1:7" ht="13">
      <c r="A1098" s="4" t="s">
        <v>116</v>
      </c>
      <c r="B1098" s="1">
        <v>7.3949999999999996</v>
      </c>
      <c r="C1098" s="1">
        <v>822</v>
      </c>
      <c r="D1098" s="1" t="s">
        <v>43</v>
      </c>
      <c r="E1098" s="1" t="s">
        <v>20</v>
      </c>
      <c r="F1098" s="1">
        <f t="shared" si="42"/>
        <v>739.5</v>
      </c>
      <c r="G1098" s="5">
        <f t="shared" si="41"/>
        <v>1.1115618661257607</v>
      </c>
    </row>
    <row r="1099" spans="1:7" ht="13">
      <c r="A1099" s="4" t="s">
        <v>116</v>
      </c>
      <c r="B1099" s="1">
        <v>9.5</v>
      </c>
      <c r="C1099" s="1">
        <v>998</v>
      </c>
      <c r="D1099" s="1" t="s">
        <v>11</v>
      </c>
      <c r="E1099" s="1" t="s">
        <v>31</v>
      </c>
      <c r="F1099" s="1">
        <f t="shared" si="42"/>
        <v>950</v>
      </c>
      <c r="G1099" s="5">
        <f t="shared" si="41"/>
        <v>1.0505263157894738</v>
      </c>
    </row>
    <row r="1100" spans="1:7" ht="13">
      <c r="A1100" s="4" t="s">
        <v>116</v>
      </c>
      <c r="B1100" s="1">
        <v>5.4</v>
      </c>
      <c r="C1100" s="1">
        <v>677</v>
      </c>
      <c r="D1100" s="1" t="s">
        <v>11</v>
      </c>
      <c r="E1100" s="1" t="s">
        <v>8</v>
      </c>
      <c r="F1100" s="1">
        <f t="shared" si="42"/>
        <v>540</v>
      </c>
      <c r="G1100" s="5">
        <f t="shared" si="41"/>
        <v>1.2537037037037038</v>
      </c>
    </row>
    <row r="1101" spans="1:7" ht="13">
      <c r="A1101" s="4" t="s">
        <v>116</v>
      </c>
      <c r="B1101" s="1">
        <v>5.915</v>
      </c>
      <c r="C1101" s="1">
        <v>637</v>
      </c>
      <c r="D1101" s="1" t="s">
        <v>44</v>
      </c>
      <c r="E1101" s="1" t="s">
        <v>24</v>
      </c>
      <c r="F1101" s="1">
        <f t="shared" si="42"/>
        <v>591.5</v>
      </c>
      <c r="G1101" s="5">
        <f t="shared" si="41"/>
        <v>1.0769230769230769</v>
      </c>
    </row>
    <row r="1102" spans="1:7" ht="13">
      <c r="A1102" s="4" t="s">
        <v>116</v>
      </c>
      <c r="B1102" s="1">
        <v>10.3</v>
      </c>
      <c r="C1102" s="1">
        <v>1140</v>
      </c>
      <c r="D1102" s="1" t="s">
        <v>37</v>
      </c>
      <c r="E1102" s="1" t="s">
        <v>26</v>
      </c>
      <c r="F1102" s="1">
        <f t="shared" si="42"/>
        <v>1030</v>
      </c>
      <c r="G1102" s="5">
        <f t="shared" si="41"/>
        <v>1.1067961165048543</v>
      </c>
    </row>
    <row r="1103" spans="1:7" ht="13">
      <c r="A1103" s="4" t="s">
        <v>116</v>
      </c>
      <c r="B1103" s="1">
        <v>6.5250000000000004</v>
      </c>
      <c r="C1103" s="1">
        <v>681</v>
      </c>
      <c r="D1103" s="1" t="s">
        <v>11</v>
      </c>
      <c r="E1103" s="1" t="s">
        <v>17</v>
      </c>
      <c r="F1103" s="1">
        <f t="shared" si="42"/>
        <v>652.5</v>
      </c>
      <c r="G1103" s="5">
        <f t="shared" si="41"/>
        <v>1.0436781609195402</v>
      </c>
    </row>
    <row r="1104" spans="1:7" ht="13">
      <c r="A1104" s="4" t="s">
        <v>116</v>
      </c>
      <c r="B1104" s="1">
        <v>6.09</v>
      </c>
      <c r="C1104" s="1">
        <v>732</v>
      </c>
      <c r="D1104" s="1" t="s">
        <v>11</v>
      </c>
      <c r="E1104" s="1" t="s">
        <v>26</v>
      </c>
      <c r="F1104" s="1">
        <f t="shared" si="42"/>
        <v>609</v>
      </c>
      <c r="G1104" s="5">
        <f t="shared" si="41"/>
        <v>1.2019704433497538</v>
      </c>
    </row>
    <row r="1105" spans="1:7" ht="13">
      <c r="A1105" s="4" t="s">
        <v>116</v>
      </c>
      <c r="B1105" s="1">
        <v>5.2</v>
      </c>
      <c r="C1105" s="1">
        <v>583</v>
      </c>
      <c r="D1105" s="1" t="s">
        <v>45</v>
      </c>
      <c r="E1105" s="1" t="s">
        <v>15</v>
      </c>
      <c r="F1105" s="1">
        <f t="shared" si="42"/>
        <v>520</v>
      </c>
      <c r="G1105" s="5">
        <f t="shared" si="41"/>
        <v>1.1211538461538462</v>
      </c>
    </row>
    <row r="1106" spans="1:7" ht="13">
      <c r="A1106" s="4" t="s">
        <v>116</v>
      </c>
      <c r="B1106" s="1">
        <v>6.8</v>
      </c>
      <c r="C1106" s="1">
        <v>638</v>
      </c>
      <c r="D1106" s="1" t="s">
        <v>33</v>
      </c>
      <c r="E1106" s="1" t="s">
        <v>20</v>
      </c>
      <c r="F1106" s="1">
        <f t="shared" si="42"/>
        <v>680</v>
      </c>
      <c r="G1106" s="5">
        <f t="shared" si="41"/>
        <v>0.93823529411764706</v>
      </c>
    </row>
    <row r="1107" spans="1:7" ht="13">
      <c r="A1107" s="4" t="s">
        <v>116</v>
      </c>
      <c r="B1107" s="1">
        <v>6.4</v>
      </c>
      <c r="C1107" s="1">
        <v>723.4</v>
      </c>
      <c r="D1107" s="1" t="s">
        <v>33</v>
      </c>
      <c r="E1107" s="1" t="s">
        <v>15</v>
      </c>
      <c r="F1107" s="1">
        <f t="shared" si="42"/>
        <v>640</v>
      </c>
      <c r="G1107" s="5">
        <f t="shared" si="41"/>
        <v>1.1303125000000001</v>
      </c>
    </row>
    <row r="1108" spans="1:7" ht="13">
      <c r="A1108" s="4" t="s">
        <v>116</v>
      </c>
      <c r="B1108" s="1">
        <v>7.5</v>
      </c>
      <c r="C1108" s="1">
        <v>902</v>
      </c>
      <c r="D1108" s="1" t="s">
        <v>11</v>
      </c>
      <c r="E1108" s="1" t="s">
        <v>10</v>
      </c>
      <c r="F1108" s="1">
        <f t="shared" si="42"/>
        <v>750</v>
      </c>
      <c r="G1108" s="5">
        <f t="shared" si="41"/>
        <v>1.2026666666666668</v>
      </c>
    </row>
    <row r="1109" spans="1:7" ht="13">
      <c r="A1109" s="4" t="s">
        <v>116</v>
      </c>
      <c r="B1109" s="1">
        <v>3.2</v>
      </c>
      <c r="C1109" s="1">
        <v>361</v>
      </c>
      <c r="D1109" s="1" t="s">
        <v>11</v>
      </c>
      <c r="E1109" s="1" t="s">
        <v>9</v>
      </c>
      <c r="F1109" s="1">
        <f t="shared" si="42"/>
        <v>320</v>
      </c>
      <c r="G1109" s="5">
        <f t="shared" si="41"/>
        <v>1.128125</v>
      </c>
    </row>
    <row r="1110" spans="1:7" ht="13">
      <c r="A1110" s="4" t="s">
        <v>116</v>
      </c>
      <c r="B1110" s="1">
        <v>6.5</v>
      </c>
      <c r="C1110" s="1">
        <v>823</v>
      </c>
      <c r="D1110" s="1" t="s">
        <v>11</v>
      </c>
      <c r="E1110" s="1" t="s">
        <v>18</v>
      </c>
      <c r="F1110" s="1">
        <f t="shared" si="42"/>
        <v>650</v>
      </c>
      <c r="G1110" s="5">
        <f t="shared" si="41"/>
        <v>1.2661538461538462</v>
      </c>
    </row>
    <row r="1111" spans="1:7" ht="13">
      <c r="A1111" s="4" t="s">
        <v>116</v>
      </c>
      <c r="B1111" s="1">
        <v>7.3</v>
      </c>
      <c r="C1111" s="1">
        <v>898</v>
      </c>
      <c r="D1111" s="1" t="s">
        <v>47</v>
      </c>
      <c r="E1111" s="1" t="s">
        <v>10</v>
      </c>
      <c r="F1111" s="1">
        <f t="shared" si="42"/>
        <v>730</v>
      </c>
      <c r="G1111" s="5">
        <f t="shared" si="41"/>
        <v>1.2301369863013698</v>
      </c>
    </row>
    <row r="1112" spans="1:7" ht="13">
      <c r="A1112" s="4" t="s">
        <v>116</v>
      </c>
      <c r="B1112" s="1">
        <v>5.6</v>
      </c>
      <c r="C1112" s="1">
        <v>584</v>
      </c>
      <c r="D1112" s="1" t="s">
        <v>11</v>
      </c>
      <c r="E1112" s="1" t="s">
        <v>21</v>
      </c>
      <c r="F1112" s="1">
        <f t="shared" si="42"/>
        <v>560</v>
      </c>
      <c r="G1112" s="5">
        <f t="shared" si="41"/>
        <v>1.0428571428571429</v>
      </c>
    </row>
    <row r="1113" spans="1:7" ht="13">
      <c r="A1113" s="4" t="s">
        <v>116</v>
      </c>
      <c r="B1113" s="1">
        <v>6.4</v>
      </c>
      <c r="C1113" s="1">
        <v>755</v>
      </c>
      <c r="D1113" s="1" t="s">
        <v>85</v>
      </c>
      <c r="E1113" s="1" t="s">
        <v>8</v>
      </c>
      <c r="F1113" s="1">
        <f t="shared" si="42"/>
        <v>640</v>
      </c>
      <c r="G1113" s="5">
        <f t="shared" si="41"/>
        <v>1.1796875</v>
      </c>
    </row>
    <row r="1114" spans="1:7" ht="13">
      <c r="A1114" s="4" t="s">
        <v>116</v>
      </c>
      <c r="B1114" s="1">
        <v>8.1</v>
      </c>
      <c r="C1114" s="1">
        <v>1040</v>
      </c>
      <c r="D1114" s="1" t="s">
        <v>42</v>
      </c>
      <c r="E1114" s="1" t="s">
        <v>10</v>
      </c>
      <c r="F1114" s="1">
        <f t="shared" si="42"/>
        <v>810</v>
      </c>
      <c r="G1114" s="5">
        <f t="shared" si="41"/>
        <v>1.2839506172839505</v>
      </c>
    </row>
    <row r="1115" spans="1:7" ht="13">
      <c r="A1115" s="4" t="s">
        <v>116</v>
      </c>
      <c r="B1115" s="1">
        <v>9.3000000000000007</v>
      </c>
      <c r="C1115" s="1">
        <v>1095</v>
      </c>
      <c r="D1115" s="1" t="s">
        <v>45</v>
      </c>
      <c r="E1115" s="1" t="s">
        <v>10</v>
      </c>
      <c r="F1115" s="1">
        <f t="shared" si="42"/>
        <v>930.00000000000011</v>
      </c>
      <c r="G1115" s="5">
        <f t="shared" si="41"/>
        <v>1.1774193548387095</v>
      </c>
    </row>
    <row r="1116" spans="1:7" ht="13">
      <c r="A1116" s="4" t="s">
        <v>116</v>
      </c>
      <c r="B1116" s="1">
        <v>8.1</v>
      </c>
      <c r="C1116" s="1">
        <v>863</v>
      </c>
      <c r="D1116" s="1" t="s">
        <v>35</v>
      </c>
      <c r="E1116" s="1" t="s">
        <v>7</v>
      </c>
      <c r="F1116" s="1">
        <f t="shared" si="42"/>
        <v>810</v>
      </c>
      <c r="G1116" s="5">
        <f t="shared" si="41"/>
        <v>1.065432098765432</v>
      </c>
    </row>
    <row r="1117" spans="1:7" ht="13">
      <c r="A1117" s="4" t="s">
        <v>116</v>
      </c>
      <c r="B1117" s="1">
        <v>7.8</v>
      </c>
      <c r="C1117" s="1">
        <v>835</v>
      </c>
      <c r="D1117" s="1" t="s">
        <v>47</v>
      </c>
      <c r="E1117" s="1" t="s">
        <v>23</v>
      </c>
      <c r="F1117" s="1">
        <f t="shared" si="42"/>
        <v>780</v>
      </c>
      <c r="G1117" s="5">
        <f t="shared" si="41"/>
        <v>1.0705128205128205</v>
      </c>
    </row>
    <row r="1118" spans="1:7" ht="13">
      <c r="A1118" s="4" t="s">
        <v>116</v>
      </c>
      <c r="B1118" s="1">
        <v>5.6</v>
      </c>
      <c r="C1118" s="1">
        <v>564</v>
      </c>
      <c r="D1118" s="1" t="s">
        <v>53</v>
      </c>
      <c r="E1118" s="1" t="s">
        <v>8</v>
      </c>
      <c r="F1118" s="1">
        <f t="shared" si="42"/>
        <v>560</v>
      </c>
      <c r="G1118" s="5">
        <f t="shared" si="41"/>
        <v>1.0071428571428571</v>
      </c>
    </row>
    <row r="1119" spans="1:7" ht="13">
      <c r="A1119" s="4" t="s">
        <v>116</v>
      </c>
      <c r="B1119" s="1">
        <v>5.1100000000000003</v>
      </c>
      <c r="C1119" s="1">
        <v>569</v>
      </c>
      <c r="D1119" s="1" t="s">
        <v>43</v>
      </c>
      <c r="E1119" s="1" t="s">
        <v>8</v>
      </c>
      <c r="F1119" s="1">
        <f t="shared" si="42"/>
        <v>511.00000000000006</v>
      </c>
      <c r="G1119" s="5">
        <f t="shared" si="41"/>
        <v>1.1135029354207435</v>
      </c>
    </row>
    <row r="1120" spans="1:7" ht="13">
      <c r="A1120" s="4" t="s">
        <v>116</v>
      </c>
      <c r="B1120" s="1">
        <v>6.96</v>
      </c>
      <c r="C1120" s="1">
        <v>973</v>
      </c>
      <c r="D1120" s="1" t="s">
        <v>38</v>
      </c>
      <c r="E1120" s="1" t="s">
        <v>8</v>
      </c>
      <c r="F1120" s="1">
        <f t="shared" si="42"/>
        <v>696</v>
      </c>
      <c r="G1120" s="5">
        <f t="shared" si="41"/>
        <v>1.3979885057471264</v>
      </c>
    </row>
    <row r="1121" spans="1:7" ht="13">
      <c r="A1121" s="4" t="s">
        <v>116</v>
      </c>
      <c r="B1121" s="1">
        <v>9.1999999999999993</v>
      </c>
      <c r="C1121" s="1">
        <v>1080</v>
      </c>
      <c r="D1121" s="1" t="s">
        <v>33</v>
      </c>
      <c r="E1121" s="1" t="s">
        <v>20</v>
      </c>
      <c r="F1121" s="1">
        <f t="shared" si="42"/>
        <v>919.99999999999989</v>
      </c>
      <c r="G1121" s="5">
        <f t="shared" si="41"/>
        <v>1.173913043478261</v>
      </c>
    </row>
    <row r="1122" spans="1:7" ht="13">
      <c r="A1122" s="4" t="s">
        <v>116</v>
      </c>
      <c r="B1122" s="1">
        <v>4.8</v>
      </c>
      <c r="C1122" s="1">
        <v>430</v>
      </c>
      <c r="D1122" s="1" t="s">
        <v>43</v>
      </c>
      <c r="E1122" s="1" t="s">
        <v>22</v>
      </c>
      <c r="F1122" s="1">
        <f t="shared" si="42"/>
        <v>480</v>
      </c>
      <c r="G1122" s="5">
        <f t="shared" si="41"/>
        <v>0.89583333333333337</v>
      </c>
    </row>
    <row r="1123" spans="1:7" ht="13">
      <c r="A1123" s="4" t="s">
        <v>116</v>
      </c>
      <c r="B1123" s="1">
        <v>9.1999999999999993</v>
      </c>
      <c r="C1123" s="1">
        <v>1080</v>
      </c>
      <c r="D1123" s="1" t="s">
        <v>33</v>
      </c>
      <c r="E1123" s="1" t="s">
        <v>20</v>
      </c>
      <c r="F1123" s="1">
        <f t="shared" si="42"/>
        <v>919.99999999999989</v>
      </c>
      <c r="G1123" s="5">
        <f t="shared" si="41"/>
        <v>1.173913043478261</v>
      </c>
    </row>
    <row r="1124" spans="1:7" ht="13">
      <c r="A1124" s="4" t="s">
        <v>116</v>
      </c>
      <c r="B1124" s="1">
        <v>9.5</v>
      </c>
      <c r="C1124" s="1">
        <v>1113</v>
      </c>
      <c r="D1124" s="1" t="s">
        <v>90</v>
      </c>
      <c r="E1124" s="1" t="s">
        <v>26</v>
      </c>
      <c r="F1124" s="1">
        <f t="shared" si="42"/>
        <v>950</v>
      </c>
      <c r="G1124" s="5">
        <f t="shared" si="41"/>
        <v>1.1715789473684211</v>
      </c>
    </row>
    <row r="1125" spans="1:7" ht="13">
      <c r="A1125" s="4" t="s">
        <v>116</v>
      </c>
      <c r="B1125" s="1">
        <v>8.6</v>
      </c>
      <c r="C1125" s="1">
        <v>954</v>
      </c>
      <c r="D1125" s="1" t="s">
        <v>40</v>
      </c>
      <c r="E1125" s="1" t="s">
        <v>9</v>
      </c>
      <c r="F1125" s="1">
        <f t="shared" si="42"/>
        <v>860</v>
      </c>
      <c r="G1125" s="5">
        <f t="shared" si="41"/>
        <v>1.1093023255813954</v>
      </c>
    </row>
    <row r="1126" spans="1:7" ht="13">
      <c r="A1126" s="4" t="s">
        <v>116</v>
      </c>
      <c r="B1126" s="1">
        <v>7.36</v>
      </c>
      <c r="C1126" s="1">
        <v>770</v>
      </c>
      <c r="D1126" s="1" t="s">
        <v>37</v>
      </c>
      <c r="E1126" s="1" t="s">
        <v>15</v>
      </c>
      <c r="F1126" s="1">
        <f t="shared" si="42"/>
        <v>736</v>
      </c>
      <c r="G1126" s="5">
        <f t="shared" si="41"/>
        <v>1.0461956521739131</v>
      </c>
    </row>
    <row r="1127" spans="1:7" ht="13">
      <c r="A1127" s="4" t="s">
        <v>116</v>
      </c>
      <c r="B1127" s="1">
        <v>6.24</v>
      </c>
      <c r="C1127" s="1">
        <v>592</v>
      </c>
      <c r="D1127" s="1" t="s">
        <v>33</v>
      </c>
      <c r="E1127" s="1" t="s">
        <v>15</v>
      </c>
      <c r="F1127" s="1">
        <f t="shared" si="42"/>
        <v>624</v>
      </c>
      <c r="G1127" s="5">
        <f t="shared" si="41"/>
        <v>0.94871794871794868</v>
      </c>
    </row>
    <row r="1128" spans="1:7" ht="13">
      <c r="A1128" s="4" t="s">
        <v>116</v>
      </c>
      <c r="B1128" s="1">
        <v>5.25</v>
      </c>
      <c r="C1128" s="1">
        <v>640</v>
      </c>
      <c r="D1128" s="1" t="s">
        <v>47</v>
      </c>
      <c r="E1128" s="1" t="s">
        <v>26</v>
      </c>
      <c r="F1128" s="1">
        <f t="shared" si="42"/>
        <v>525</v>
      </c>
      <c r="G1128" s="5">
        <f t="shared" si="41"/>
        <v>1.2190476190476192</v>
      </c>
    </row>
    <row r="1129" spans="1:7" ht="13">
      <c r="A1129" s="4" t="s">
        <v>116</v>
      </c>
      <c r="B1129" s="1">
        <v>4.5599999999999996</v>
      </c>
      <c r="C1129" s="1">
        <v>533</v>
      </c>
      <c r="D1129" s="1" t="s">
        <v>33</v>
      </c>
      <c r="E1129" s="1" t="s">
        <v>17</v>
      </c>
      <c r="F1129" s="1">
        <f t="shared" si="42"/>
        <v>455.99999999999994</v>
      </c>
      <c r="G1129" s="5">
        <f t="shared" si="41"/>
        <v>1.1688596491228072</v>
      </c>
    </row>
    <row r="1130" spans="1:7" ht="13">
      <c r="A1130" s="4" t="s">
        <v>116</v>
      </c>
      <c r="B1130" s="1">
        <v>7.94</v>
      </c>
      <c r="C1130" s="1">
        <v>877</v>
      </c>
      <c r="D1130" s="1" t="s">
        <v>42</v>
      </c>
      <c r="E1130" s="1" t="s">
        <v>17</v>
      </c>
      <c r="F1130" s="1">
        <f t="shared" si="42"/>
        <v>794</v>
      </c>
      <c r="G1130" s="5">
        <f t="shared" si="41"/>
        <v>1.1045340050377834</v>
      </c>
    </row>
    <row r="1131" spans="1:7" ht="13">
      <c r="A1131" s="4" t="s">
        <v>116</v>
      </c>
      <c r="B1131" s="1">
        <v>9.6</v>
      </c>
      <c r="C1131" s="1">
        <v>939</v>
      </c>
      <c r="D1131" s="1" t="s">
        <v>88</v>
      </c>
      <c r="E1131" s="1" t="s">
        <v>26</v>
      </c>
      <c r="F1131" s="1">
        <f t="shared" si="42"/>
        <v>960</v>
      </c>
      <c r="G1131" s="5">
        <f t="shared" si="41"/>
        <v>0.97812500000000002</v>
      </c>
    </row>
    <row r="1132" spans="1:7" ht="13">
      <c r="A1132" s="4" t="s">
        <v>116</v>
      </c>
      <c r="B1132" s="1">
        <v>6.56</v>
      </c>
      <c r="C1132" s="1">
        <v>768</v>
      </c>
      <c r="D1132" s="1" t="s">
        <v>11</v>
      </c>
      <c r="E1132" s="1" t="s">
        <v>18</v>
      </c>
      <c r="F1132" s="1">
        <f t="shared" si="42"/>
        <v>656</v>
      </c>
      <c r="G1132" s="5">
        <f t="shared" si="41"/>
        <v>1.1707317073170731</v>
      </c>
    </row>
    <row r="1133" spans="1:7" ht="13">
      <c r="A1133" s="4" t="s">
        <v>116</v>
      </c>
      <c r="B1133" s="1">
        <v>8.6</v>
      </c>
      <c r="C1133" s="1">
        <v>917.37</v>
      </c>
      <c r="D1133" s="1" t="s">
        <v>39</v>
      </c>
      <c r="E1133" s="1" t="s">
        <v>17</v>
      </c>
      <c r="F1133" s="1">
        <f t="shared" si="42"/>
        <v>860</v>
      </c>
      <c r="G1133" s="5">
        <f t="shared" si="41"/>
        <v>1.0667093023255814</v>
      </c>
    </row>
    <row r="1134" spans="1:7" ht="13">
      <c r="A1134" s="4" t="s">
        <v>116</v>
      </c>
      <c r="B1134" s="1">
        <v>5.0999999999999996</v>
      </c>
      <c r="C1134" s="1">
        <v>524</v>
      </c>
      <c r="D1134" s="1" t="s">
        <v>33</v>
      </c>
      <c r="E1134" s="1" t="s">
        <v>15</v>
      </c>
      <c r="F1134" s="1">
        <f t="shared" si="42"/>
        <v>509.99999999999994</v>
      </c>
      <c r="G1134" s="5">
        <f t="shared" si="41"/>
        <v>1.027450980392157</v>
      </c>
    </row>
    <row r="1135" spans="1:7" ht="13">
      <c r="A1135" s="4" t="s">
        <v>116</v>
      </c>
      <c r="B1135" s="1">
        <v>6</v>
      </c>
      <c r="C1135" s="1">
        <v>701</v>
      </c>
      <c r="D1135" s="1" t="s">
        <v>11</v>
      </c>
      <c r="E1135" s="1" t="s">
        <v>28</v>
      </c>
      <c r="F1135" s="1">
        <f t="shared" si="42"/>
        <v>600</v>
      </c>
      <c r="G1135" s="5">
        <f t="shared" si="41"/>
        <v>1.1683333333333332</v>
      </c>
    </row>
    <row r="1136" spans="1:7" ht="13">
      <c r="A1136" s="4" t="s">
        <v>116</v>
      </c>
      <c r="B1136" s="1">
        <v>6</v>
      </c>
      <c r="C1136" s="1">
        <v>608</v>
      </c>
      <c r="D1136" s="1" t="s">
        <v>39</v>
      </c>
      <c r="E1136" s="1" t="s">
        <v>30</v>
      </c>
      <c r="F1136" s="1">
        <f t="shared" si="42"/>
        <v>600</v>
      </c>
      <c r="G1136" s="5">
        <f t="shared" si="41"/>
        <v>1.0133333333333334</v>
      </c>
    </row>
    <row r="1137" spans="1:7" ht="13">
      <c r="A1137" s="4" t="s">
        <v>116</v>
      </c>
      <c r="B1137" s="1">
        <v>4.8</v>
      </c>
      <c r="C1137" s="1">
        <v>526</v>
      </c>
      <c r="D1137" s="1" t="s">
        <v>39</v>
      </c>
      <c r="E1137" s="1" t="s">
        <v>16</v>
      </c>
      <c r="F1137" s="1">
        <f t="shared" si="42"/>
        <v>480</v>
      </c>
      <c r="G1137" s="5">
        <f t="shared" si="41"/>
        <v>1.0958333333333334</v>
      </c>
    </row>
    <row r="1138" spans="1:7" ht="13">
      <c r="A1138" s="4" t="s">
        <v>116</v>
      </c>
      <c r="B1138" s="1">
        <v>8.6999999999999993</v>
      </c>
      <c r="C1138" s="1">
        <v>756</v>
      </c>
      <c r="D1138" s="1" t="s">
        <v>39</v>
      </c>
      <c r="E1138" s="1" t="s">
        <v>15</v>
      </c>
      <c r="F1138" s="1">
        <f t="shared" si="42"/>
        <v>869.99999999999989</v>
      </c>
      <c r="G1138" s="5">
        <f t="shared" si="41"/>
        <v>0.86896551724137938</v>
      </c>
    </row>
    <row r="1139" spans="1:7" ht="13">
      <c r="A1139" s="4" t="s">
        <v>116</v>
      </c>
      <c r="B1139" s="1">
        <v>6.09</v>
      </c>
      <c r="C1139" s="1">
        <v>500</v>
      </c>
      <c r="D1139" s="1" t="s">
        <v>42</v>
      </c>
      <c r="E1139" s="1" t="s">
        <v>15</v>
      </c>
      <c r="F1139" s="1">
        <f t="shared" si="42"/>
        <v>609</v>
      </c>
      <c r="G1139" s="5">
        <f t="shared" si="41"/>
        <v>0.82101806239737274</v>
      </c>
    </row>
    <row r="1140" spans="1:7" ht="13">
      <c r="A1140" s="4" t="s">
        <v>116</v>
      </c>
      <c r="B1140" s="1">
        <v>6</v>
      </c>
      <c r="C1140" s="1">
        <v>720</v>
      </c>
      <c r="D1140" s="1" t="s">
        <v>39</v>
      </c>
      <c r="E1140" s="1" t="s">
        <v>9</v>
      </c>
      <c r="F1140" s="1">
        <f t="shared" si="42"/>
        <v>600</v>
      </c>
      <c r="G1140" s="5">
        <f t="shared" si="41"/>
        <v>1.2</v>
      </c>
    </row>
    <row r="1141" spans="1:7" ht="13">
      <c r="A1141" s="4" t="s">
        <v>116</v>
      </c>
      <c r="B1141" s="1">
        <v>7.4</v>
      </c>
      <c r="C1141" s="1">
        <v>820</v>
      </c>
      <c r="D1141" s="1" t="s">
        <v>11</v>
      </c>
      <c r="E1141" s="1" t="s">
        <v>20</v>
      </c>
      <c r="F1141" s="1">
        <f t="shared" si="42"/>
        <v>740</v>
      </c>
      <c r="G1141" s="5">
        <f t="shared" si="41"/>
        <v>1.1081081081081081</v>
      </c>
    </row>
    <row r="1142" spans="1:7" ht="13">
      <c r="A1142" s="4" t="s">
        <v>116</v>
      </c>
      <c r="B1142" s="1">
        <v>7.74</v>
      </c>
      <c r="C1142" s="1">
        <v>840</v>
      </c>
      <c r="D1142" s="1" t="s">
        <v>91</v>
      </c>
      <c r="E1142" s="1" t="s">
        <v>8</v>
      </c>
      <c r="F1142" s="1">
        <f t="shared" si="42"/>
        <v>774</v>
      </c>
      <c r="G1142" s="5">
        <f t="shared" si="41"/>
        <v>1.0852713178294573</v>
      </c>
    </row>
    <row r="1143" spans="1:7" ht="13">
      <c r="A1143" s="4" t="s">
        <v>116</v>
      </c>
      <c r="B1143" s="1">
        <v>7.2</v>
      </c>
      <c r="C1143" s="1">
        <v>911</v>
      </c>
      <c r="D1143" s="1" t="s">
        <v>42</v>
      </c>
      <c r="E1143" s="1" t="s">
        <v>26</v>
      </c>
      <c r="F1143" s="1">
        <f t="shared" si="42"/>
        <v>720</v>
      </c>
      <c r="G1143" s="5">
        <f t="shared" si="41"/>
        <v>1.2652777777777777</v>
      </c>
    </row>
    <row r="1144" spans="1:7" ht="13">
      <c r="A1144" s="4" t="s">
        <v>116</v>
      </c>
      <c r="B1144" s="1">
        <v>3.44</v>
      </c>
      <c r="C1144" s="1">
        <v>478</v>
      </c>
      <c r="D1144" s="1" t="s">
        <v>43</v>
      </c>
      <c r="E1144" s="1" t="s">
        <v>8</v>
      </c>
      <c r="F1144" s="1">
        <f t="shared" si="42"/>
        <v>344</v>
      </c>
      <c r="G1144" s="5">
        <f t="shared" si="41"/>
        <v>1.3895348837209303</v>
      </c>
    </row>
    <row r="1145" spans="1:7" ht="13">
      <c r="A1145" s="4" t="s">
        <v>116</v>
      </c>
      <c r="B1145" s="1">
        <v>8.5</v>
      </c>
      <c r="C1145" s="1">
        <v>1080</v>
      </c>
      <c r="D1145" s="1" t="s">
        <v>58</v>
      </c>
      <c r="E1145" s="1" t="s">
        <v>20</v>
      </c>
      <c r="F1145" s="1">
        <f t="shared" si="42"/>
        <v>850</v>
      </c>
      <c r="G1145" s="5">
        <f t="shared" si="41"/>
        <v>1.2705882352941176</v>
      </c>
    </row>
    <row r="1146" spans="1:7" ht="13">
      <c r="A1146" s="4" t="s">
        <v>116</v>
      </c>
      <c r="B1146" s="1">
        <v>7.5</v>
      </c>
      <c r="C1146" s="1">
        <v>758.7</v>
      </c>
      <c r="D1146" s="1" t="s">
        <v>34</v>
      </c>
      <c r="E1146" s="1" t="s">
        <v>22</v>
      </c>
      <c r="F1146" s="1">
        <f t="shared" si="42"/>
        <v>750</v>
      </c>
      <c r="G1146" s="5">
        <f t="shared" si="41"/>
        <v>1.0116000000000001</v>
      </c>
    </row>
    <row r="1147" spans="1:7" ht="13">
      <c r="A1147" s="4" t="s">
        <v>116</v>
      </c>
      <c r="B1147" s="1">
        <v>10.199999999999999</v>
      </c>
      <c r="C1147" s="1">
        <v>860</v>
      </c>
      <c r="D1147" s="1" t="s">
        <v>47</v>
      </c>
      <c r="E1147" s="1" t="s">
        <v>7</v>
      </c>
      <c r="F1147" s="1">
        <f t="shared" si="42"/>
        <v>1019.9999999999999</v>
      </c>
      <c r="G1147" s="5">
        <f t="shared" si="41"/>
        <v>0.8431372549019609</v>
      </c>
    </row>
    <row r="1148" spans="1:7" ht="13">
      <c r="A1148" s="4" t="s">
        <v>116</v>
      </c>
      <c r="B1148" s="1">
        <v>4.3</v>
      </c>
      <c r="C1148" s="1">
        <v>551</v>
      </c>
      <c r="D1148" s="1" t="s">
        <v>33</v>
      </c>
      <c r="E1148" s="1" t="s">
        <v>16</v>
      </c>
      <c r="F1148" s="1">
        <f t="shared" si="42"/>
        <v>430</v>
      </c>
      <c r="G1148" s="5">
        <f t="shared" si="41"/>
        <v>1.2813953488372094</v>
      </c>
    </row>
    <row r="1149" spans="1:7" ht="13">
      <c r="A1149" s="4" t="s">
        <v>116</v>
      </c>
      <c r="B1149" s="1">
        <v>6.7</v>
      </c>
      <c r="C1149" s="1">
        <v>781</v>
      </c>
      <c r="D1149" s="1" t="s">
        <v>11</v>
      </c>
      <c r="E1149" s="1" t="s">
        <v>16</v>
      </c>
      <c r="F1149" s="1">
        <f t="shared" si="42"/>
        <v>670</v>
      </c>
      <c r="G1149" s="5">
        <f t="shared" si="41"/>
        <v>1.1656716417910449</v>
      </c>
    </row>
    <row r="1150" spans="1:7" ht="13">
      <c r="A1150" s="4" t="s">
        <v>116</v>
      </c>
      <c r="B1150" s="1">
        <v>5.8</v>
      </c>
      <c r="C1150" s="1">
        <v>618</v>
      </c>
      <c r="D1150" s="1" t="s">
        <v>53</v>
      </c>
      <c r="E1150" s="1" t="s">
        <v>10</v>
      </c>
      <c r="F1150" s="1">
        <f t="shared" si="42"/>
        <v>580</v>
      </c>
      <c r="G1150" s="5">
        <f t="shared" si="41"/>
        <v>1.0655172413793104</v>
      </c>
    </row>
    <row r="1151" spans="1:7" ht="13">
      <c r="A1151" s="4" t="s">
        <v>116</v>
      </c>
      <c r="B1151" s="1">
        <v>6.4</v>
      </c>
      <c r="C1151" s="1">
        <v>750</v>
      </c>
      <c r="D1151" s="1" t="s">
        <v>38</v>
      </c>
      <c r="E1151" s="1" t="s">
        <v>24</v>
      </c>
      <c r="F1151" s="1">
        <f t="shared" si="42"/>
        <v>640</v>
      </c>
      <c r="G1151" s="5">
        <f t="shared" si="41"/>
        <v>1.171875</v>
      </c>
    </row>
    <row r="1152" spans="1:7" ht="13">
      <c r="A1152" s="4" t="s">
        <v>116</v>
      </c>
      <c r="B1152" s="1">
        <v>6.4</v>
      </c>
      <c r="C1152" s="1">
        <v>630</v>
      </c>
      <c r="D1152" s="1" t="s">
        <v>37</v>
      </c>
      <c r="E1152" s="1" t="s">
        <v>20</v>
      </c>
      <c r="F1152" s="1">
        <f t="shared" si="42"/>
        <v>640</v>
      </c>
      <c r="G1152" s="5">
        <f t="shared" si="41"/>
        <v>0.984375</v>
      </c>
    </row>
    <row r="1153" spans="1:7" ht="13">
      <c r="A1153" s="4" t="s">
        <v>116</v>
      </c>
      <c r="B1153" s="1">
        <v>6</v>
      </c>
      <c r="C1153" s="1">
        <v>662</v>
      </c>
      <c r="D1153" s="1" t="s">
        <v>33</v>
      </c>
      <c r="E1153" s="1" t="s">
        <v>16</v>
      </c>
      <c r="F1153" s="1">
        <f t="shared" si="42"/>
        <v>600</v>
      </c>
      <c r="G1153" s="5">
        <f t="shared" si="41"/>
        <v>1.1033333333333333</v>
      </c>
    </row>
    <row r="1154" spans="1:7" ht="13">
      <c r="A1154" s="4" t="s">
        <v>116</v>
      </c>
      <c r="B1154" s="1">
        <v>7</v>
      </c>
      <c r="C1154" s="1">
        <v>887</v>
      </c>
      <c r="D1154" s="1" t="s">
        <v>11</v>
      </c>
      <c r="E1154" s="1" t="s">
        <v>8</v>
      </c>
      <c r="F1154" s="1">
        <f t="shared" si="42"/>
        <v>700</v>
      </c>
      <c r="G1154" s="5">
        <f t="shared" ref="G1154:G1217" si="43">C1154/F1154</f>
        <v>1.2671428571428571</v>
      </c>
    </row>
    <row r="1155" spans="1:7" ht="13">
      <c r="A1155" s="4" t="s">
        <v>116</v>
      </c>
      <c r="B1155" s="1">
        <v>5.2</v>
      </c>
      <c r="C1155" s="1">
        <v>559</v>
      </c>
      <c r="D1155" s="1" t="s">
        <v>39</v>
      </c>
      <c r="E1155" s="1" t="s">
        <v>25</v>
      </c>
      <c r="F1155" s="1">
        <f t="shared" ref="F1155:F1218" si="44">B1155*100</f>
        <v>520</v>
      </c>
      <c r="G1155" s="5">
        <f t="shared" si="43"/>
        <v>1.075</v>
      </c>
    </row>
    <row r="1156" spans="1:7" ht="13">
      <c r="A1156" s="4" t="s">
        <v>116</v>
      </c>
      <c r="B1156" s="1">
        <v>8.1999999999999993</v>
      </c>
      <c r="C1156" s="1">
        <v>868</v>
      </c>
      <c r="D1156" s="1" t="s">
        <v>67</v>
      </c>
      <c r="E1156" s="1" t="s">
        <v>16</v>
      </c>
      <c r="F1156" s="1">
        <f t="shared" si="44"/>
        <v>819.99999999999989</v>
      </c>
      <c r="G1156" s="5">
        <f t="shared" si="43"/>
        <v>1.0585365853658537</v>
      </c>
    </row>
    <row r="1157" spans="1:7" ht="13">
      <c r="A1157" s="4" t="s">
        <v>116</v>
      </c>
      <c r="B1157" s="1">
        <v>7.74</v>
      </c>
      <c r="C1157" s="1">
        <v>860</v>
      </c>
      <c r="D1157" s="1" t="s">
        <v>33</v>
      </c>
      <c r="E1157" s="1" t="s">
        <v>16</v>
      </c>
      <c r="F1157" s="1">
        <f t="shared" si="44"/>
        <v>774</v>
      </c>
      <c r="G1157" s="5">
        <f t="shared" si="43"/>
        <v>1.1111111111111112</v>
      </c>
    </row>
    <row r="1158" spans="1:7" ht="13">
      <c r="A1158" s="4" t="s">
        <v>116</v>
      </c>
      <c r="B1158" s="1">
        <v>7</v>
      </c>
      <c r="C1158" s="1">
        <v>745</v>
      </c>
      <c r="D1158" s="1" t="s">
        <v>33</v>
      </c>
      <c r="E1158" s="1" t="s">
        <v>20</v>
      </c>
      <c r="F1158" s="1">
        <f t="shared" si="44"/>
        <v>700</v>
      </c>
      <c r="G1158" s="5">
        <f t="shared" si="43"/>
        <v>1.0642857142857143</v>
      </c>
    </row>
    <row r="1159" spans="1:7" ht="13">
      <c r="A1159" s="4" t="s">
        <v>116</v>
      </c>
      <c r="B1159" s="1">
        <v>5</v>
      </c>
      <c r="C1159" s="1">
        <v>605</v>
      </c>
      <c r="D1159" s="1" t="s">
        <v>11</v>
      </c>
      <c r="E1159" s="1" t="s">
        <v>22</v>
      </c>
      <c r="F1159" s="1">
        <f t="shared" si="44"/>
        <v>500</v>
      </c>
      <c r="G1159" s="5">
        <f t="shared" si="43"/>
        <v>1.21</v>
      </c>
    </row>
    <row r="1160" spans="1:7" ht="13">
      <c r="A1160" s="4" t="s">
        <v>116</v>
      </c>
      <c r="B1160" s="1">
        <v>6</v>
      </c>
      <c r="C1160" s="1">
        <v>673</v>
      </c>
      <c r="D1160" s="1" t="s">
        <v>11</v>
      </c>
      <c r="E1160" s="1" t="s">
        <v>17</v>
      </c>
      <c r="F1160" s="1">
        <f t="shared" si="44"/>
        <v>600</v>
      </c>
      <c r="G1160" s="5">
        <f t="shared" si="43"/>
        <v>1.1216666666666666</v>
      </c>
    </row>
    <row r="1161" spans="1:7" ht="13">
      <c r="A1161" s="4" t="s">
        <v>116</v>
      </c>
      <c r="B1161" s="1">
        <v>6.88</v>
      </c>
      <c r="C1161" s="1">
        <v>867</v>
      </c>
      <c r="D1161" s="1" t="s">
        <v>11</v>
      </c>
      <c r="E1161" s="1" t="s">
        <v>8</v>
      </c>
      <c r="F1161" s="1">
        <f t="shared" si="44"/>
        <v>688</v>
      </c>
      <c r="G1161" s="5">
        <f t="shared" si="43"/>
        <v>1.2601744186046511</v>
      </c>
    </row>
    <row r="1162" spans="1:7" ht="13">
      <c r="A1162" s="4" t="s">
        <v>116</v>
      </c>
      <c r="B1162" s="1">
        <v>10</v>
      </c>
      <c r="C1162" s="1">
        <v>934</v>
      </c>
      <c r="D1162" s="1" t="s">
        <v>43</v>
      </c>
      <c r="E1162" s="1" t="s">
        <v>20</v>
      </c>
      <c r="F1162" s="1">
        <f t="shared" si="44"/>
        <v>1000</v>
      </c>
      <c r="G1162" s="5">
        <f t="shared" si="43"/>
        <v>0.93400000000000005</v>
      </c>
    </row>
    <row r="1163" spans="1:7" ht="13">
      <c r="A1163" s="4" t="s">
        <v>116</v>
      </c>
      <c r="B1163" s="1">
        <v>6.4</v>
      </c>
      <c r="C1163" s="1">
        <v>707.62</v>
      </c>
      <c r="D1163" s="1" t="s">
        <v>33</v>
      </c>
      <c r="E1163" s="1" t="s">
        <v>15</v>
      </c>
      <c r="F1163" s="1">
        <f t="shared" si="44"/>
        <v>640</v>
      </c>
      <c r="G1163" s="5">
        <f t="shared" si="43"/>
        <v>1.10565625</v>
      </c>
    </row>
    <row r="1164" spans="1:7" ht="13">
      <c r="A1164" s="4" t="s">
        <v>116</v>
      </c>
      <c r="B1164" s="1">
        <v>6.72</v>
      </c>
      <c r="C1164" s="1">
        <v>677</v>
      </c>
      <c r="D1164" s="1" t="s">
        <v>33</v>
      </c>
      <c r="E1164" s="1" t="s">
        <v>27</v>
      </c>
      <c r="F1164" s="1">
        <f t="shared" si="44"/>
        <v>672</v>
      </c>
      <c r="G1164" s="5">
        <f t="shared" si="43"/>
        <v>1.0074404761904763</v>
      </c>
    </row>
    <row r="1165" spans="1:7" ht="13">
      <c r="A1165" s="4" t="s">
        <v>116</v>
      </c>
      <c r="B1165" s="1">
        <v>8.6</v>
      </c>
      <c r="C1165" s="1">
        <v>915</v>
      </c>
      <c r="D1165" s="1" t="s">
        <v>11</v>
      </c>
      <c r="E1165" s="1" t="s">
        <v>68</v>
      </c>
      <c r="F1165" s="1">
        <f t="shared" si="44"/>
        <v>860</v>
      </c>
      <c r="G1165" s="5">
        <f t="shared" si="43"/>
        <v>1.0639534883720929</v>
      </c>
    </row>
    <row r="1166" spans="1:7" ht="13">
      <c r="A1166" s="4" t="s">
        <v>116</v>
      </c>
      <c r="B1166" s="1">
        <v>4.3</v>
      </c>
      <c r="C1166" s="1">
        <v>482</v>
      </c>
      <c r="D1166" s="1" t="s">
        <v>35</v>
      </c>
      <c r="E1166" s="1" t="s">
        <v>31</v>
      </c>
      <c r="F1166" s="1">
        <f t="shared" si="44"/>
        <v>430</v>
      </c>
      <c r="G1166" s="5">
        <f t="shared" si="43"/>
        <v>1.1209302325581396</v>
      </c>
    </row>
    <row r="1167" spans="1:7" ht="13">
      <c r="A1167" s="4" t="s">
        <v>116</v>
      </c>
      <c r="B1167" s="1">
        <v>7.8</v>
      </c>
      <c r="C1167" s="1">
        <v>823</v>
      </c>
      <c r="D1167" s="1" t="s">
        <v>42</v>
      </c>
      <c r="E1167" s="1" t="s">
        <v>49</v>
      </c>
      <c r="F1167" s="1">
        <f t="shared" si="44"/>
        <v>780</v>
      </c>
      <c r="G1167" s="5">
        <f t="shared" si="43"/>
        <v>1.0551282051282052</v>
      </c>
    </row>
    <row r="1168" spans="1:7" ht="13">
      <c r="A1168" s="4" t="s">
        <v>116</v>
      </c>
      <c r="B1168" s="1">
        <v>5.2</v>
      </c>
      <c r="C1168" s="1">
        <v>716</v>
      </c>
      <c r="D1168" s="1" t="s">
        <v>38</v>
      </c>
      <c r="E1168" s="1" t="s">
        <v>15</v>
      </c>
      <c r="F1168" s="1">
        <f t="shared" si="44"/>
        <v>520</v>
      </c>
      <c r="G1168" s="5">
        <f t="shared" si="43"/>
        <v>1.3769230769230769</v>
      </c>
    </row>
    <row r="1169" spans="1:7" ht="13">
      <c r="A1169" s="4" t="s">
        <v>116</v>
      </c>
      <c r="B1169" s="1">
        <v>2.9</v>
      </c>
      <c r="C1169" s="1">
        <v>370</v>
      </c>
      <c r="D1169" s="1" t="s">
        <v>40</v>
      </c>
      <c r="E1169" s="1" t="s">
        <v>16</v>
      </c>
      <c r="F1169" s="1">
        <f t="shared" si="44"/>
        <v>290</v>
      </c>
      <c r="G1169" s="5">
        <f t="shared" si="43"/>
        <v>1.2758620689655173</v>
      </c>
    </row>
    <row r="1170" spans="1:7" ht="13">
      <c r="A1170" s="4" t="s">
        <v>116</v>
      </c>
      <c r="B1170" s="1">
        <v>6.3</v>
      </c>
      <c r="C1170" s="1">
        <v>714</v>
      </c>
      <c r="D1170" s="1" t="s">
        <v>59</v>
      </c>
      <c r="E1170" s="1" t="s">
        <v>8</v>
      </c>
      <c r="F1170" s="1">
        <f t="shared" si="44"/>
        <v>630</v>
      </c>
      <c r="G1170" s="5">
        <f t="shared" si="43"/>
        <v>1.1333333333333333</v>
      </c>
    </row>
    <row r="1171" spans="1:7" ht="13">
      <c r="A1171" s="4" t="s">
        <v>116</v>
      </c>
      <c r="B1171" s="1">
        <v>6.72</v>
      </c>
      <c r="C1171" s="1">
        <v>843</v>
      </c>
      <c r="D1171" s="1" t="s">
        <v>11</v>
      </c>
      <c r="E1171" s="1" t="s">
        <v>15</v>
      </c>
      <c r="F1171" s="1">
        <f t="shared" si="44"/>
        <v>672</v>
      </c>
      <c r="G1171" s="5">
        <f t="shared" si="43"/>
        <v>1.2544642857142858</v>
      </c>
    </row>
    <row r="1172" spans="1:7" ht="13">
      <c r="A1172" s="4" t="s">
        <v>116</v>
      </c>
      <c r="B1172" s="1">
        <v>6</v>
      </c>
      <c r="C1172" s="1">
        <v>930</v>
      </c>
      <c r="D1172" s="1" t="s">
        <v>43</v>
      </c>
      <c r="E1172" s="1" t="s">
        <v>17</v>
      </c>
      <c r="F1172" s="1">
        <f t="shared" si="44"/>
        <v>600</v>
      </c>
      <c r="G1172" s="5">
        <f t="shared" si="43"/>
        <v>1.55</v>
      </c>
    </row>
    <row r="1173" spans="1:7" ht="13">
      <c r="A1173" s="4" t="s">
        <v>116</v>
      </c>
      <c r="B1173" s="1">
        <v>7.56</v>
      </c>
      <c r="C1173" s="1">
        <v>1006</v>
      </c>
      <c r="D1173" s="1" t="s">
        <v>11</v>
      </c>
      <c r="E1173" s="1" t="s">
        <v>9</v>
      </c>
      <c r="F1173" s="1">
        <f t="shared" si="44"/>
        <v>756</v>
      </c>
      <c r="G1173" s="5">
        <f t="shared" si="43"/>
        <v>1.3306878306878307</v>
      </c>
    </row>
    <row r="1174" spans="1:7" ht="13">
      <c r="A1174" s="4" t="s">
        <v>116</v>
      </c>
      <c r="B1174" s="1">
        <v>2.87</v>
      </c>
      <c r="C1174" s="1">
        <v>387</v>
      </c>
      <c r="D1174" s="1" t="s">
        <v>11</v>
      </c>
      <c r="E1174" s="1" t="s">
        <v>8</v>
      </c>
      <c r="F1174" s="1">
        <f t="shared" si="44"/>
        <v>287</v>
      </c>
      <c r="G1174" s="5">
        <f t="shared" si="43"/>
        <v>1.3484320557491289</v>
      </c>
    </row>
    <row r="1175" spans="1:7" ht="13">
      <c r="A1175" s="4" t="s">
        <v>116</v>
      </c>
      <c r="B1175" s="1">
        <v>6.7</v>
      </c>
      <c r="C1175" s="1">
        <v>934</v>
      </c>
      <c r="D1175" s="1" t="s">
        <v>11</v>
      </c>
      <c r="E1175" s="1" t="s">
        <v>8</v>
      </c>
      <c r="F1175" s="1">
        <f t="shared" si="44"/>
        <v>670</v>
      </c>
      <c r="G1175" s="5">
        <f t="shared" si="43"/>
        <v>1.3940298507462687</v>
      </c>
    </row>
    <row r="1176" spans="1:7" ht="13">
      <c r="A1176" s="4" t="s">
        <v>116</v>
      </c>
      <c r="B1176" s="1">
        <v>6.2</v>
      </c>
      <c r="C1176" s="1">
        <v>673</v>
      </c>
      <c r="D1176" s="1" t="s">
        <v>11</v>
      </c>
      <c r="E1176" s="1" t="s">
        <v>7</v>
      </c>
      <c r="F1176" s="1">
        <f t="shared" si="44"/>
        <v>620</v>
      </c>
      <c r="G1176" s="5">
        <f t="shared" si="43"/>
        <v>1.0854838709677419</v>
      </c>
    </row>
    <row r="1177" spans="1:7" ht="13">
      <c r="A1177" s="4" t="s">
        <v>116</v>
      </c>
      <c r="B1177" s="1">
        <v>8.9</v>
      </c>
      <c r="C1177" s="1">
        <v>805</v>
      </c>
      <c r="D1177" s="1" t="s">
        <v>43</v>
      </c>
      <c r="E1177" s="1" t="s">
        <v>25</v>
      </c>
      <c r="F1177" s="1">
        <f t="shared" si="44"/>
        <v>890</v>
      </c>
      <c r="G1177" s="5">
        <f t="shared" si="43"/>
        <v>0.9044943820224719</v>
      </c>
    </row>
    <row r="1178" spans="1:7" ht="13">
      <c r="A1178" s="4" t="s">
        <v>116</v>
      </c>
      <c r="B1178" s="1">
        <v>5.4</v>
      </c>
      <c r="C1178" s="1">
        <v>628</v>
      </c>
      <c r="D1178" s="1" t="s">
        <v>35</v>
      </c>
      <c r="E1178" s="1" t="s">
        <v>8</v>
      </c>
      <c r="F1178" s="1">
        <f t="shared" si="44"/>
        <v>540</v>
      </c>
      <c r="G1178" s="5">
        <f t="shared" si="43"/>
        <v>1.162962962962963</v>
      </c>
    </row>
    <row r="1179" spans="1:7" ht="13">
      <c r="A1179" s="4" t="s">
        <v>116</v>
      </c>
      <c r="B1179" s="1">
        <v>6.22</v>
      </c>
      <c r="C1179" s="1">
        <v>755</v>
      </c>
      <c r="D1179" s="1" t="s">
        <v>11</v>
      </c>
      <c r="E1179" s="1" t="s">
        <v>16</v>
      </c>
      <c r="F1179" s="1">
        <f t="shared" si="44"/>
        <v>622</v>
      </c>
      <c r="G1179" s="5">
        <f t="shared" si="43"/>
        <v>1.2138263665594855</v>
      </c>
    </row>
    <row r="1180" spans="1:7" ht="13">
      <c r="A1180" s="4" t="s">
        <v>116</v>
      </c>
      <c r="B1180" s="1">
        <v>4.51</v>
      </c>
      <c r="C1180" s="1">
        <v>451</v>
      </c>
      <c r="D1180" s="1" t="s">
        <v>43</v>
      </c>
      <c r="E1180" s="1" t="s">
        <v>16</v>
      </c>
      <c r="F1180" s="1">
        <f t="shared" si="44"/>
        <v>451</v>
      </c>
      <c r="G1180" s="5">
        <f t="shared" si="43"/>
        <v>1</v>
      </c>
    </row>
    <row r="1181" spans="1:7" ht="13">
      <c r="A1181" s="4" t="s">
        <v>116</v>
      </c>
      <c r="B1181" s="1">
        <v>8.4</v>
      </c>
      <c r="C1181" s="1">
        <v>931</v>
      </c>
      <c r="D1181" s="1" t="s">
        <v>33</v>
      </c>
      <c r="E1181" s="1" t="s">
        <v>10</v>
      </c>
      <c r="F1181" s="1">
        <f t="shared" si="44"/>
        <v>840</v>
      </c>
      <c r="G1181" s="5">
        <f t="shared" si="43"/>
        <v>1.1083333333333334</v>
      </c>
    </row>
    <row r="1182" spans="1:7" ht="13">
      <c r="A1182" s="4" t="s">
        <v>116</v>
      </c>
      <c r="B1182" s="1">
        <v>6.88</v>
      </c>
      <c r="C1182" s="1">
        <v>766</v>
      </c>
      <c r="D1182" s="1" t="s">
        <v>53</v>
      </c>
      <c r="E1182" s="1" t="s">
        <v>16</v>
      </c>
      <c r="F1182" s="1">
        <f t="shared" si="44"/>
        <v>688</v>
      </c>
      <c r="G1182" s="5">
        <f t="shared" si="43"/>
        <v>1.1133720930232558</v>
      </c>
    </row>
    <row r="1183" spans="1:7" ht="13">
      <c r="A1183" s="4" t="s">
        <v>116</v>
      </c>
      <c r="B1183" s="1">
        <v>6.96</v>
      </c>
      <c r="C1183" s="1">
        <v>794</v>
      </c>
      <c r="D1183" s="1" t="s">
        <v>92</v>
      </c>
      <c r="E1183" s="1" t="s">
        <v>9</v>
      </c>
      <c r="F1183" s="1">
        <f t="shared" si="44"/>
        <v>696</v>
      </c>
      <c r="G1183" s="5">
        <f t="shared" si="43"/>
        <v>1.1408045977011494</v>
      </c>
    </row>
    <row r="1184" spans="1:7" ht="13">
      <c r="A1184" s="4" t="s">
        <v>116</v>
      </c>
      <c r="B1184" s="1">
        <v>7.8</v>
      </c>
      <c r="C1184" s="1">
        <v>845</v>
      </c>
      <c r="D1184" s="1" t="s">
        <v>40</v>
      </c>
      <c r="E1184" s="1" t="s">
        <v>15</v>
      </c>
      <c r="F1184" s="1">
        <f t="shared" si="44"/>
        <v>780</v>
      </c>
      <c r="G1184" s="5">
        <f t="shared" si="43"/>
        <v>1.0833333333333333</v>
      </c>
    </row>
    <row r="1185" spans="1:7" ht="13">
      <c r="A1185" s="4" t="s">
        <v>116</v>
      </c>
      <c r="B1185" s="1">
        <v>7.3949999999999996</v>
      </c>
      <c r="C1185" s="1">
        <v>828</v>
      </c>
      <c r="D1185" s="1" t="s">
        <v>11</v>
      </c>
      <c r="E1185" s="1" t="s">
        <v>20</v>
      </c>
      <c r="F1185" s="1">
        <f t="shared" si="44"/>
        <v>739.5</v>
      </c>
      <c r="G1185" s="5">
        <f t="shared" si="43"/>
        <v>1.1196754563894524</v>
      </c>
    </row>
    <row r="1186" spans="1:7" ht="13">
      <c r="A1186" s="4" t="s">
        <v>116</v>
      </c>
      <c r="B1186" s="1">
        <v>5.6</v>
      </c>
      <c r="C1186" s="1">
        <v>680</v>
      </c>
      <c r="D1186" s="1" t="s">
        <v>33</v>
      </c>
      <c r="E1186" s="1" t="s">
        <v>12</v>
      </c>
      <c r="F1186" s="1">
        <f t="shared" si="44"/>
        <v>560</v>
      </c>
      <c r="G1186" s="5">
        <f t="shared" si="43"/>
        <v>1.2142857142857142</v>
      </c>
    </row>
    <row r="1187" spans="1:7" ht="13">
      <c r="A1187" s="4" t="s">
        <v>116</v>
      </c>
      <c r="B1187" s="1">
        <v>6.96</v>
      </c>
      <c r="C1187" s="1">
        <v>775</v>
      </c>
      <c r="D1187" s="1" t="s">
        <v>11</v>
      </c>
      <c r="E1187" s="1" t="s">
        <v>26</v>
      </c>
      <c r="F1187" s="1">
        <f t="shared" si="44"/>
        <v>696</v>
      </c>
      <c r="G1187" s="5">
        <f t="shared" si="43"/>
        <v>1.1135057471264367</v>
      </c>
    </row>
    <row r="1188" spans="1:7" ht="13">
      <c r="A1188" s="4" t="s">
        <v>116</v>
      </c>
      <c r="B1188" s="1">
        <v>7.4</v>
      </c>
      <c r="C1188" s="1">
        <v>794</v>
      </c>
      <c r="D1188" s="1" t="s">
        <v>47</v>
      </c>
      <c r="E1188" s="1" t="s">
        <v>17</v>
      </c>
      <c r="F1188" s="1">
        <f t="shared" si="44"/>
        <v>740</v>
      </c>
      <c r="G1188" s="5">
        <f t="shared" si="43"/>
        <v>1.0729729729729729</v>
      </c>
    </row>
    <row r="1189" spans="1:7" ht="13">
      <c r="A1189" s="4" t="s">
        <v>116</v>
      </c>
      <c r="B1189" s="1">
        <v>5.6</v>
      </c>
      <c r="C1189" s="1">
        <v>648</v>
      </c>
      <c r="D1189" s="1" t="s">
        <v>11</v>
      </c>
      <c r="E1189" s="1" t="s">
        <v>68</v>
      </c>
      <c r="F1189" s="1">
        <f t="shared" si="44"/>
        <v>560</v>
      </c>
      <c r="G1189" s="5">
        <f t="shared" si="43"/>
        <v>1.1571428571428573</v>
      </c>
    </row>
    <row r="1190" spans="1:7" ht="13">
      <c r="A1190" s="4" t="s">
        <v>116</v>
      </c>
      <c r="B1190" s="1">
        <v>4</v>
      </c>
      <c r="C1190" s="1">
        <v>492</v>
      </c>
      <c r="D1190" s="1" t="s">
        <v>11</v>
      </c>
      <c r="E1190" s="1" t="s">
        <v>9</v>
      </c>
      <c r="F1190" s="1">
        <f t="shared" si="44"/>
        <v>400</v>
      </c>
      <c r="G1190" s="5">
        <f t="shared" si="43"/>
        <v>1.23</v>
      </c>
    </row>
    <row r="1191" spans="1:7" ht="13">
      <c r="A1191" s="4" t="s">
        <v>116</v>
      </c>
      <c r="B1191" s="1">
        <v>6.3</v>
      </c>
      <c r="C1191" s="1">
        <v>635</v>
      </c>
      <c r="D1191" s="1" t="s">
        <v>43</v>
      </c>
      <c r="E1191" s="1" t="s">
        <v>15</v>
      </c>
      <c r="F1191" s="1">
        <f t="shared" si="44"/>
        <v>630</v>
      </c>
      <c r="G1191" s="5">
        <f t="shared" si="43"/>
        <v>1.0079365079365079</v>
      </c>
    </row>
    <row r="1192" spans="1:7" ht="13">
      <c r="A1192" s="4" t="s">
        <v>116</v>
      </c>
      <c r="B1192" s="1">
        <v>13.76</v>
      </c>
      <c r="C1192" s="1">
        <v>1349</v>
      </c>
      <c r="D1192" s="1" t="s">
        <v>33</v>
      </c>
      <c r="E1192" s="1" t="s">
        <v>23</v>
      </c>
      <c r="F1192" s="1">
        <f t="shared" si="44"/>
        <v>1376</v>
      </c>
      <c r="G1192" s="5">
        <f t="shared" si="43"/>
        <v>0.98037790697674421</v>
      </c>
    </row>
    <row r="1193" spans="1:7" ht="13">
      <c r="A1193" s="4" t="s">
        <v>116</v>
      </c>
      <c r="B1193" s="1">
        <v>6.96</v>
      </c>
      <c r="C1193" s="1">
        <v>779</v>
      </c>
      <c r="D1193" s="1" t="s">
        <v>38</v>
      </c>
      <c r="E1193" s="1" t="s">
        <v>8</v>
      </c>
      <c r="F1193" s="1">
        <f t="shared" si="44"/>
        <v>696</v>
      </c>
      <c r="G1193" s="5">
        <f t="shared" si="43"/>
        <v>1.1192528735632183</v>
      </c>
    </row>
    <row r="1194" spans="1:7" ht="13">
      <c r="A1194" s="4" t="s">
        <v>116</v>
      </c>
      <c r="B1194" s="1">
        <v>6.8</v>
      </c>
      <c r="C1194" s="1">
        <v>759</v>
      </c>
      <c r="D1194" s="1" t="s">
        <v>38</v>
      </c>
      <c r="E1194" s="1" t="s">
        <v>41</v>
      </c>
      <c r="F1194" s="1">
        <f t="shared" si="44"/>
        <v>680</v>
      </c>
      <c r="G1194" s="5">
        <f t="shared" si="43"/>
        <v>1.1161764705882353</v>
      </c>
    </row>
    <row r="1195" spans="1:7" ht="13">
      <c r="A1195" s="4" t="s">
        <v>116</v>
      </c>
      <c r="B1195" s="1">
        <v>4.3</v>
      </c>
      <c r="C1195" s="1">
        <v>539</v>
      </c>
      <c r="D1195" s="1" t="s">
        <v>11</v>
      </c>
      <c r="E1195" s="1" t="s">
        <v>15</v>
      </c>
      <c r="F1195" s="1">
        <f t="shared" si="44"/>
        <v>430</v>
      </c>
      <c r="G1195" s="5">
        <f t="shared" si="43"/>
        <v>1.2534883720930232</v>
      </c>
    </row>
    <row r="1196" spans="1:7" ht="13">
      <c r="A1196" s="4" t="s">
        <v>116</v>
      </c>
      <c r="B1196" s="1">
        <v>6</v>
      </c>
      <c r="C1196" s="1">
        <v>42.28</v>
      </c>
      <c r="D1196" s="1" t="s">
        <v>11</v>
      </c>
      <c r="E1196" s="1" t="s">
        <v>27</v>
      </c>
      <c r="F1196" s="1">
        <f t="shared" si="44"/>
        <v>600</v>
      </c>
      <c r="G1196" s="5">
        <f t="shared" si="43"/>
        <v>7.0466666666666664E-2</v>
      </c>
    </row>
    <row r="1197" spans="1:7" ht="13">
      <c r="A1197" s="4" t="s">
        <v>116</v>
      </c>
      <c r="B1197" s="1">
        <v>5.6</v>
      </c>
      <c r="C1197" s="1">
        <v>586</v>
      </c>
      <c r="D1197" s="1" t="s">
        <v>33</v>
      </c>
      <c r="E1197" s="1" t="s">
        <v>8</v>
      </c>
      <c r="F1197" s="1">
        <f t="shared" si="44"/>
        <v>560</v>
      </c>
      <c r="G1197" s="5">
        <f t="shared" si="43"/>
        <v>1.0464285714285715</v>
      </c>
    </row>
    <row r="1198" spans="1:7" ht="13">
      <c r="A1198" s="4" t="s">
        <v>116</v>
      </c>
      <c r="B1198" s="1">
        <v>8.8000000000000007</v>
      </c>
      <c r="C1198" s="1">
        <v>796</v>
      </c>
      <c r="D1198" s="1" t="s">
        <v>47</v>
      </c>
      <c r="E1198" s="1" t="s">
        <v>30</v>
      </c>
      <c r="F1198" s="1">
        <f t="shared" si="44"/>
        <v>880.00000000000011</v>
      </c>
      <c r="G1198" s="5">
        <f t="shared" si="43"/>
        <v>0.90454545454545443</v>
      </c>
    </row>
    <row r="1199" spans="1:7" ht="13">
      <c r="A1199" s="4" t="s">
        <v>116</v>
      </c>
      <c r="B1199" s="1">
        <v>6</v>
      </c>
      <c r="C1199" s="1">
        <v>713</v>
      </c>
      <c r="D1199" s="1" t="s">
        <v>11</v>
      </c>
      <c r="E1199" s="1" t="s">
        <v>27</v>
      </c>
      <c r="F1199" s="1">
        <f t="shared" si="44"/>
        <v>600</v>
      </c>
      <c r="G1199" s="5">
        <f t="shared" si="43"/>
        <v>1.1883333333333332</v>
      </c>
    </row>
    <row r="1200" spans="1:7" ht="13">
      <c r="A1200" s="4" t="s">
        <v>116</v>
      </c>
      <c r="B1200" s="1">
        <v>7.56</v>
      </c>
      <c r="C1200" s="1">
        <v>899</v>
      </c>
      <c r="D1200" s="1" t="s">
        <v>11</v>
      </c>
      <c r="E1200" s="1" t="s">
        <v>7</v>
      </c>
      <c r="F1200" s="1">
        <f t="shared" si="44"/>
        <v>756</v>
      </c>
      <c r="G1200" s="5">
        <f t="shared" si="43"/>
        <v>1.1891534391534391</v>
      </c>
    </row>
    <row r="1201" spans="1:7" ht="13">
      <c r="A1201" s="4" t="s">
        <v>116</v>
      </c>
      <c r="B1201" s="1">
        <v>4.2</v>
      </c>
      <c r="C1201" s="1">
        <v>520</v>
      </c>
      <c r="D1201" s="1" t="s">
        <v>11</v>
      </c>
      <c r="E1201" s="1" t="s">
        <v>15</v>
      </c>
      <c r="F1201" s="1">
        <f t="shared" si="44"/>
        <v>420</v>
      </c>
      <c r="G1201" s="5">
        <f t="shared" si="43"/>
        <v>1.2380952380952381</v>
      </c>
    </row>
    <row r="1202" spans="1:7" ht="13">
      <c r="A1202" s="4" t="s">
        <v>116</v>
      </c>
      <c r="B1202" s="1">
        <v>5.2</v>
      </c>
      <c r="C1202" s="1">
        <v>671</v>
      </c>
      <c r="D1202" s="1" t="s">
        <v>39</v>
      </c>
      <c r="E1202" s="1" t="s">
        <v>8</v>
      </c>
      <c r="F1202" s="1">
        <f t="shared" si="44"/>
        <v>520</v>
      </c>
      <c r="G1202" s="5">
        <f t="shared" si="43"/>
        <v>1.2903846153846155</v>
      </c>
    </row>
    <row r="1203" spans="1:7" ht="13">
      <c r="A1203" s="4" t="s">
        <v>116</v>
      </c>
      <c r="B1203" s="1">
        <v>5</v>
      </c>
      <c r="C1203" s="1">
        <v>645</v>
      </c>
      <c r="D1203" s="1" t="s">
        <v>38</v>
      </c>
      <c r="E1203" s="1" t="s">
        <v>8</v>
      </c>
      <c r="F1203" s="1">
        <f t="shared" si="44"/>
        <v>500</v>
      </c>
      <c r="G1203" s="5">
        <f t="shared" si="43"/>
        <v>1.29</v>
      </c>
    </row>
    <row r="1204" spans="1:7" ht="13">
      <c r="A1204" s="4" t="s">
        <v>116</v>
      </c>
      <c r="B1204" s="1">
        <v>7.74</v>
      </c>
      <c r="C1204" s="1">
        <v>829</v>
      </c>
      <c r="D1204" s="1" t="s">
        <v>11</v>
      </c>
      <c r="E1204" s="1" t="s">
        <v>30</v>
      </c>
      <c r="F1204" s="1">
        <f t="shared" si="44"/>
        <v>774</v>
      </c>
      <c r="G1204" s="5">
        <f t="shared" si="43"/>
        <v>1.0710594315245479</v>
      </c>
    </row>
    <row r="1205" spans="1:7" ht="13">
      <c r="A1205" s="4" t="s">
        <v>116</v>
      </c>
      <c r="B1205" s="1">
        <v>5.92</v>
      </c>
      <c r="C1205" s="1">
        <v>670</v>
      </c>
      <c r="D1205" s="1" t="s">
        <v>11</v>
      </c>
      <c r="E1205" s="1" t="s">
        <v>17</v>
      </c>
      <c r="F1205" s="1">
        <f t="shared" si="44"/>
        <v>592</v>
      </c>
      <c r="G1205" s="5">
        <f t="shared" si="43"/>
        <v>1.1317567567567568</v>
      </c>
    </row>
    <row r="1206" spans="1:7" ht="13">
      <c r="A1206" s="4" t="s">
        <v>116</v>
      </c>
      <c r="B1206" s="1">
        <v>16.5</v>
      </c>
      <c r="C1206" s="1">
        <v>1403</v>
      </c>
      <c r="D1206" s="1" t="s">
        <v>45</v>
      </c>
      <c r="E1206" s="1" t="s">
        <v>25</v>
      </c>
      <c r="F1206" s="1">
        <f t="shared" si="44"/>
        <v>1650</v>
      </c>
      <c r="G1206" s="5">
        <f t="shared" si="43"/>
        <v>0.85030303030303034</v>
      </c>
    </row>
    <row r="1207" spans="1:7" ht="13">
      <c r="A1207" s="4" t="s">
        <v>116</v>
      </c>
      <c r="B1207" s="1">
        <v>5.0999999999999996</v>
      </c>
      <c r="C1207" s="1">
        <v>647</v>
      </c>
      <c r="D1207" s="1" t="s">
        <v>11</v>
      </c>
      <c r="E1207" s="1" t="s">
        <v>26</v>
      </c>
      <c r="F1207" s="1">
        <f t="shared" si="44"/>
        <v>509.99999999999994</v>
      </c>
      <c r="G1207" s="5">
        <f t="shared" si="43"/>
        <v>1.2686274509803923</v>
      </c>
    </row>
    <row r="1208" spans="1:7" ht="13">
      <c r="A1208" s="4" t="s">
        <v>116</v>
      </c>
      <c r="B1208" s="1">
        <v>4.32</v>
      </c>
      <c r="C1208" s="1">
        <v>424</v>
      </c>
      <c r="D1208" s="1" t="s">
        <v>11</v>
      </c>
      <c r="E1208" s="1" t="s">
        <v>12</v>
      </c>
      <c r="F1208" s="1">
        <f t="shared" si="44"/>
        <v>432</v>
      </c>
      <c r="G1208" s="5">
        <f t="shared" si="43"/>
        <v>0.98148148148148151</v>
      </c>
    </row>
    <row r="1209" spans="1:7" ht="13">
      <c r="A1209" s="4" t="s">
        <v>116</v>
      </c>
      <c r="B1209" s="1">
        <v>5</v>
      </c>
      <c r="C1209" s="1">
        <v>798</v>
      </c>
      <c r="D1209" s="1" t="s">
        <v>33</v>
      </c>
      <c r="E1209" s="1" t="s">
        <v>32</v>
      </c>
      <c r="F1209" s="1">
        <f t="shared" si="44"/>
        <v>500</v>
      </c>
      <c r="G1209" s="5">
        <f t="shared" si="43"/>
        <v>1.5960000000000001</v>
      </c>
    </row>
    <row r="1210" spans="1:7" ht="13">
      <c r="A1210" s="4" t="s">
        <v>116</v>
      </c>
      <c r="B1210" s="1">
        <v>4.7</v>
      </c>
      <c r="C1210" s="1">
        <v>564</v>
      </c>
      <c r="D1210" s="1" t="s">
        <v>40</v>
      </c>
      <c r="E1210" s="1" t="s">
        <v>26</v>
      </c>
      <c r="F1210" s="1">
        <f t="shared" si="44"/>
        <v>470</v>
      </c>
      <c r="G1210" s="5">
        <f t="shared" si="43"/>
        <v>1.2</v>
      </c>
    </row>
    <row r="1211" spans="1:7" ht="13">
      <c r="A1211" s="4" t="s">
        <v>116</v>
      </c>
      <c r="B1211" s="1">
        <v>7.5</v>
      </c>
      <c r="C1211" s="1">
        <v>793</v>
      </c>
      <c r="D1211" s="1" t="s">
        <v>11</v>
      </c>
      <c r="E1211" s="1" t="s">
        <v>27</v>
      </c>
      <c r="F1211" s="1">
        <f t="shared" si="44"/>
        <v>750</v>
      </c>
      <c r="G1211" s="5">
        <f t="shared" si="43"/>
        <v>1.0573333333333332</v>
      </c>
    </row>
    <row r="1212" spans="1:7" ht="13">
      <c r="A1212" s="4" t="s">
        <v>116</v>
      </c>
      <c r="B1212" s="1">
        <v>6.88</v>
      </c>
      <c r="C1212" s="1">
        <v>784</v>
      </c>
      <c r="D1212" s="1" t="s">
        <v>11</v>
      </c>
      <c r="E1212" s="1" t="s">
        <v>8</v>
      </c>
      <c r="F1212" s="1">
        <f t="shared" si="44"/>
        <v>688</v>
      </c>
      <c r="G1212" s="5">
        <f t="shared" si="43"/>
        <v>1.1395348837209303</v>
      </c>
    </row>
    <row r="1213" spans="1:7" ht="13">
      <c r="A1213" s="4" t="s">
        <v>116</v>
      </c>
      <c r="B1213" s="1">
        <v>7.7</v>
      </c>
      <c r="C1213" s="1">
        <v>850</v>
      </c>
      <c r="D1213" s="1" t="s">
        <v>11</v>
      </c>
      <c r="E1213" s="1" t="s">
        <v>25</v>
      </c>
      <c r="F1213" s="1">
        <f t="shared" si="44"/>
        <v>770</v>
      </c>
      <c r="G1213" s="5">
        <f t="shared" si="43"/>
        <v>1.1038961038961039</v>
      </c>
    </row>
    <row r="1214" spans="1:7" ht="13">
      <c r="A1214" s="4" t="s">
        <v>116</v>
      </c>
      <c r="B1214" s="1">
        <v>7.56</v>
      </c>
      <c r="C1214" s="1">
        <v>776</v>
      </c>
      <c r="D1214" s="1" t="s">
        <v>77</v>
      </c>
      <c r="E1214" s="1" t="s">
        <v>17</v>
      </c>
      <c r="F1214" s="1">
        <f t="shared" si="44"/>
        <v>756</v>
      </c>
      <c r="G1214" s="5">
        <f t="shared" si="43"/>
        <v>1.0264550264550265</v>
      </c>
    </row>
    <row r="1215" spans="1:7" ht="13">
      <c r="A1215" s="4" t="s">
        <v>116</v>
      </c>
      <c r="B1215" s="1">
        <v>19.600000000000001</v>
      </c>
      <c r="C1215" s="1">
        <v>2205</v>
      </c>
      <c r="D1215" s="1" t="s">
        <v>11</v>
      </c>
      <c r="E1215" s="1" t="s">
        <v>23</v>
      </c>
      <c r="F1215" s="1">
        <f t="shared" si="44"/>
        <v>1960.0000000000002</v>
      </c>
      <c r="G1215" s="5">
        <f t="shared" si="43"/>
        <v>1.1249999999999998</v>
      </c>
    </row>
    <row r="1216" spans="1:7" ht="13">
      <c r="A1216" s="4" t="s">
        <v>116</v>
      </c>
      <c r="B1216" s="1">
        <v>2.7</v>
      </c>
      <c r="C1216" s="1">
        <v>326</v>
      </c>
      <c r="D1216" s="1" t="s">
        <v>11</v>
      </c>
      <c r="E1216" s="1" t="s">
        <v>8</v>
      </c>
      <c r="F1216" s="1">
        <f t="shared" si="44"/>
        <v>270</v>
      </c>
      <c r="G1216" s="5">
        <f t="shared" si="43"/>
        <v>1.2074074074074075</v>
      </c>
    </row>
    <row r="1217" spans="1:7" ht="13">
      <c r="A1217" s="4" t="s">
        <v>116</v>
      </c>
      <c r="B1217" s="1">
        <v>7.15</v>
      </c>
      <c r="C1217" s="1">
        <v>827</v>
      </c>
      <c r="D1217" s="1" t="s">
        <v>45</v>
      </c>
      <c r="E1217" s="1" t="s">
        <v>26</v>
      </c>
      <c r="F1217" s="1">
        <f t="shared" si="44"/>
        <v>715</v>
      </c>
      <c r="G1217" s="5">
        <f t="shared" si="43"/>
        <v>1.1566433566433567</v>
      </c>
    </row>
    <row r="1218" spans="1:7" ht="13">
      <c r="A1218" s="4" t="s">
        <v>116</v>
      </c>
      <c r="B1218" s="1">
        <v>7.4</v>
      </c>
      <c r="C1218" s="1">
        <v>820</v>
      </c>
      <c r="D1218" s="1" t="s">
        <v>33</v>
      </c>
      <c r="E1218" s="1" t="s">
        <v>23</v>
      </c>
      <c r="F1218" s="1">
        <f t="shared" si="44"/>
        <v>740</v>
      </c>
      <c r="G1218" s="5">
        <f t="shared" ref="G1218:G1281" si="45">C1218/F1218</f>
        <v>1.1081081081081081</v>
      </c>
    </row>
    <row r="1219" spans="1:7" ht="13">
      <c r="A1219" s="4" t="s">
        <v>116</v>
      </c>
      <c r="B1219" s="1">
        <v>6</v>
      </c>
      <c r="C1219" s="1">
        <v>686</v>
      </c>
      <c r="D1219" s="1" t="s">
        <v>11</v>
      </c>
      <c r="E1219" s="1" t="s">
        <v>19</v>
      </c>
      <c r="F1219" s="1">
        <f t="shared" ref="F1219:F1282" si="46">B1219*100</f>
        <v>600</v>
      </c>
      <c r="G1219" s="5">
        <f t="shared" si="45"/>
        <v>1.1433333333333333</v>
      </c>
    </row>
    <row r="1220" spans="1:7" ht="13">
      <c r="A1220" s="4" t="s">
        <v>116</v>
      </c>
      <c r="B1220" s="1">
        <v>6</v>
      </c>
      <c r="C1220" s="1">
        <v>734</v>
      </c>
      <c r="D1220" s="1" t="s">
        <v>42</v>
      </c>
      <c r="E1220" s="1" t="s">
        <v>9</v>
      </c>
      <c r="F1220" s="1">
        <f t="shared" si="46"/>
        <v>600</v>
      </c>
      <c r="G1220" s="5">
        <f t="shared" si="45"/>
        <v>1.2233333333333334</v>
      </c>
    </row>
    <row r="1221" spans="1:7" ht="13">
      <c r="A1221" s="4" t="s">
        <v>116</v>
      </c>
      <c r="B1221" s="1">
        <v>4.3</v>
      </c>
      <c r="C1221" s="1">
        <v>436</v>
      </c>
      <c r="D1221" s="1" t="s">
        <v>44</v>
      </c>
      <c r="E1221" s="1" t="s">
        <v>15</v>
      </c>
      <c r="F1221" s="1">
        <f t="shared" si="46"/>
        <v>430</v>
      </c>
      <c r="G1221" s="5">
        <f t="shared" si="45"/>
        <v>1.0139534883720931</v>
      </c>
    </row>
    <row r="1222" spans="1:7" ht="13">
      <c r="A1222" s="4" t="s">
        <v>116</v>
      </c>
      <c r="B1222" s="1">
        <v>6</v>
      </c>
      <c r="C1222" s="1">
        <v>710</v>
      </c>
      <c r="D1222" s="1" t="s">
        <v>33</v>
      </c>
      <c r="E1222" s="1" t="s">
        <v>9</v>
      </c>
      <c r="F1222" s="1">
        <f t="shared" si="46"/>
        <v>600</v>
      </c>
      <c r="G1222" s="5">
        <f t="shared" si="45"/>
        <v>1.1833333333333333</v>
      </c>
    </row>
    <row r="1223" spans="1:7" ht="13">
      <c r="A1223" s="4" t="s">
        <v>116</v>
      </c>
      <c r="B1223" s="1">
        <v>5</v>
      </c>
      <c r="C1223" s="1">
        <v>554</v>
      </c>
      <c r="D1223" s="1" t="s">
        <v>66</v>
      </c>
      <c r="E1223" s="1" t="s">
        <v>17</v>
      </c>
      <c r="F1223" s="1">
        <f t="shared" si="46"/>
        <v>500</v>
      </c>
      <c r="G1223" s="5">
        <f t="shared" si="45"/>
        <v>1.1080000000000001</v>
      </c>
    </row>
    <row r="1224" spans="1:7" ht="13">
      <c r="A1224" s="4" t="s">
        <v>116</v>
      </c>
      <c r="B1224" s="1">
        <v>3.48</v>
      </c>
      <c r="C1224" s="1">
        <v>392</v>
      </c>
      <c r="D1224" s="1" t="s">
        <v>38</v>
      </c>
      <c r="E1224" s="1" t="s">
        <v>7</v>
      </c>
      <c r="F1224" s="1">
        <f t="shared" si="46"/>
        <v>348</v>
      </c>
      <c r="G1224" s="5">
        <f t="shared" si="45"/>
        <v>1.1264367816091954</v>
      </c>
    </row>
    <row r="1225" spans="1:7" ht="13">
      <c r="A1225" s="4" t="s">
        <v>116</v>
      </c>
      <c r="B1225" s="1">
        <v>7.39</v>
      </c>
      <c r="C1225" s="1">
        <v>714</v>
      </c>
      <c r="D1225" s="1" t="s">
        <v>42</v>
      </c>
      <c r="E1225" s="1" t="s">
        <v>25</v>
      </c>
      <c r="F1225" s="1">
        <f t="shared" si="46"/>
        <v>739</v>
      </c>
      <c r="G1225" s="5">
        <f t="shared" si="45"/>
        <v>0.96617050067658994</v>
      </c>
    </row>
    <row r="1226" spans="1:7" ht="13">
      <c r="A1226" s="4" t="s">
        <v>116</v>
      </c>
      <c r="B1226" s="1">
        <v>7.76</v>
      </c>
      <c r="C1226" s="1">
        <v>914</v>
      </c>
      <c r="D1226" s="1" t="s">
        <v>11</v>
      </c>
      <c r="E1226" s="1" t="s">
        <v>16</v>
      </c>
      <c r="F1226" s="1">
        <f t="shared" si="46"/>
        <v>776</v>
      </c>
      <c r="G1226" s="5">
        <f t="shared" si="45"/>
        <v>1.1778350515463918</v>
      </c>
    </row>
    <row r="1227" spans="1:7" ht="13">
      <c r="A1227" s="4" t="s">
        <v>116</v>
      </c>
      <c r="B1227" s="1">
        <v>5.12</v>
      </c>
      <c r="C1227" s="1">
        <v>563</v>
      </c>
      <c r="D1227" s="1" t="s">
        <v>11</v>
      </c>
      <c r="E1227" s="1" t="s">
        <v>16</v>
      </c>
      <c r="F1227" s="1">
        <f t="shared" si="46"/>
        <v>512</v>
      </c>
      <c r="G1227" s="5">
        <f t="shared" si="45"/>
        <v>1.099609375</v>
      </c>
    </row>
    <row r="1228" spans="1:7" ht="13">
      <c r="A1228" s="4" t="s">
        <v>116</v>
      </c>
      <c r="B1228" s="1">
        <v>6.5</v>
      </c>
      <c r="C1228" s="1">
        <v>820</v>
      </c>
      <c r="D1228" s="1" t="s">
        <v>11</v>
      </c>
      <c r="E1228" s="1" t="s">
        <v>24</v>
      </c>
      <c r="F1228" s="1">
        <f t="shared" si="46"/>
        <v>650</v>
      </c>
      <c r="G1228" s="5">
        <f t="shared" si="45"/>
        <v>1.2615384615384615</v>
      </c>
    </row>
    <row r="1229" spans="1:7" ht="13">
      <c r="A1229" s="4" t="s">
        <v>116</v>
      </c>
      <c r="B1229" s="1">
        <v>6.5</v>
      </c>
      <c r="C1229" s="1">
        <v>677</v>
      </c>
      <c r="D1229" s="1" t="s">
        <v>39</v>
      </c>
      <c r="E1229" s="1" t="s">
        <v>30</v>
      </c>
      <c r="F1229" s="1">
        <f t="shared" si="46"/>
        <v>650</v>
      </c>
      <c r="G1229" s="5">
        <f t="shared" si="45"/>
        <v>1.0415384615384615</v>
      </c>
    </row>
    <row r="1230" spans="1:7" ht="13">
      <c r="A1230" s="4" t="s">
        <v>116</v>
      </c>
      <c r="B1230" s="1">
        <v>4</v>
      </c>
      <c r="C1230" s="1">
        <v>443</v>
      </c>
      <c r="D1230" s="1" t="s">
        <v>43</v>
      </c>
      <c r="E1230" s="1" t="s">
        <v>20</v>
      </c>
      <c r="F1230" s="1">
        <f t="shared" si="46"/>
        <v>400</v>
      </c>
      <c r="G1230" s="5">
        <f t="shared" si="45"/>
        <v>1.1074999999999999</v>
      </c>
    </row>
    <row r="1231" spans="1:7" ht="13">
      <c r="A1231" s="4" t="s">
        <v>116</v>
      </c>
      <c r="B1231" s="1">
        <v>5.5</v>
      </c>
      <c r="C1231" s="1">
        <v>738.3</v>
      </c>
      <c r="D1231" s="1" t="s">
        <v>11</v>
      </c>
      <c r="E1231" s="1" t="s">
        <v>22</v>
      </c>
      <c r="F1231" s="1">
        <f t="shared" si="46"/>
        <v>550</v>
      </c>
      <c r="G1231" s="5">
        <f t="shared" si="45"/>
        <v>1.3423636363636362</v>
      </c>
    </row>
    <row r="1232" spans="1:7" ht="13">
      <c r="A1232" s="4" t="s">
        <v>116</v>
      </c>
      <c r="B1232" s="1">
        <v>4.9000000000000004</v>
      </c>
      <c r="C1232" s="1">
        <v>552</v>
      </c>
      <c r="D1232" s="1" t="s">
        <v>44</v>
      </c>
      <c r="E1232" s="1" t="s">
        <v>15</v>
      </c>
      <c r="F1232" s="1">
        <f t="shared" si="46"/>
        <v>490.00000000000006</v>
      </c>
      <c r="G1232" s="5">
        <f t="shared" si="45"/>
        <v>1.1265306122448979</v>
      </c>
    </row>
    <row r="1233" spans="1:7" ht="13">
      <c r="A1233" s="4" t="s">
        <v>116</v>
      </c>
      <c r="B1233" s="1">
        <v>6.1</v>
      </c>
      <c r="C1233" s="1">
        <v>657</v>
      </c>
      <c r="D1233" s="1" t="s">
        <v>39</v>
      </c>
      <c r="E1233" s="1" t="s">
        <v>17</v>
      </c>
      <c r="F1233" s="1">
        <f t="shared" si="46"/>
        <v>610</v>
      </c>
      <c r="G1233" s="5">
        <f t="shared" si="45"/>
        <v>1.0770491803278688</v>
      </c>
    </row>
    <row r="1234" spans="1:7" ht="13">
      <c r="A1234" s="4" t="s">
        <v>116</v>
      </c>
      <c r="B1234" s="1">
        <v>5.8</v>
      </c>
      <c r="C1234" s="1">
        <v>731</v>
      </c>
      <c r="D1234" s="1" t="s">
        <v>11</v>
      </c>
      <c r="E1234" s="1" t="s">
        <v>8</v>
      </c>
      <c r="F1234" s="1">
        <f t="shared" si="46"/>
        <v>580</v>
      </c>
      <c r="G1234" s="5">
        <f t="shared" si="45"/>
        <v>1.2603448275862068</v>
      </c>
    </row>
    <row r="1235" spans="1:7" ht="13">
      <c r="A1235" s="4" t="s">
        <v>116</v>
      </c>
      <c r="B1235" s="1">
        <v>6.88</v>
      </c>
      <c r="C1235" s="1">
        <v>834</v>
      </c>
      <c r="D1235" s="1" t="s">
        <v>53</v>
      </c>
      <c r="E1235" s="1" t="s">
        <v>20</v>
      </c>
      <c r="F1235" s="1">
        <f t="shared" si="46"/>
        <v>688</v>
      </c>
      <c r="G1235" s="5">
        <f t="shared" si="45"/>
        <v>1.2122093023255813</v>
      </c>
    </row>
    <row r="1236" spans="1:7" ht="13">
      <c r="A1236" s="4" t="s">
        <v>116</v>
      </c>
      <c r="B1236" s="1">
        <v>6.4</v>
      </c>
      <c r="C1236" s="1">
        <v>720</v>
      </c>
      <c r="D1236" s="1" t="s">
        <v>42</v>
      </c>
      <c r="E1236" s="1" t="s">
        <v>18</v>
      </c>
      <c r="F1236" s="1">
        <f t="shared" si="46"/>
        <v>640</v>
      </c>
      <c r="G1236" s="5">
        <f t="shared" si="45"/>
        <v>1.125</v>
      </c>
    </row>
    <row r="1237" spans="1:7" ht="13">
      <c r="A1237" s="4" t="s">
        <v>116</v>
      </c>
      <c r="B1237" s="1">
        <v>9.1</v>
      </c>
      <c r="C1237" s="1">
        <v>843</v>
      </c>
      <c r="D1237" s="1" t="s">
        <v>37</v>
      </c>
      <c r="E1237" s="1" t="s">
        <v>18</v>
      </c>
      <c r="F1237" s="1">
        <f t="shared" si="46"/>
        <v>910</v>
      </c>
      <c r="G1237" s="5">
        <f t="shared" si="45"/>
        <v>0.92637362637362641</v>
      </c>
    </row>
    <row r="1238" spans="1:7" ht="13">
      <c r="A1238" s="4" t="s">
        <v>116</v>
      </c>
      <c r="B1238" s="1">
        <v>6</v>
      </c>
      <c r="C1238" s="1">
        <v>683</v>
      </c>
      <c r="D1238" s="1" t="s">
        <v>11</v>
      </c>
      <c r="E1238" s="1" t="s">
        <v>22</v>
      </c>
      <c r="F1238" s="1">
        <f t="shared" si="46"/>
        <v>600</v>
      </c>
      <c r="G1238" s="5">
        <f t="shared" si="45"/>
        <v>1.1383333333333334</v>
      </c>
    </row>
    <row r="1239" spans="1:7" ht="13">
      <c r="A1239" s="4" t="s">
        <v>116</v>
      </c>
      <c r="B1239" s="1">
        <v>4</v>
      </c>
      <c r="C1239" s="1">
        <v>384</v>
      </c>
      <c r="D1239" s="1" t="s">
        <v>11</v>
      </c>
      <c r="E1239" s="1" t="s">
        <v>28</v>
      </c>
      <c r="F1239" s="1">
        <f t="shared" si="46"/>
        <v>400</v>
      </c>
      <c r="G1239" s="5">
        <f t="shared" si="45"/>
        <v>0.96</v>
      </c>
    </row>
    <row r="1240" spans="1:7" ht="13">
      <c r="A1240" s="4" t="s">
        <v>116</v>
      </c>
      <c r="B1240" s="1">
        <v>4</v>
      </c>
      <c r="C1240" s="1">
        <v>465</v>
      </c>
      <c r="D1240" s="1" t="s">
        <v>11</v>
      </c>
      <c r="E1240" s="1" t="s">
        <v>20</v>
      </c>
      <c r="F1240" s="1">
        <f t="shared" si="46"/>
        <v>400</v>
      </c>
      <c r="G1240" s="5">
        <f t="shared" si="45"/>
        <v>1.1625000000000001</v>
      </c>
    </row>
    <row r="1241" spans="1:7" ht="13">
      <c r="A1241" s="4" t="s">
        <v>116</v>
      </c>
      <c r="B1241" s="1">
        <v>6.88</v>
      </c>
      <c r="C1241" s="1">
        <v>809</v>
      </c>
      <c r="D1241" s="1" t="s">
        <v>33</v>
      </c>
      <c r="E1241" s="1" t="s">
        <v>10</v>
      </c>
      <c r="F1241" s="1">
        <f t="shared" si="46"/>
        <v>688</v>
      </c>
      <c r="G1241" s="5">
        <f t="shared" si="45"/>
        <v>1.1758720930232558</v>
      </c>
    </row>
    <row r="1242" spans="1:7" ht="13">
      <c r="A1242" s="4" t="s">
        <v>116</v>
      </c>
      <c r="B1242" s="1">
        <v>6.33</v>
      </c>
      <c r="C1242" s="1">
        <v>714</v>
      </c>
      <c r="D1242" s="1" t="s">
        <v>67</v>
      </c>
      <c r="E1242" s="1" t="s">
        <v>62</v>
      </c>
      <c r="F1242" s="1">
        <f t="shared" si="46"/>
        <v>633</v>
      </c>
      <c r="G1242" s="5">
        <f t="shared" si="45"/>
        <v>1.127962085308057</v>
      </c>
    </row>
    <row r="1243" spans="1:7" ht="13">
      <c r="A1243" s="4" t="s">
        <v>116</v>
      </c>
      <c r="B1243" s="1">
        <v>6</v>
      </c>
      <c r="C1243" s="1">
        <v>756</v>
      </c>
      <c r="D1243" s="1" t="s">
        <v>11</v>
      </c>
      <c r="E1243" s="1" t="s">
        <v>23</v>
      </c>
      <c r="F1243" s="1">
        <f t="shared" si="46"/>
        <v>600</v>
      </c>
      <c r="G1243" s="5">
        <f t="shared" si="45"/>
        <v>1.26</v>
      </c>
    </row>
    <row r="1244" spans="1:7" ht="13">
      <c r="A1244" s="4" t="s">
        <v>116</v>
      </c>
      <c r="B1244" s="1">
        <v>4.3499999999999996</v>
      </c>
      <c r="C1244" s="1">
        <v>550</v>
      </c>
      <c r="D1244" s="1" t="s">
        <v>11</v>
      </c>
      <c r="E1244" s="1" t="s">
        <v>16</v>
      </c>
      <c r="F1244" s="1">
        <f t="shared" si="46"/>
        <v>434.99999999999994</v>
      </c>
      <c r="G1244" s="5">
        <f t="shared" si="45"/>
        <v>1.2643678160919543</v>
      </c>
    </row>
    <row r="1245" spans="1:7" ht="13">
      <c r="A1245" s="4" t="s">
        <v>116</v>
      </c>
      <c r="B1245" s="1">
        <v>6</v>
      </c>
      <c r="C1245" s="1">
        <v>645</v>
      </c>
      <c r="D1245" s="1" t="s">
        <v>11</v>
      </c>
      <c r="E1245" s="1" t="s">
        <v>23</v>
      </c>
      <c r="F1245" s="1">
        <f t="shared" si="46"/>
        <v>600</v>
      </c>
      <c r="G1245" s="5">
        <f t="shared" si="45"/>
        <v>1.075</v>
      </c>
    </row>
    <row r="1246" spans="1:7" ht="13">
      <c r="A1246" s="4" t="s">
        <v>116</v>
      </c>
      <c r="B1246" s="1">
        <v>8</v>
      </c>
      <c r="C1246" s="1">
        <v>857</v>
      </c>
      <c r="D1246" s="1" t="s">
        <v>11</v>
      </c>
      <c r="E1246" s="1" t="s">
        <v>28</v>
      </c>
      <c r="F1246" s="1">
        <f t="shared" si="46"/>
        <v>800</v>
      </c>
      <c r="G1246" s="5">
        <f t="shared" si="45"/>
        <v>1.07125</v>
      </c>
    </row>
    <row r="1247" spans="1:7" ht="13">
      <c r="A1247" s="4" t="s">
        <v>116</v>
      </c>
      <c r="B1247" s="1">
        <v>4.9800000000000004</v>
      </c>
      <c r="C1247" s="1">
        <v>456</v>
      </c>
      <c r="D1247" s="1" t="s">
        <v>43</v>
      </c>
      <c r="E1247" s="1" t="s">
        <v>25</v>
      </c>
      <c r="F1247" s="1">
        <f t="shared" si="46"/>
        <v>498.00000000000006</v>
      </c>
      <c r="G1247" s="5">
        <f t="shared" si="45"/>
        <v>0.91566265060240959</v>
      </c>
    </row>
    <row r="1248" spans="1:7" ht="13">
      <c r="A1248" s="4" t="s">
        <v>116</v>
      </c>
      <c r="B1248" s="1">
        <v>7.29</v>
      </c>
      <c r="C1248" s="1">
        <v>824</v>
      </c>
      <c r="D1248" s="1" t="s">
        <v>33</v>
      </c>
      <c r="E1248" s="1" t="s">
        <v>17</v>
      </c>
      <c r="F1248" s="1">
        <f t="shared" si="46"/>
        <v>729</v>
      </c>
      <c r="G1248" s="5">
        <f t="shared" si="45"/>
        <v>1.1303155006858712</v>
      </c>
    </row>
    <row r="1249" spans="1:7" ht="13">
      <c r="A1249" s="4" t="s">
        <v>116</v>
      </c>
      <c r="B1249" s="1">
        <v>5.6</v>
      </c>
      <c r="C1249" s="1">
        <v>497</v>
      </c>
      <c r="D1249" s="1" t="s">
        <v>33</v>
      </c>
      <c r="E1249" s="1" t="s">
        <v>29</v>
      </c>
      <c r="F1249" s="1">
        <f t="shared" si="46"/>
        <v>560</v>
      </c>
      <c r="G1249" s="5">
        <f t="shared" si="45"/>
        <v>0.88749999999999996</v>
      </c>
    </row>
    <row r="1250" spans="1:7" ht="13">
      <c r="A1250" s="4" t="s">
        <v>116</v>
      </c>
      <c r="B1250" s="1">
        <v>7.2</v>
      </c>
      <c r="C1250" s="1">
        <v>862</v>
      </c>
      <c r="D1250" s="1" t="s">
        <v>11</v>
      </c>
      <c r="E1250" s="1" t="s">
        <v>10</v>
      </c>
      <c r="F1250" s="1">
        <f t="shared" si="46"/>
        <v>720</v>
      </c>
      <c r="G1250" s="5">
        <f t="shared" si="45"/>
        <v>1.1972222222222222</v>
      </c>
    </row>
    <row r="1251" spans="1:7" ht="13">
      <c r="A1251" s="4" t="s">
        <v>116</v>
      </c>
      <c r="B1251" s="1">
        <v>7.2</v>
      </c>
      <c r="C1251" s="1">
        <v>818</v>
      </c>
      <c r="D1251" s="1" t="s">
        <v>33</v>
      </c>
      <c r="E1251" s="1" t="s">
        <v>8</v>
      </c>
      <c r="F1251" s="1">
        <f t="shared" si="46"/>
        <v>720</v>
      </c>
      <c r="G1251" s="5">
        <f t="shared" si="45"/>
        <v>1.1361111111111111</v>
      </c>
    </row>
    <row r="1252" spans="1:7" ht="13">
      <c r="A1252" s="4" t="s">
        <v>116</v>
      </c>
      <c r="B1252" s="1">
        <v>8.6999999999999993</v>
      </c>
      <c r="C1252" s="1">
        <v>1031</v>
      </c>
      <c r="D1252" s="1" t="s">
        <v>34</v>
      </c>
      <c r="E1252" s="1" t="s">
        <v>10</v>
      </c>
      <c r="F1252" s="1">
        <f t="shared" si="46"/>
        <v>869.99999999999989</v>
      </c>
      <c r="G1252" s="5">
        <f t="shared" si="45"/>
        <v>1.185057471264368</v>
      </c>
    </row>
    <row r="1253" spans="1:7" ht="13">
      <c r="A1253" s="4" t="s">
        <v>116</v>
      </c>
      <c r="B1253" s="1">
        <v>5.5</v>
      </c>
      <c r="C1253" s="1">
        <v>730</v>
      </c>
      <c r="D1253" s="1" t="s">
        <v>11</v>
      </c>
      <c r="E1253" s="1" t="s">
        <v>10</v>
      </c>
      <c r="F1253" s="1">
        <f t="shared" si="46"/>
        <v>550</v>
      </c>
      <c r="G1253" s="5">
        <f t="shared" si="45"/>
        <v>1.3272727272727274</v>
      </c>
    </row>
    <row r="1254" spans="1:7" ht="13">
      <c r="A1254" s="4" t="s">
        <v>116</v>
      </c>
      <c r="B1254" s="1">
        <v>8</v>
      </c>
      <c r="C1254" s="1">
        <v>807</v>
      </c>
      <c r="D1254" s="1" t="s">
        <v>39</v>
      </c>
      <c r="E1254" s="1" t="s">
        <v>32</v>
      </c>
      <c r="F1254" s="1">
        <f t="shared" si="46"/>
        <v>800</v>
      </c>
      <c r="G1254" s="5">
        <f t="shared" si="45"/>
        <v>1.00875</v>
      </c>
    </row>
    <row r="1255" spans="1:7" ht="13">
      <c r="A1255" s="4" t="s">
        <v>116</v>
      </c>
      <c r="B1255" s="1">
        <v>8.6</v>
      </c>
      <c r="C1255" s="1">
        <v>1119</v>
      </c>
      <c r="D1255" s="1" t="s">
        <v>42</v>
      </c>
      <c r="E1255" s="1" t="s">
        <v>8</v>
      </c>
      <c r="F1255" s="1">
        <f t="shared" si="46"/>
        <v>860</v>
      </c>
      <c r="G1255" s="5">
        <f t="shared" si="45"/>
        <v>1.3011627906976744</v>
      </c>
    </row>
    <row r="1256" spans="1:7" ht="13">
      <c r="A1256" s="4" t="s">
        <v>116</v>
      </c>
      <c r="B1256" s="1">
        <v>3</v>
      </c>
      <c r="C1256" s="1">
        <v>328</v>
      </c>
      <c r="D1256" s="1" t="s">
        <v>11</v>
      </c>
      <c r="E1256" s="1" t="s">
        <v>25</v>
      </c>
      <c r="F1256" s="1">
        <f t="shared" si="46"/>
        <v>300</v>
      </c>
      <c r="G1256" s="5">
        <f t="shared" si="45"/>
        <v>1.0933333333333333</v>
      </c>
    </row>
    <row r="1257" spans="1:7" ht="13">
      <c r="A1257" s="4" t="s">
        <v>116</v>
      </c>
      <c r="B1257" s="1">
        <v>6.02</v>
      </c>
      <c r="C1257" s="1">
        <v>670</v>
      </c>
      <c r="D1257" s="1" t="s">
        <v>47</v>
      </c>
      <c r="E1257" s="1" t="s">
        <v>20</v>
      </c>
      <c r="F1257" s="1">
        <f t="shared" si="46"/>
        <v>602</v>
      </c>
      <c r="G1257" s="5">
        <f t="shared" si="45"/>
        <v>1.1129568106312293</v>
      </c>
    </row>
    <row r="1258" spans="1:7" ht="13">
      <c r="A1258" s="4" t="s">
        <v>116</v>
      </c>
      <c r="B1258" s="1">
        <v>7.6</v>
      </c>
      <c r="C1258" s="1">
        <v>1001</v>
      </c>
      <c r="D1258" s="1" t="s">
        <v>79</v>
      </c>
      <c r="E1258" s="1" t="s">
        <v>10</v>
      </c>
      <c r="F1258" s="1">
        <f t="shared" si="46"/>
        <v>760</v>
      </c>
      <c r="G1258" s="5">
        <f t="shared" si="45"/>
        <v>1.3171052631578948</v>
      </c>
    </row>
    <row r="1259" spans="1:7" ht="13">
      <c r="A1259" s="4" t="s">
        <v>116</v>
      </c>
      <c r="B1259" s="1">
        <v>6.9</v>
      </c>
      <c r="C1259" s="1">
        <v>780</v>
      </c>
      <c r="D1259" s="1" t="s">
        <v>47</v>
      </c>
      <c r="E1259" s="1" t="s">
        <v>68</v>
      </c>
      <c r="F1259" s="1">
        <f t="shared" si="46"/>
        <v>690</v>
      </c>
      <c r="G1259" s="5">
        <f t="shared" si="45"/>
        <v>1.1304347826086956</v>
      </c>
    </row>
    <row r="1260" spans="1:7" ht="13">
      <c r="A1260" s="4" t="s">
        <v>116</v>
      </c>
      <c r="B1260" s="1">
        <v>7.3949999999999996</v>
      </c>
      <c r="C1260" s="1">
        <v>808</v>
      </c>
      <c r="D1260" s="1" t="s">
        <v>42</v>
      </c>
      <c r="E1260" s="1" t="s">
        <v>25</v>
      </c>
      <c r="F1260" s="1">
        <f t="shared" si="46"/>
        <v>739.5</v>
      </c>
      <c r="G1260" s="5">
        <f t="shared" si="45"/>
        <v>1.09263015551048</v>
      </c>
    </row>
    <row r="1261" spans="1:7" ht="13">
      <c r="A1261" s="4" t="s">
        <v>116</v>
      </c>
      <c r="B1261" s="1">
        <v>6</v>
      </c>
      <c r="C1261" s="1">
        <v>633</v>
      </c>
      <c r="D1261" s="1" t="s">
        <v>35</v>
      </c>
      <c r="E1261" s="1" t="s">
        <v>15</v>
      </c>
      <c r="F1261" s="1">
        <f t="shared" si="46"/>
        <v>600</v>
      </c>
      <c r="G1261" s="5">
        <f t="shared" si="45"/>
        <v>1.0549999999999999</v>
      </c>
    </row>
    <row r="1262" spans="1:7" ht="13">
      <c r="A1262" s="4" t="s">
        <v>116</v>
      </c>
      <c r="B1262" s="1">
        <v>6.4</v>
      </c>
      <c r="C1262" s="1">
        <v>784</v>
      </c>
      <c r="D1262" s="1" t="s">
        <v>93</v>
      </c>
      <c r="E1262" s="1" t="s">
        <v>26</v>
      </c>
      <c r="F1262" s="1">
        <f t="shared" si="46"/>
        <v>640</v>
      </c>
      <c r="G1262" s="5">
        <f t="shared" si="45"/>
        <v>1.2250000000000001</v>
      </c>
    </row>
    <row r="1263" spans="1:7" ht="13">
      <c r="A1263" s="4" t="s">
        <v>116</v>
      </c>
      <c r="B1263" s="1">
        <v>3.5</v>
      </c>
      <c r="C1263" s="1">
        <v>387</v>
      </c>
      <c r="D1263" s="1" t="s">
        <v>11</v>
      </c>
      <c r="E1263" s="1" t="s">
        <v>24</v>
      </c>
      <c r="F1263" s="1">
        <f t="shared" si="46"/>
        <v>350</v>
      </c>
      <c r="G1263" s="5">
        <f t="shared" si="45"/>
        <v>1.1057142857142856</v>
      </c>
    </row>
    <row r="1264" spans="1:7" ht="13">
      <c r="A1264" s="4" t="s">
        <v>116</v>
      </c>
      <c r="B1264" s="1">
        <v>3</v>
      </c>
      <c r="C1264" s="1">
        <v>467</v>
      </c>
      <c r="D1264" s="1" t="s">
        <v>43</v>
      </c>
      <c r="E1264" s="1" t="s">
        <v>18</v>
      </c>
      <c r="F1264" s="1">
        <f t="shared" si="46"/>
        <v>300</v>
      </c>
      <c r="G1264" s="5">
        <f t="shared" si="45"/>
        <v>1.5566666666666666</v>
      </c>
    </row>
    <row r="1265" spans="1:7" ht="13">
      <c r="A1265" s="4" t="s">
        <v>116</v>
      </c>
      <c r="B1265" s="1">
        <v>9.6999999999999993</v>
      </c>
      <c r="C1265" s="1">
        <v>1057</v>
      </c>
      <c r="D1265" s="1" t="s">
        <v>11</v>
      </c>
      <c r="E1265" s="1" t="s">
        <v>10</v>
      </c>
      <c r="F1265" s="1">
        <f t="shared" si="46"/>
        <v>969.99999999999989</v>
      </c>
      <c r="G1265" s="5">
        <f t="shared" si="45"/>
        <v>1.0896907216494847</v>
      </c>
    </row>
    <row r="1266" spans="1:7" ht="13">
      <c r="A1266" s="4" t="s">
        <v>116</v>
      </c>
      <c r="B1266" s="1">
        <v>3</v>
      </c>
      <c r="C1266" s="1">
        <v>382</v>
      </c>
      <c r="D1266" s="1" t="s">
        <v>42</v>
      </c>
      <c r="E1266" s="1" t="s">
        <v>15</v>
      </c>
      <c r="F1266" s="1">
        <f t="shared" si="46"/>
        <v>300</v>
      </c>
      <c r="G1266" s="5">
        <f t="shared" si="45"/>
        <v>1.2733333333333334</v>
      </c>
    </row>
    <row r="1267" spans="1:7" ht="13">
      <c r="A1267" s="4" t="s">
        <v>116</v>
      </c>
      <c r="B1267" s="1">
        <v>7.2</v>
      </c>
      <c r="C1267" s="1">
        <v>795</v>
      </c>
      <c r="D1267" s="1" t="s">
        <v>33</v>
      </c>
      <c r="E1267" s="1" t="s">
        <v>25</v>
      </c>
      <c r="F1267" s="1">
        <f t="shared" si="46"/>
        <v>720</v>
      </c>
      <c r="G1267" s="5">
        <f t="shared" si="45"/>
        <v>1.1041666666666667</v>
      </c>
    </row>
    <row r="1268" spans="1:7" ht="13">
      <c r="A1268" s="4" t="s">
        <v>116</v>
      </c>
      <c r="B1268" s="1">
        <v>7.6</v>
      </c>
      <c r="C1268" s="1">
        <v>751</v>
      </c>
      <c r="D1268" s="1" t="s">
        <v>33</v>
      </c>
      <c r="E1268" s="1" t="s">
        <v>17</v>
      </c>
      <c r="F1268" s="1">
        <f t="shared" si="46"/>
        <v>760</v>
      </c>
      <c r="G1268" s="5">
        <f t="shared" si="45"/>
        <v>0.98815789473684212</v>
      </c>
    </row>
    <row r="1269" spans="1:7" ht="13">
      <c r="A1269" s="4" t="s">
        <v>116</v>
      </c>
      <c r="B1269" s="1">
        <v>7.9</v>
      </c>
      <c r="C1269" s="1">
        <v>878</v>
      </c>
      <c r="D1269" s="1" t="s">
        <v>11</v>
      </c>
      <c r="E1269" s="1" t="s">
        <v>27</v>
      </c>
      <c r="F1269" s="1">
        <f t="shared" si="46"/>
        <v>790</v>
      </c>
      <c r="G1269" s="5">
        <f t="shared" si="45"/>
        <v>1.1113924050632911</v>
      </c>
    </row>
    <row r="1270" spans="1:7" ht="13">
      <c r="A1270" s="4" t="s">
        <v>116</v>
      </c>
      <c r="B1270" s="1">
        <v>6.4</v>
      </c>
      <c r="C1270" s="1">
        <v>762</v>
      </c>
      <c r="D1270" s="1" t="s">
        <v>38</v>
      </c>
      <c r="E1270" s="1" t="s">
        <v>9</v>
      </c>
      <c r="F1270" s="1">
        <f t="shared" si="46"/>
        <v>640</v>
      </c>
      <c r="G1270" s="5">
        <f t="shared" si="45"/>
        <v>1.190625</v>
      </c>
    </row>
    <row r="1271" spans="1:7" ht="13">
      <c r="A1271" s="4" t="s">
        <v>116</v>
      </c>
      <c r="B1271" s="1">
        <v>5800</v>
      </c>
      <c r="C1271" s="1">
        <v>390000</v>
      </c>
      <c r="D1271" s="1" t="s">
        <v>11</v>
      </c>
      <c r="E1271" s="1" t="s">
        <v>8</v>
      </c>
      <c r="F1271" s="1">
        <f t="shared" si="46"/>
        <v>580000</v>
      </c>
      <c r="G1271" s="5">
        <f t="shared" si="45"/>
        <v>0.67241379310344829</v>
      </c>
    </row>
    <row r="1272" spans="1:7" ht="13">
      <c r="A1272" s="4" t="s">
        <v>116</v>
      </c>
      <c r="B1272" s="1">
        <v>8.8000000000000007</v>
      </c>
      <c r="C1272" s="1">
        <v>953</v>
      </c>
      <c r="D1272" s="1" t="s">
        <v>42</v>
      </c>
      <c r="E1272" s="1" t="s">
        <v>32</v>
      </c>
      <c r="F1272" s="1">
        <f t="shared" si="46"/>
        <v>880.00000000000011</v>
      </c>
      <c r="G1272" s="5">
        <f t="shared" si="45"/>
        <v>1.0829545454545453</v>
      </c>
    </row>
    <row r="1273" spans="1:7" ht="13">
      <c r="A1273" s="4" t="s">
        <v>116</v>
      </c>
      <c r="B1273" s="1">
        <v>8.8000000000000007</v>
      </c>
      <c r="C1273" s="1">
        <v>953</v>
      </c>
      <c r="D1273" s="1" t="s">
        <v>42</v>
      </c>
      <c r="E1273" s="1" t="s">
        <v>32</v>
      </c>
      <c r="F1273" s="1">
        <f t="shared" si="46"/>
        <v>880.00000000000011</v>
      </c>
      <c r="G1273" s="5">
        <f t="shared" si="45"/>
        <v>1.0829545454545453</v>
      </c>
    </row>
    <row r="1274" spans="1:7" ht="13">
      <c r="A1274" s="4" t="s">
        <v>116</v>
      </c>
      <c r="B1274" s="1">
        <v>7</v>
      </c>
      <c r="C1274" s="1">
        <v>775</v>
      </c>
      <c r="D1274" s="1" t="s">
        <v>40</v>
      </c>
      <c r="E1274" s="1" t="s">
        <v>15</v>
      </c>
      <c r="F1274" s="1">
        <f t="shared" si="46"/>
        <v>700</v>
      </c>
      <c r="G1274" s="5">
        <f t="shared" si="45"/>
        <v>1.1071428571428572</v>
      </c>
    </row>
    <row r="1275" spans="1:7" ht="13">
      <c r="A1275" s="4" t="s">
        <v>116</v>
      </c>
      <c r="B1275" s="1">
        <v>3.5</v>
      </c>
      <c r="C1275" s="1">
        <v>404</v>
      </c>
      <c r="D1275" s="1" t="s">
        <v>44</v>
      </c>
      <c r="E1275" s="1" t="s">
        <v>15</v>
      </c>
      <c r="F1275" s="1">
        <f t="shared" si="46"/>
        <v>350</v>
      </c>
      <c r="G1275" s="5">
        <f t="shared" si="45"/>
        <v>1.1542857142857144</v>
      </c>
    </row>
    <row r="1276" spans="1:7" ht="13">
      <c r="A1276" s="4" t="s">
        <v>116</v>
      </c>
      <c r="B1276" s="1">
        <v>7.74</v>
      </c>
      <c r="C1276" s="1">
        <v>903</v>
      </c>
      <c r="D1276" s="1" t="s">
        <v>33</v>
      </c>
      <c r="E1276" s="1" t="s">
        <v>9</v>
      </c>
      <c r="F1276" s="1">
        <f t="shared" si="46"/>
        <v>774</v>
      </c>
      <c r="G1276" s="5">
        <f t="shared" si="45"/>
        <v>1.1666666666666667</v>
      </c>
    </row>
    <row r="1277" spans="1:7" ht="13">
      <c r="A1277" s="4" t="s">
        <v>116</v>
      </c>
      <c r="B1277" s="1">
        <v>4.5999999999999996</v>
      </c>
      <c r="C1277" s="1">
        <v>537</v>
      </c>
      <c r="D1277" s="1" t="s">
        <v>37</v>
      </c>
      <c r="E1277" s="1" t="s">
        <v>15</v>
      </c>
      <c r="F1277" s="1">
        <f t="shared" si="46"/>
        <v>459.99999999999994</v>
      </c>
      <c r="G1277" s="5">
        <f t="shared" si="45"/>
        <v>1.1673913043478263</v>
      </c>
    </row>
    <row r="1278" spans="1:7" ht="13">
      <c r="A1278" s="4" t="s">
        <v>116</v>
      </c>
      <c r="B1278" s="1">
        <v>5.16</v>
      </c>
      <c r="C1278" s="1">
        <v>543</v>
      </c>
      <c r="D1278" s="1" t="s">
        <v>48</v>
      </c>
      <c r="E1278" s="1" t="s">
        <v>30</v>
      </c>
      <c r="F1278" s="1">
        <f t="shared" si="46"/>
        <v>516</v>
      </c>
      <c r="G1278" s="5">
        <f t="shared" si="45"/>
        <v>1.0523255813953489</v>
      </c>
    </row>
    <row r="1279" spans="1:7" ht="13">
      <c r="A1279" s="4" t="s">
        <v>116</v>
      </c>
      <c r="B1279" s="1">
        <v>6.3</v>
      </c>
      <c r="C1279" s="1">
        <v>819</v>
      </c>
      <c r="D1279" s="1" t="s">
        <v>42</v>
      </c>
      <c r="E1279" s="1" t="s">
        <v>10</v>
      </c>
      <c r="F1279" s="1">
        <f t="shared" si="46"/>
        <v>630</v>
      </c>
      <c r="G1279" s="5">
        <f t="shared" si="45"/>
        <v>1.3</v>
      </c>
    </row>
    <row r="1280" spans="1:7" ht="13">
      <c r="A1280" s="4" t="s">
        <v>116</v>
      </c>
      <c r="B1280" s="1">
        <v>5.8</v>
      </c>
      <c r="C1280" s="1">
        <v>649</v>
      </c>
      <c r="D1280" s="1" t="s">
        <v>50</v>
      </c>
      <c r="E1280" s="1" t="s">
        <v>26</v>
      </c>
      <c r="F1280" s="1">
        <f t="shared" si="46"/>
        <v>580</v>
      </c>
      <c r="G1280" s="5">
        <f t="shared" si="45"/>
        <v>1.1189655172413793</v>
      </c>
    </row>
    <row r="1281" spans="1:7" ht="13">
      <c r="A1281" s="4" t="s">
        <v>116</v>
      </c>
      <c r="B1281" s="1">
        <v>7.7</v>
      </c>
      <c r="C1281" s="1">
        <v>952</v>
      </c>
      <c r="D1281" s="1" t="s">
        <v>11</v>
      </c>
      <c r="E1281" s="1" t="s">
        <v>20</v>
      </c>
      <c r="F1281" s="1">
        <f t="shared" si="46"/>
        <v>770</v>
      </c>
      <c r="G1281" s="5">
        <f t="shared" si="45"/>
        <v>1.2363636363636363</v>
      </c>
    </row>
    <row r="1282" spans="1:7" ht="13">
      <c r="A1282" s="4" t="s">
        <v>116</v>
      </c>
      <c r="B1282" s="1">
        <v>7.56</v>
      </c>
      <c r="C1282" s="1">
        <v>791</v>
      </c>
      <c r="D1282" s="1" t="s">
        <v>11</v>
      </c>
      <c r="E1282" s="1" t="s">
        <v>25</v>
      </c>
      <c r="F1282" s="1">
        <f t="shared" si="46"/>
        <v>756</v>
      </c>
      <c r="G1282" s="5">
        <f t="shared" ref="G1282:G1345" si="47">C1282/F1282</f>
        <v>1.0462962962962963</v>
      </c>
    </row>
    <row r="1283" spans="1:7" ht="13">
      <c r="A1283" s="4" t="s">
        <v>116</v>
      </c>
      <c r="B1283" s="1">
        <v>6.8</v>
      </c>
      <c r="C1283" s="1">
        <v>680</v>
      </c>
      <c r="D1283" s="1" t="s">
        <v>11</v>
      </c>
      <c r="E1283" s="1" t="s">
        <v>25</v>
      </c>
      <c r="F1283" s="1">
        <f t="shared" ref="F1283:F1346" si="48">B1283*100</f>
        <v>680</v>
      </c>
      <c r="G1283" s="5">
        <f t="shared" si="47"/>
        <v>1</v>
      </c>
    </row>
    <row r="1284" spans="1:7" ht="13">
      <c r="A1284" s="4" t="s">
        <v>116</v>
      </c>
      <c r="B1284" s="1">
        <v>6.23</v>
      </c>
      <c r="C1284" s="1">
        <v>817</v>
      </c>
      <c r="D1284" s="1" t="s">
        <v>43</v>
      </c>
      <c r="E1284" s="1" t="s">
        <v>17</v>
      </c>
      <c r="F1284" s="1">
        <f t="shared" si="48"/>
        <v>623</v>
      </c>
      <c r="G1284" s="5">
        <f t="shared" si="47"/>
        <v>1.3113964686998394</v>
      </c>
    </row>
    <row r="1285" spans="1:7" ht="13">
      <c r="A1285" s="4" t="s">
        <v>116</v>
      </c>
      <c r="B1285" s="1">
        <v>4.3499999999999996</v>
      </c>
      <c r="C1285" s="1">
        <v>617</v>
      </c>
      <c r="D1285" s="1" t="s">
        <v>47</v>
      </c>
      <c r="E1285" s="1" t="s">
        <v>9</v>
      </c>
      <c r="F1285" s="1">
        <f t="shared" si="48"/>
        <v>434.99999999999994</v>
      </c>
      <c r="G1285" s="5">
        <f t="shared" si="47"/>
        <v>1.4183908045977014</v>
      </c>
    </row>
    <row r="1286" spans="1:7" ht="13">
      <c r="A1286" s="4" t="s">
        <v>116</v>
      </c>
      <c r="B1286" s="1">
        <v>5.8</v>
      </c>
      <c r="C1286" s="1">
        <v>641</v>
      </c>
      <c r="D1286" s="1" t="s">
        <v>43</v>
      </c>
      <c r="E1286" s="1" t="s">
        <v>7</v>
      </c>
      <c r="F1286" s="1">
        <f t="shared" si="48"/>
        <v>580</v>
      </c>
      <c r="G1286" s="5">
        <f t="shared" si="47"/>
        <v>1.1051724137931034</v>
      </c>
    </row>
    <row r="1287" spans="1:7" ht="13">
      <c r="A1287" s="4" t="s">
        <v>116</v>
      </c>
      <c r="B1287" s="1">
        <v>6.4</v>
      </c>
      <c r="C1287" s="1">
        <v>771</v>
      </c>
      <c r="D1287" s="1" t="s">
        <v>11</v>
      </c>
      <c r="E1287" s="1" t="s">
        <v>8</v>
      </c>
      <c r="F1287" s="1">
        <f t="shared" si="48"/>
        <v>640</v>
      </c>
      <c r="G1287" s="5">
        <f t="shared" si="47"/>
        <v>1.2046874999999999</v>
      </c>
    </row>
    <row r="1288" spans="1:7" ht="13">
      <c r="A1288" s="4" t="s">
        <v>116</v>
      </c>
      <c r="B1288" s="1">
        <v>7.74</v>
      </c>
      <c r="C1288" s="1">
        <v>844</v>
      </c>
      <c r="D1288" s="1" t="s">
        <v>33</v>
      </c>
      <c r="E1288" s="1" t="s">
        <v>16</v>
      </c>
      <c r="F1288" s="1">
        <f t="shared" si="48"/>
        <v>774</v>
      </c>
      <c r="G1288" s="5">
        <f t="shared" si="47"/>
        <v>1.0904392764857882</v>
      </c>
    </row>
    <row r="1289" spans="1:7" ht="13">
      <c r="A1289" s="4" t="s">
        <v>116</v>
      </c>
      <c r="B1289" s="1">
        <v>7.74</v>
      </c>
      <c r="C1289" s="1">
        <v>831</v>
      </c>
      <c r="D1289" s="1" t="s">
        <v>33</v>
      </c>
      <c r="E1289" s="1" t="s">
        <v>16</v>
      </c>
      <c r="F1289" s="1">
        <f t="shared" si="48"/>
        <v>774</v>
      </c>
      <c r="G1289" s="5">
        <f t="shared" si="47"/>
        <v>1.0736434108527131</v>
      </c>
    </row>
    <row r="1290" spans="1:7" ht="13">
      <c r="A1290" s="4" t="s">
        <v>116</v>
      </c>
      <c r="B1290" s="1">
        <v>6.04</v>
      </c>
      <c r="C1290" s="1">
        <v>750</v>
      </c>
      <c r="D1290" s="1" t="s">
        <v>42</v>
      </c>
      <c r="E1290" s="1" t="s">
        <v>8</v>
      </c>
      <c r="F1290" s="1">
        <f t="shared" si="48"/>
        <v>604</v>
      </c>
      <c r="G1290" s="5">
        <f t="shared" si="47"/>
        <v>1.2417218543046358</v>
      </c>
    </row>
    <row r="1291" spans="1:7" ht="13">
      <c r="A1291" s="4" t="s">
        <v>116</v>
      </c>
      <c r="B1291" s="1">
        <v>6.3</v>
      </c>
      <c r="C1291" s="1">
        <v>630</v>
      </c>
      <c r="D1291" s="1" t="s">
        <v>43</v>
      </c>
      <c r="E1291" s="1" t="s">
        <v>29</v>
      </c>
      <c r="F1291" s="1">
        <f t="shared" si="48"/>
        <v>630</v>
      </c>
      <c r="G1291" s="5">
        <f t="shared" si="47"/>
        <v>1</v>
      </c>
    </row>
    <row r="1292" spans="1:7" ht="13">
      <c r="A1292" s="4" t="s">
        <v>116</v>
      </c>
      <c r="B1292" s="1">
        <v>9.1300000000000008</v>
      </c>
      <c r="C1292" s="1">
        <v>960</v>
      </c>
      <c r="D1292" s="1" t="s">
        <v>11</v>
      </c>
      <c r="E1292" s="1" t="s">
        <v>19</v>
      </c>
      <c r="F1292" s="1">
        <f t="shared" si="48"/>
        <v>913.00000000000011</v>
      </c>
      <c r="G1292" s="5">
        <f t="shared" si="47"/>
        <v>1.0514786418400874</v>
      </c>
    </row>
    <row r="1293" spans="1:7" ht="13">
      <c r="A1293" s="4" t="s">
        <v>116</v>
      </c>
      <c r="B1293" s="1">
        <v>6.96</v>
      </c>
      <c r="C1293" s="1">
        <v>736</v>
      </c>
      <c r="D1293" s="1" t="s">
        <v>33</v>
      </c>
      <c r="E1293" s="1" t="s">
        <v>12</v>
      </c>
      <c r="F1293" s="1">
        <f t="shared" si="48"/>
        <v>696</v>
      </c>
      <c r="G1293" s="5">
        <f t="shared" si="47"/>
        <v>1.0574712643678161</v>
      </c>
    </row>
    <row r="1294" spans="1:7" ht="13">
      <c r="A1294" s="4" t="s">
        <v>116</v>
      </c>
      <c r="B1294" s="1">
        <v>6.5</v>
      </c>
      <c r="C1294" s="1">
        <v>730</v>
      </c>
      <c r="D1294" s="1" t="s">
        <v>11</v>
      </c>
      <c r="E1294" s="1" t="s">
        <v>17</v>
      </c>
      <c r="F1294" s="1">
        <f t="shared" si="48"/>
        <v>650</v>
      </c>
      <c r="G1294" s="5">
        <f t="shared" si="47"/>
        <v>1.1230769230769231</v>
      </c>
    </row>
    <row r="1295" spans="1:7" ht="13">
      <c r="A1295" s="4" t="s">
        <v>116</v>
      </c>
      <c r="B1295" s="1">
        <v>7.74</v>
      </c>
      <c r="C1295" s="1">
        <v>883</v>
      </c>
      <c r="D1295" s="1" t="s">
        <v>11</v>
      </c>
      <c r="E1295" s="1" t="s">
        <v>24</v>
      </c>
      <c r="F1295" s="1">
        <f t="shared" si="48"/>
        <v>774</v>
      </c>
      <c r="G1295" s="5">
        <f t="shared" si="47"/>
        <v>1.1408268733850129</v>
      </c>
    </row>
    <row r="1296" spans="1:7" ht="13">
      <c r="A1296" s="4" t="s">
        <v>116</v>
      </c>
      <c r="B1296" s="1">
        <v>5.16</v>
      </c>
      <c r="C1296" s="1">
        <v>600</v>
      </c>
      <c r="D1296" s="1" t="s">
        <v>11</v>
      </c>
      <c r="E1296" s="1" t="s">
        <v>27</v>
      </c>
      <c r="F1296" s="1">
        <f t="shared" si="48"/>
        <v>516</v>
      </c>
      <c r="G1296" s="5">
        <f t="shared" si="47"/>
        <v>1.1627906976744187</v>
      </c>
    </row>
    <row r="1297" spans="1:7" ht="13">
      <c r="A1297" s="4" t="s">
        <v>116</v>
      </c>
      <c r="B1297" s="1">
        <v>5</v>
      </c>
      <c r="C1297" s="1">
        <v>679</v>
      </c>
      <c r="D1297" s="1" t="s">
        <v>43</v>
      </c>
      <c r="E1297" s="1" t="s">
        <v>15</v>
      </c>
      <c r="F1297" s="1">
        <f t="shared" si="48"/>
        <v>500</v>
      </c>
      <c r="G1297" s="5">
        <f t="shared" si="47"/>
        <v>1.3580000000000001</v>
      </c>
    </row>
    <row r="1298" spans="1:7" ht="13">
      <c r="A1298" s="4" t="s">
        <v>116</v>
      </c>
      <c r="B1298" s="1">
        <v>8</v>
      </c>
      <c r="C1298" s="1">
        <v>920</v>
      </c>
      <c r="D1298" s="1" t="s">
        <v>58</v>
      </c>
      <c r="E1298" s="1" t="s">
        <v>49</v>
      </c>
      <c r="F1298" s="1">
        <f t="shared" si="48"/>
        <v>800</v>
      </c>
      <c r="G1298" s="5">
        <f t="shared" si="47"/>
        <v>1.1499999999999999</v>
      </c>
    </row>
    <row r="1299" spans="1:7" ht="13">
      <c r="A1299" s="4" t="s">
        <v>116</v>
      </c>
      <c r="B1299" s="1">
        <v>9.1</v>
      </c>
      <c r="C1299" s="1">
        <v>442</v>
      </c>
      <c r="D1299" s="1" t="s">
        <v>33</v>
      </c>
      <c r="E1299" s="1" t="s">
        <v>17</v>
      </c>
      <c r="F1299" s="1">
        <f t="shared" si="48"/>
        <v>910</v>
      </c>
      <c r="G1299" s="5">
        <f t="shared" si="47"/>
        <v>0.48571428571428571</v>
      </c>
    </row>
    <row r="1300" spans="1:7" ht="13">
      <c r="A1300" s="4" t="s">
        <v>116</v>
      </c>
      <c r="B1300" s="1">
        <v>9.6</v>
      </c>
      <c r="C1300" s="1">
        <v>999</v>
      </c>
      <c r="D1300" s="1" t="s">
        <v>45</v>
      </c>
      <c r="E1300" s="1" t="s">
        <v>12</v>
      </c>
      <c r="F1300" s="1">
        <f t="shared" si="48"/>
        <v>960</v>
      </c>
      <c r="G1300" s="5">
        <f t="shared" si="47"/>
        <v>1.0406249999999999</v>
      </c>
    </row>
    <row r="1301" spans="1:7" ht="13">
      <c r="A1301" s="4" t="s">
        <v>116</v>
      </c>
      <c r="B1301" s="1">
        <v>3.44</v>
      </c>
      <c r="C1301" s="1">
        <v>421.1</v>
      </c>
      <c r="D1301" s="1" t="s">
        <v>39</v>
      </c>
      <c r="E1301" s="1" t="s">
        <v>15</v>
      </c>
      <c r="F1301" s="1">
        <f t="shared" si="48"/>
        <v>344</v>
      </c>
      <c r="G1301" s="5">
        <f t="shared" si="47"/>
        <v>1.2241279069767443</v>
      </c>
    </row>
    <row r="1302" spans="1:7" ht="13">
      <c r="A1302" s="4" t="s">
        <v>116</v>
      </c>
      <c r="B1302" s="1">
        <v>8.3000000000000007</v>
      </c>
      <c r="C1302" s="1">
        <v>1030</v>
      </c>
      <c r="D1302" s="1" t="s">
        <v>11</v>
      </c>
      <c r="E1302" s="1" t="s">
        <v>17</v>
      </c>
      <c r="F1302" s="1">
        <f t="shared" si="48"/>
        <v>830.00000000000011</v>
      </c>
      <c r="G1302" s="5">
        <f t="shared" si="47"/>
        <v>1.2409638554216866</v>
      </c>
    </row>
    <row r="1303" spans="1:7" ht="13">
      <c r="A1303" s="4" t="s">
        <v>116</v>
      </c>
      <c r="B1303" s="1">
        <v>5.81</v>
      </c>
      <c r="C1303" s="1">
        <v>635</v>
      </c>
      <c r="D1303" s="1" t="s">
        <v>38</v>
      </c>
      <c r="E1303" s="1" t="s">
        <v>8</v>
      </c>
      <c r="F1303" s="1">
        <f t="shared" si="48"/>
        <v>581</v>
      </c>
      <c r="G1303" s="5">
        <f t="shared" si="47"/>
        <v>1.0929432013769362</v>
      </c>
    </row>
    <row r="1304" spans="1:7" ht="13">
      <c r="A1304" s="4" t="s">
        <v>116</v>
      </c>
      <c r="B1304" s="1">
        <v>5.6</v>
      </c>
      <c r="C1304" s="1">
        <v>484.59</v>
      </c>
      <c r="D1304" s="1" t="s">
        <v>43</v>
      </c>
      <c r="E1304" s="1" t="s">
        <v>27</v>
      </c>
      <c r="F1304" s="1">
        <f t="shared" si="48"/>
        <v>560</v>
      </c>
      <c r="G1304" s="5">
        <f t="shared" si="47"/>
        <v>0.86533928571428564</v>
      </c>
    </row>
    <row r="1305" spans="1:7" ht="13">
      <c r="A1305" s="4" t="s">
        <v>116</v>
      </c>
      <c r="B1305" s="1">
        <v>6.9</v>
      </c>
      <c r="C1305" s="1">
        <v>792</v>
      </c>
      <c r="D1305" s="1" t="s">
        <v>58</v>
      </c>
      <c r="E1305" s="1" t="s">
        <v>16</v>
      </c>
      <c r="F1305" s="1">
        <f t="shared" si="48"/>
        <v>690</v>
      </c>
      <c r="G1305" s="5">
        <f t="shared" si="47"/>
        <v>1.1478260869565218</v>
      </c>
    </row>
    <row r="1306" spans="1:7" ht="13">
      <c r="A1306" s="4" t="s">
        <v>116</v>
      </c>
      <c r="B1306" s="1">
        <v>5.3949999999999996</v>
      </c>
      <c r="C1306" s="1">
        <v>553.5</v>
      </c>
      <c r="D1306" s="1" t="s">
        <v>44</v>
      </c>
      <c r="E1306" s="1" t="s">
        <v>15</v>
      </c>
      <c r="F1306" s="1">
        <f t="shared" si="48"/>
        <v>539.5</v>
      </c>
      <c r="G1306" s="5">
        <f t="shared" si="47"/>
        <v>1.025949953660797</v>
      </c>
    </row>
    <row r="1307" spans="1:7" ht="13">
      <c r="A1307" s="4" t="s">
        <v>116</v>
      </c>
      <c r="B1307" s="1">
        <v>7.8</v>
      </c>
      <c r="C1307" s="1">
        <v>779</v>
      </c>
      <c r="D1307" s="1" t="s">
        <v>38</v>
      </c>
      <c r="E1307" s="1" t="s">
        <v>21</v>
      </c>
      <c r="F1307" s="1">
        <f t="shared" si="48"/>
        <v>780</v>
      </c>
      <c r="G1307" s="5">
        <f t="shared" si="47"/>
        <v>0.99871794871794872</v>
      </c>
    </row>
    <row r="1308" spans="1:7" ht="13">
      <c r="A1308" s="4" t="s">
        <v>116</v>
      </c>
      <c r="B1308" s="1">
        <v>6.49</v>
      </c>
      <c r="C1308" s="1">
        <v>636</v>
      </c>
      <c r="D1308" s="1" t="s">
        <v>42</v>
      </c>
      <c r="E1308" s="1" t="s">
        <v>25</v>
      </c>
      <c r="F1308" s="1">
        <f t="shared" si="48"/>
        <v>649</v>
      </c>
      <c r="G1308" s="5">
        <f t="shared" si="47"/>
        <v>0.97996918335901384</v>
      </c>
    </row>
    <row r="1309" spans="1:7" ht="13">
      <c r="A1309" s="4" t="s">
        <v>116</v>
      </c>
      <c r="B1309" s="1">
        <v>3.8</v>
      </c>
      <c r="C1309" s="1">
        <v>390</v>
      </c>
      <c r="D1309" s="1" t="s">
        <v>11</v>
      </c>
      <c r="E1309" s="1" t="s">
        <v>31</v>
      </c>
      <c r="F1309" s="1">
        <f t="shared" si="48"/>
        <v>380</v>
      </c>
      <c r="G1309" s="5">
        <f t="shared" si="47"/>
        <v>1.0263157894736843</v>
      </c>
    </row>
    <row r="1310" spans="1:7" ht="13">
      <c r="A1310" s="4" t="s">
        <v>116</v>
      </c>
      <c r="B1310" s="1">
        <v>7</v>
      </c>
      <c r="C1310" s="1">
        <v>837</v>
      </c>
      <c r="D1310" s="1" t="s">
        <v>36</v>
      </c>
      <c r="E1310" s="1" t="s">
        <v>15</v>
      </c>
      <c r="F1310" s="1">
        <f t="shared" si="48"/>
        <v>700</v>
      </c>
      <c r="G1310" s="5">
        <f t="shared" si="47"/>
        <v>1.1957142857142857</v>
      </c>
    </row>
    <row r="1311" spans="1:7" ht="13">
      <c r="A1311" s="4" t="s">
        <v>116</v>
      </c>
      <c r="B1311" s="1">
        <v>4.2</v>
      </c>
      <c r="C1311" s="1">
        <v>520</v>
      </c>
      <c r="D1311" s="1" t="s">
        <v>57</v>
      </c>
      <c r="E1311" s="1" t="s">
        <v>26</v>
      </c>
      <c r="F1311" s="1">
        <f t="shared" si="48"/>
        <v>420</v>
      </c>
      <c r="G1311" s="5">
        <f t="shared" si="47"/>
        <v>1.2380952380952381</v>
      </c>
    </row>
    <row r="1312" spans="1:7" ht="13">
      <c r="A1312" s="4" t="s">
        <v>116</v>
      </c>
      <c r="B1312" s="1">
        <v>7.74</v>
      </c>
      <c r="C1312" s="1">
        <v>826</v>
      </c>
      <c r="D1312" s="1" t="s">
        <v>47</v>
      </c>
      <c r="E1312" s="1" t="s">
        <v>25</v>
      </c>
      <c r="F1312" s="1">
        <f t="shared" si="48"/>
        <v>774</v>
      </c>
      <c r="G1312" s="5">
        <f t="shared" si="47"/>
        <v>1.0671834625322998</v>
      </c>
    </row>
    <row r="1313" spans="1:7" ht="13">
      <c r="A1313" s="4" t="s">
        <v>116</v>
      </c>
      <c r="B1313" s="1">
        <v>7.29</v>
      </c>
      <c r="C1313" s="1">
        <v>844</v>
      </c>
      <c r="D1313" s="1" t="s">
        <v>11</v>
      </c>
      <c r="E1313" s="1" t="s">
        <v>18</v>
      </c>
      <c r="F1313" s="1">
        <f t="shared" si="48"/>
        <v>729</v>
      </c>
      <c r="G1313" s="5">
        <f t="shared" si="47"/>
        <v>1.157750342935528</v>
      </c>
    </row>
    <row r="1314" spans="1:7" ht="13">
      <c r="A1314" s="4" t="s">
        <v>116</v>
      </c>
      <c r="B1314" s="1">
        <v>6.8</v>
      </c>
      <c r="C1314" s="1">
        <v>766</v>
      </c>
      <c r="D1314" s="1" t="s">
        <v>38</v>
      </c>
      <c r="E1314" s="1" t="s">
        <v>7</v>
      </c>
      <c r="F1314" s="1">
        <f t="shared" si="48"/>
        <v>680</v>
      </c>
      <c r="G1314" s="5">
        <f t="shared" si="47"/>
        <v>1.1264705882352941</v>
      </c>
    </row>
    <row r="1315" spans="1:7" ht="13">
      <c r="A1315" s="4" t="s">
        <v>116</v>
      </c>
      <c r="B1315" s="1">
        <v>6.5</v>
      </c>
      <c r="C1315" s="1">
        <v>45</v>
      </c>
      <c r="D1315" s="1" t="s">
        <v>43</v>
      </c>
      <c r="E1315" s="1" t="s">
        <v>27</v>
      </c>
      <c r="F1315" s="1">
        <f t="shared" si="48"/>
        <v>650</v>
      </c>
      <c r="G1315" s="5">
        <f t="shared" si="47"/>
        <v>6.9230769230769235E-2</v>
      </c>
    </row>
    <row r="1316" spans="1:7" ht="13">
      <c r="A1316" s="4" t="s">
        <v>116</v>
      </c>
      <c r="B1316" s="1">
        <v>5</v>
      </c>
      <c r="C1316" s="1">
        <v>609</v>
      </c>
      <c r="D1316" s="1" t="s">
        <v>39</v>
      </c>
      <c r="E1316" s="1" t="s">
        <v>30</v>
      </c>
      <c r="F1316" s="1">
        <f t="shared" si="48"/>
        <v>500</v>
      </c>
      <c r="G1316" s="5">
        <f t="shared" si="47"/>
        <v>1.218</v>
      </c>
    </row>
    <row r="1317" spans="1:7" ht="13">
      <c r="A1317" s="4" t="s">
        <v>116</v>
      </c>
      <c r="B1317" s="1">
        <v>4</v>
      </c>
      <c r="C1317" s="1">
        <v>458</v>
      </c>
      <c r="D1317" s="1" t="s">
        <v>35</v>
      </c>
      <c r="E1317" s="1" t="s">
        <v>17</v>
      </c>
      <c r="F1317" s="1">
        <f t="shared" si="48"/>
        <v>400</v>
      </c>
      <c r="G1317" s="5">
        <f t="shared" si="47"/>
        <v>1.145</v>
      </c>
    </row>
    <row r="1318" spans="1:7" ht="13">
      <c r="A1318" s="4" t="s">
        <v>116</v>
      </c>
      <c r="B1318" s="1">
        <v>8.1999999999999993</v>
      </c>
      <c r="C1318" s="1">
        <v>875</v>
      </c>
      <c r="D1318" s="1" t="s">
        <v>43</v>
      </c>
      <c r="E1318" s="1" t="s">
        <v>25</v>
      </c>
      <c r="F1318" s="1">
        <f t="shared" si="48"/>
        <v>819.99999999999989</v>
      </c>
      <c r="G1318" s="5">
        <f t="shared" si="47"/>
        <v>1.0670731707317074</v>
      </c>
    </row>
    <row r="1319" spans="1:7" ht="13">
      <c r="A1319" s="4" t="s">
        <v>116</v>
      </c>
      <c r="B1319" s="1">
        <v>8.6999999999999993</v>
      </c>
      <c r="C1319" s="1">
        <v>976</v>
      </c>
      <c r="D1319" s="1" t="s">
        <v>45</v>
      </c>
      <c r="E1319" s="1" t="s">
        <v>20</v>
      </c>
      <c r="F1319" s="1">
        <f t="shared" si="48"/>
        <v>869.99999999999989</v>
      </c>
      <c r="G1319" s="5">
        <f t="shared" si="47"/>
        <v>1.1218390804597702</v>
      </c>
    </row>
    <row r="1320" spans="1:7" ht="13">
      <c r="A1320" s="4" t="s">
        <v>116</v>
      </c>
      <c r="B1320" s="1">
        <v>6.09</v>
      </c>
      <c r="C1320" s="1">
        <v>739</v>
      </c>
      <c r="D1320" s="1" t="s">
        <v>44</v>
      </c>
      <c r="E1320" s="1" t="s">
        <v>20</v>
      </c>
      <c r="F1320" s="1">
        <f t="shared" si="48"/>
        <v>609</v>
      </c>
      <c r="G1320" s="5">
        <f t="shared" si="47"/>
        <v>1.2134646962233169</v>
      </c>
    </row>
    <row r="1321" spans="1:7" ht="13">
      <c r="A1321" s="4" t="s">
        <v>116</v>
      </c>
      <c r="B1321" s="1">
        <v>6.5</v>
      </c>
      <c r="C1321" s="1">
        <v>719</v>
      </c>
      <c r="D1321" s="1" t="s">
        <v>45</v>
      </c>
      <c r="E1321" s="1" t="s">
        <v>20</v>
      </c>
      <c r="F1321" s="1">
        <f t="shared" si="48"/>
        <v>650</v>
      </c>
      <c r="G1321" s="5">
        <f t="shared" si="47"/>
        <v>1.106153846153846</v>
      </c>
    </row>
    <row r="1322" spans="1:7" ht="13">
      <c r="A1322" s="4" t="s">
        <v>116</v>
      </c>
      <c r="B1322" s="1">
        <v>4.3</v>
      </c>
      <c r="C1322" s="1">
        <v>438</v>
      </c>
      <c r="D1322" s="1" t="s">
        <v>11</v>
      </c>
      <c r="E1322" s="1" t="s">
        <v>32</v>
      </c>
      <c r="F1322" s="1">
        <f t="shared" si="48"/>
        <v>430</v>
      </c>
      <c r="G1322" s="5">
        <f t="shared" si="47"/>
        <v>1.0186046511627906</v>
      </c>
    </row>
    <row r="1323" spans="1:7" ht="13">
      <c r="A1323" s="4" t="s">
        <v>116</v>
      </c>
      <c r="B1323" s="1">
        <v>6</v>
      </c>
      <c r="C1323" s="1">
        <v>690</v>
      </c>
      <c r="D1323" s="1" t="s">
        <v>11</v>
      </c>
      <c r="E1323" s="1" t="s">
        <v>23</v>
      </c>
      <c r="F1323" s="1">
        <f t="shared" si="48"/>
        <v>600</v>
      </c>
      <c r="G1323" s="5">
        <f t="shared" si="47"/>
        <v>1.1499999999999999</v>
      </c>
    </row>
    <row r="1324" spans="1:7" ht="13">
      <c r="A1324" s="4" t="s">
        <v>116</v>
      </c>
      <c r="B1324" s="1">
        <v>5.4</v>
      </c>
      <c r="C1324" s="1">
        <v>675</v>
      </c>
      <c r="D1324" s="1" t="s">
        <v>55</v>
      </c>
      <c r="E1324" s="1" t="s">
        <v>26</v>
      </c>
      <c r="F1324" s="1">
        <f t="shared" si="48"/>
        <v>540</v>
      </c>
      <c r="G1324" s="5">
        <f t="shared" si="47"/>
        <v>1.25</v>
      </c>
    </row>
    <row r="1325" spans="1:7" ht="13">
      <c r="A1325" s="4" t="s">
        <v>116</v>
      </c>
      <c r="B1325" s="1">
        <v>5.5</v>
      </c>
      <c r="C1325" s="1">
        <v>675</v>
      </c>
      <c r="D1325" s="1" t="s">
        <v>11</v>
      </c>
      <c r="E1325" s="1" t="s">
        <v>68</v>
      </c>
      <c r="F1325" s="1">
        <f t="shared" si="48"/>
        <v>550</v>
      </c>
      <c r="G1325" s="5">
        <f t="shared" si="47"/>
        <v>1.2272727272727273</v>
      </c>
    </row>
    <row r="1326" spans="1:7" ht="13">
      <c r="A1326" s="4" t="s">
        <v>116</v>
      </c>
      <c r="B1326" s="1">
        <v>7.3</v>
      </c>
      <c r="C1326" s="1">
        <v>832</v>
      </c>
      <c r="D1326" s="1" t="s">
        <v>11</v>
      </c>
      <c r="E1326" s="1" t="s">
        <v>16</v>
      </c>
      <c r="F1326" s="1">
        <f t="shared" si="48"/>
        <v>730</v>
      </c>
      <c r="G1326" s="5">
        <f t="shared" si="47"/>
        <v>1.1397260273972603</v>
      </c>
    </row>
    <row r="1327" spans="1:7" ht="13">
      <c r="A1327" s="4" t="s">
        <v>116</v>
      </c>
      <c r="B1327" s="1">
        <v>6.96</v>
      </c>
      <c r="C1327" s="1">
        <v>647</v>
      </c>
      <c r="D1327" s="1" t="s">
        <v>33</v>
      </c>
      <c r="E1327" s="1" t="s">
        <v>12</v>
      </c>
      <c r="F1327" s="1">
        <f t="shared" si="48"/>
        <v>696</v>
      </c>
      <c r="G1327" s="5">
        <f t="shared" si="47"/>
        <v>0.9295977011494253</v>
      </c>
    </row>
    <row r="1328" spans="1:7" ht="13">
      <c r="A1328" s="4" t="s">
        <v>116</v>
      </c>
      <c r="B1328" s="1">
        <v>7.4</v>
      </c>
      <c r="C1328" s="1">
        <v>750</v>
      </c>
      <c r="D1328" s="1" t="s">
        <v>42</v>
      </c>
      <c r="E1328" s="1" t="s">
        <v>10</v>
      </c>
      <c r="F1328" s="1">
        <f t="shared" si="48"/>
        <v>740</v>
      </c>
      <c r="G1328" s="5">
        <f t="shared" si="47"/>
        <v>1.0135135135135136</v>
      </c>
    </row>
    <row r="1329" spans="1:7" ht="13">
      <c r="A1329" s="4" t="s">
        <v>116</v>
      </c>
      <c r="B1329" s="1">
        <v>3.44</v>
      </c>
      <c r="C1329" s="1">
        <v>420</v>
      </c>
      <c r="D1329" s="1" t="s">
        <v>11</v>
      </c>
      <c r="E1329" s="1" t="s">
        <v>9</v>
      </c>
      <c r="F1329" s="1">
        <f t="shared" si="48"/>
        <v>344</v>
      </c>
      <c r="G1329" s="5">
        <f t="shared" si="47"/>
        <v>1.2209302325581395</v>
      </c>
    </row>
    <row r="1330" spans="1:7" ht="13">
      <c r="A1330" s="4" t="s">
        <v>116</v>
      </c>
      <c r="B1330" s="1">
        <v>7.29</v>
      </c>
      <c r="C1330" s="1">
        <v>844</v>
      </c>
      <c r="D1330" s="1" t="s">
        <v>11</v>
      </c>
      <c r="E1330" s="1" t="s">
        <v>18</v>
      </c>
      <c r="F1330" s="1">
        <f t="shared" si="48"/>
        <v>729</v>
      </c>
      <c r="G1330" s="5">
        <f t="shared" si="47"/>
        <v>1.157750342935528</v>
      </c>
    </row>
    <row r="1331" spans="1:7" ht="13">
      <c r="A1331" s="4" t="s">
        <v>116</v>
      </c>
      <c r="B1331" s="1">
        <v>6.5</v>
      </c>
      <c r="C1331" s="1">
        <v>748</v>
      </c>
      <c r="D1331" s="1" t="s">
        <v>34</v>
      </c>
      <c r="E1331" s="1" t="s">
        <v>27</v>
      </c>
      <c r="F1331" s="1">
        <f t="shared" si="48"/>
        <v>650</v>
      </c>
      <c r="G1331" s="5">
        <f t="shared" si="47"/>
        <v>1.1507692307692308</v>
      </c>
    </row>
    <row r="1332" spans="1:7" ht="13">
      <c r="A1332" s="4" t="s">
        <v>116</v>
      </c>
      <c r="B1332" s="1">
        <v>6.7</v>
      </c>
      <c r="C1332" s="1">
        <v>730</v>
      </c>
      <c r="D1332" s="1" t="s">
        <v>58</v>
      </c>
      <c r="E1332" s="1" t="s">
        <v>22</v>
      </c>
      <c r="F1332" s="1">
        <f t="shared" si="48"/>
        <v>670</v>
      </c>
      <c r="G1332" s="5">
        <f t="shared" si="47"/>
        <v>1.0895522388059702</v>
      </c>
    </row>
    <row r="1333" spans="1:7" ht="13">
      <c r="A1333" s="4" t="s">
        <v>116</v>
      </c>
      <c r="B1333" s="1">
        <v>3</v>
      </c>
      <c r="C1333" s="1">
        <v>343</v>
      </c>
      <c r="D1333" s="1" t="s">
        <v>11</v>
      </c>
      <c r="E1333" s="1" t="s">
        <v>10</v>
      </c>
      <c r="F1333" s="1">
        <f t="shared" si="48"/>
        <v>300</v>
      </c>
      <c r="G1333" s="5">
        <f t="shared" si="47"/>
        <v>1.1433333333333333</v>
      </c>
    </row>
    <row r="1334" spans="1:7" ht="13">
      <c r="A1334" s="4" t="s">
        <v>116</v>
      </c>
      <c r="B1334" s="1">
        <v>7.35</v>
      </c>
      <c r="C1334" s="1">
        <v>881</v>
      </c>
      <c r="D1334" s="1" t="s">
        <v>11</v>
      </c>
      <c r="E1334" s="1" t="s">
        <v>17</v>
      </c>
      <c r="F1334" s="1">
        <f t="shared" si="48"/>
        <v>735</v>
      </c>
      <c r="G1334" s="5">
        <f t="shared" si="47"/>
        <v>1.198639455782313</v>
      </c>
    </row>
    <row r="1335" spans="1:7" ht="13">
      <c r="A1335" s="4" t="s">
        <v>116</v>
      </c>
      <c r="B1335" s="1">
        <v>5.2</v>
      </c>
      <c r="C1335" s="1">
        <v>29</v>
      </c>
      <c r="D1335" s="1" t="s">
        <v>33</v>
      </c>
      <c r="E1335" s="1" t="s">
        <v>15</v>
      </c>
      <c r="F1335" s="1">
        <f t="shared" si="48"/>
        <v>520</v>
      </c>
      <c r="G1335" s="5">
        <f t="shared" si="47"/>
        <v>5.5769230769230772E-2</v>
      </c>
    </row>
    <row r="1336" spans="1:7" ht="13">
      <c r="A1336" s="4" t="s">
        <v>116</v>
      </c>
      <c r="B1336" s="1">
        <v>7.92</v>
      </c>
      <c r="C1336" s="1">
        <v>34</v>
      </c>
      <c r="D1336" s="1" t="s">
        <v>43</v>
      </c>
      <c r="E1336" s="1" t="s">
        <v>24</v>
      </c>
      <c r="F1336" s="1">
        <f t="shared" si="48"/>
        <v>792</v>
      </c>
      <c r="G1336" s="5">
        <f t="shared" si="47"/>
        <v>4.2929292929292928E-2</v>
      </c>
    </row>
    <row r="1337" spans="1:7" ht="13">
      <c r="A1337" s="4" t="s">
        <v>116</v>
      </c>
      <c r="B1337" s="1">
        <v>8</v>
      </c>
      <c r="C1337" s="1">
        <v>693</v>
      </c>
      <c r="D1337" s="1" t="s">
        <v>11</v>
      </c>
      <c r="E1337" s="1" t="s">
        <v>22</v>
      </c>
      <c r="F1337" s="1">
        <f t="shared" si="48"/>
        <v>800</v>
      </c>
      <c r="G1337" s="5">
        <f t="shared" si="47"/>
        <v>0.86624999999999996</v>
      </c>
    </row>
    <row r="1338" spans="1:7" ht="13">
      <c r="A1338" s="4" t="s">
        <v>116</v>
      </c>
      <c r="B1338" s="1">
        <v>7.3</v>
      </c>
      <c r="C1338" s="1">
        <v>756</v>
      </c>
      <c r="D1338" s="1" t="s">
        <v>47</v>
      </c>
      <c r="E1338" s="1" t="s">
        <v>28</v>
      </c>
      <c r="F1338" s="1">
        <f t="shared" si="48"/>
        <v>730</v>
      </c>
      <c r="G1338" s="5">
        <f t="shared" si="47"/>
        <v>1.0356164383561643</v>
      </c>
    </row>
    <row r="1339" spans="1:7" ht="13">
      <c r="A1339" s="4" t="s">
        <v>116</v>
      </c>
      <c r="B1339" s="1">
        <v>6.02</v>
      </c>
      <c r="C1339" s="1">
        <v>608</v>
      </c>
      <c r="D1339" s="1" t="s">
        <v>11</v>
      </c>
      <c r="E1339" s="1" t="s">
        <v>22</v>
      </c>
      <c r="F1339" s="1">
        <f t="shared" si="48"/>
        <v>602</v>
      </c>
      <c r="G1339" s="5">
        <f t="shared" si="47"/>
        <v>1.0099667774086378</v>
      </c>
    </row>
    <row r="1340" spans="1:7" ht="13">
      <c r="A1340" s="4" t="s">
        <v>116</v>
      </c>
      <c r="B1340" s="1">
        <v>7.8</v>
      </c>
      <c r="C1340" s="1">
        <v>812</v>
      </c>
      <c r="D1340" s="1" t="s">
        <v>55</v>
      </c>
      <c r="E1340" s="1" t="s">
        <v>49</v>
      </c>
      <c r="F1340" s="1">
        <f t="shared" si="48"/>
        <v>780</v>
      </c>
      <c r="G1340" s="5">
        <f t="shared" si="47"/>
        <v>1.0410256410256411</v>
      </c>
    </row>
    <row r="1341" spans="1:7" ht="13">
      <c r="A1341" s="4" t="s">
        <v>116</v>
      </c>
      <c r="B1341" s="1">
        <v>4.0999999999999996</v>
      </c>
      <c r="C1341" s="1">
        <v>468</v>
      </c>
      <c r="D1341" s="1" t="s">
        <v>40</v>
      </c>
      <c r="E1341" s="1" t="s">
        <v>25</v>
      </c>
      <c r="F1341" s="1">
        <f t="shared" si="48"/>
        <v>409.99999999999994</v>
      </c>
      <c r="G1341" s="5">
        <f t="shared" si="47"/>
        <v>1.1414634146341465</v>
      </c>
    </row>
    <row r="1342" spans="1:7" ht="13">
      <c r="A1342" s="4" t="s">
        <v>116</v>
      </c>
      <c r="B1342" s="1">
        <v>3.4</v>
      </c>
      <c r="C1342" s="1">
        <v>435</v>
      </c>
      <c r="D1342" s="1" t="s">
        <v>11</v>
      </c>
      <c r="E1342" s="1" t="s">
        <v>26</v>
      </c>
      <c r="F1342" s="1">
        <f t="shared" si="48"/>
        <v>340</v>
      </c>
      <c r="G1342" s="5">
        <f t="shared" si="47"/>
        <v>1.2794117647058822</v>
      </c>
    </row>
    <row r="1343" spans="1:7" ht="13">
      <c r="A1343" s="4" t="s">
        <v>116</v>
      </c>
      <c r="B1343" s="1">
        <v>5.12</v>
      </c>
      <c r="C1343" s="1">
        <v>567.79999999999995</v>
      </c>
      <c r="D1343" s="1" t="s">
        <v>39</v>
      </c>
      <c r="E1343" s="1" t="s">
        <v>15</v>
      </c>
      <c r="F1343" s="1">
        <f t="shared" si="48"/>
        <v>512</v>
      </c>
      <c r="G1343" s="5">
        <f t="shared" si="47"/>
        <v>1.1089843749999999</v>
      </c>
    </row>
    <row r="1344" spans="1:7" ht="13">
      <c r="A1344" s="4" t="s">
        <v>116</v>
      </c>
      <c r="B1344" s="1">
        <v>7.3</v>
      </c>
      <c r="C1344" s="1">
        <v>832</v>
      </c>
      <c r="D1344" s="1" t="s">
        <v>38</v>
      </c>
      <c r="E1344" s="1" t="s">
        <v>9</v>
      </c>
      <c r="F1344" s="1">
        <f t="shared" si="48"/>
        <v>730</v>
      </c>
      <c r="G1344" s="5">
        <f t="shared" si="47"/>
        <v>1.1397260273972603</v>
      </c>
    </row>
    <row r="1345" spans="1:7" ht="13">
      <c r="A1345" s="4" t="s">
        <v>116</v>
      </c>
      <c r="B1345" s="1">
        <v>7.2</v>
      </c>
      <c r="C1345" s="1">
        <v>765</v>
      </c>
      <c r="D1345" s="1" t="s">
        <v>43</v>
      </c>
      <c r="E1345" s="1" t="s">
        <v>17</v>
      </c>
      <c r="F1345" s="1">
        <f t="shared" si="48"/>
        <v>720</v>
      </c>
      <c r="G1345" s="5">
        <f t="shared" si="47"/>
        <v>1.0625</v>
      </c>
    </row>
    <row r="1346" spans="1:7" ht="13">
      <c r="A1346" s="4" t="s">
        <v>116</v>
      </c>
      <c r="B1346" s="1">
        <v>9</v>
      </c>
      <c r="C1346" s="1">
        <v>1010</v>
      </c>
      <c r="D1346" s="1" t="s">
        <v>11</v>
      </c>
      <c r="E1346" s="1" t="s">
        <v>23</v>
      </c>
      <c r="F1346" s="1">
        <f t="shared" si="48"/>
        <v>900</v>
      </c>
      <c r="G1346" s="5">
        <f t="shared" ref="G1346:G1409" si="49">C1346/F1346</f>
        <v>1.1222222222222222</v>
      </c>
    </row>
    <row r="1347" spans="1:7" ht="13">
      <c r="A1347" s="4" t="s">
        <v>116</v>
      </c>
      <c r="B1347" s="1">
        <v>6.29</v>
      </c>
      <c r="C1347" s="1">
        <v>817</v>
      </c>
      <c r="D1347" s="1" t="s">
        <v>11</v>
      </c>
      <c r="E1347" s="1" t="s">
        <v>27</v>
      </c>
      <c r="F1347" s="1">
        <f t="shared" ref="F1347:F1410" si="50">B1347*100</f>
        <v>629</v>
      </c>
      <c r="G1347" s="5">
        <f t="shared" si="49"/>
        <v>1.2988871224165341</v>
      </c>
    </row>
    <row r="1348" spans="1:7" ht="13">
      <c r="A1348" s="4" t="s">
        <v>116</v>
      </c>
      <c r="B1348" s="1">
        <v>6</v>
      </c>
      <c r="C1348" s="1">
        <v>623</v>
      </c>
      <c r="D1348" s="1" t="s">
        <v>33</v>
      </c>
      <c r="E1348" s="1" t="s">
        <v>15</v>
      </c>
      <c r="F1348" s="1">
        <f t="shared" si="50"/>
        <v>600</v>
      </c>
      <c r="G1348" s="5">
        <f t="shared" si="49"/>
        <v>1.0383333333333333</v>
      </c>
    </row>
    <row r="1349" spans="1:7" ht="13">
      <c r="A1349" s="4" t="s">
        <v>116</v>
      </c>
      <c r="B1349" s="1">
        <v>6.88</v>
      </c>
      <c r="C1349" s="1">
        <v>805</v>
      </c>
      <c r="D1349" s="1" t="s">
        <v>33</v>
      </c>
      <c r="E1349" s="1" t="s">
        <v>8</v>
      </c>
      <c r="F1349" s="1">
        <f t="shared" si="50"/>
        <v>688</v>
      </c>
      <c r="G1349" s="5">
        <f t="shared" si="49"/>
        <v>1.1700581395348837</v>
      </c>
    </row>
    <row r="1350" spans="1:7" ht="13">
      <c r="A1350" s="4" t="s">
        <v>116</v>
      </c>
      <c r="B1350" s="1">
        <v>6</v>
      </c>
      <c r="C1350" s="1">
        <v>627</v>
      </c>
      <c r="D1350" s="1" t="s">
        <v>11</v>
      </c>
      <c r="E1350" s="1" t="s">
        <v>20</v>
      </c>
      <c r="F1350" s="1">
        <f t="shared" si="50"/>
        <v>600</v>
      </c>
      <c r="G1350" s="5">
        <f t="shared" si="49"/>
        <v>1.0449999999999999</v>
      </c>
    </row>
    <row r="1351" spans="1:7" ht="13">
      <c r="A1351" s="4" t="s">
        <v>116</v>
      </c>
      <c r="B1351" s="1">
        <v>6.02</v>
      </c>
      <c r="C1351" s="1">
        <v>664</v>
      </c>
      <c r="D1351" s="1" t="s">
        <v>42</v>
      </c>
      <c r="E1351" s="1" t="s">
        <v>14</v>
      </c>
      <c r="F1351" s="1">
        <f t="shared" si="50"/>
        <v>602</v>
      </c>
      <c r="G1351" s="5">
        <f t="shared" si="49"/>
        <v>1.1029900332225913</v>
      </c>
    </row>
    <row r="1352" spans="1:7" ht="13">
      <c r="A1352" s="4" t="s">
        <v>116</v>
      </c>
      <c r="B1352" s="1">
        <v>5</v>
      </c>
      <c r="C1352" s="1">
        <v>584</v>
      </c>
      <c r="D1352" s="1" t="s">
        <v>42</v>
      </c>
      <c r="E1352" s="1" t="s">
        <v>30</v>
      </c>
      <c r="F1352" s="1">
        <f t="shared" si="50"/>
        <v>500</v>
      </c>
      <c r="G1352" s="5">
        <f t="shared" si="49"/>
        <v>1.1679999999999999</v>
      </c>
    </row>
    <row r="1353" spans="1:7" ht="13">
      <c r="A1353" s="4" t="s">
        <v>116</v>
      </c>
      <c r="B1353" s="1">
        <v>8.1999999999999993</v>
      </c>
      <c r="C1353" s="1">
        <v>815</v>
      </c>
      <c r="D1353" s="1" t="s">
        <v>11</v>
      </c>
      <c r="E1353" s="1" t="s">
        <v>12</v>
      </c>
      <c r="F1353" s="1">
        <f t="shared" si="50"/>
        <v>819.99999999999989</v>
      </c>
      <c r="G1353" s="5">
        <f t="shared" si="49"/>
        <v>0.99390243902439035</v>
      </c>
    </row>
    <row r="1354" spans="1:7" ht="13">
      <c r="A1354" s="4" t="s">
        <v>116</v>
      </c>
      <c r="B1354" s="1">
        <v>4.5999999999999996</v>
      </c>
      <c r="C1354" s="1">
        <v>516</v>
      </c>
      <c r="D1354" s="1" t="s">
        <v>11</v>
      </c>
      <c r="E1354" s="1" t="s">
        <v>24</v>
      </c>
      <c r="F1354" s="1">
        <f t="shared" si="50"/>
        <v>459.99999999999994</v>
      </c>
      <c r="G1354" s="5">
        <f t="shared" si="49"/>
        <v>1.1217391304347828</v>
      </c>
    </row>
    <row r="1355" spans="1:7" ht="13">
      <c r="A1355" s="4" t="s">
        <v>116</v>
      </c>
      <c r="B1355" s="1">
        <v>8.75</v>
      </c>
      <c r="C1355" s="1">
        <v>897</v>
      </c>
      <c r="D1355" s="1" t="s">
        <v>47</v>
      </c>
      <c r="E1355" s="1" t="s">
        <v>31</v>
      </c>
      <c r="F1355" s="1">
        <f t="shared" si="50"/>
        <v>875</v>
      </c>
      <c r="G1355" s="5">
        <f t="shared" si="49"/>
        <v>1.0251428571428571</v>
      </c>
    </row>
    <row r="1356" spans="1:7" ht="13">
      <c r="A1356" s="4" t="s">
        <v>116</v>
      </c>
      <c r="B1356" s="1">
        <v>7</v>
      </c>
      <c r="C1356" s="1">
        <v>811</v>
      </c>
      <c r="D1356" s="1" t="s">
        <v>33</v>
      </c>
      <c r="E1356" s="1" t="s">
        <v>15</v>
      </c>
      <c r="F1356" s="1">
        <f t="shared" si="50"/>
        <v>700</v>
      </c>
      <c r="G1356" s="5">
        <f t="shared" si="49"/>
        <v>1.1585714285714286</v>
      </c>
    </row>
    <row r="1357" spans="1:7" ht="13">
      <c r="A1357" s="4" t="s">
        <v>116</v>
      </c>
      <c r="B1357" s="1">
        <v>5.16</v>
      </c>
      <c r="C1357" s="1">
        <v>567</v>
      </c>
      <c r="D1357" s="1" t="s">
        <v>42</v>
      </c>
      <c r="E1357" s="1" t="s">
        <v>22</v>
      </c>
      <c r="F1357" s="1">
        <f t="shared" si="50"/>
        <v>516</v>
      </c>
      <c r="G1357" s="5">
        <f t="shared" si="49"/>
        <v>1.0988372093023255</v>
      </c>
    </row>
    <row r="1358" spans="1:7" ht="13">
      <c r="A1358" s="4" t="s">
        <v>116</v>
      </c>
      <c r="B1358" s="1">
        <v>1044</v>
      </c>
      <c r="C1358" s="1">
        <v>1123</v>
      </c>
      <c r="D1358" s="1" t="s">
        <v>11</v>
      </c>
      <c r="E1358" s="1" t="s">
        <v>20</v>
      </c>
      <c r="F1358" s="1">
        <f t="shared" si="50"/>
        <v>104400</v>
      </c>
      <c r="G1358" s="5">
        <f t="shared" si="49"/>
        <v>1.0756704980842913E-2</v>
      </c>
    </row>
    <row r="1359" spans="1:7" ht="13">
      <c r="A1359" s="4" t="s">
        <v>116</v>
      </c>
      <c r="B1359" s="1">
        <v>6.04</v>
      </c>
      <c r="C1359" s="1">
        <v>634</v>
      </c>
      <c r="D1359" s="1" t="s">
        <v>33</v>
      </c>
      <c r="E1359" s="1" t="s">
        <v>15</v>
      </c>
      <c r="F1359" s="1">
        <f t="shared" si="50"/>
        <v>604</v>
      </c>
      <c r="G1359" s="5">
        <f t="shared" si="49"/>
        <v>1.0496688741721854</v>
      </c>
    </row>
    <row r="1360" spans="1:7" ht="13">
      <c r="A1360" s="4" t="s">
        <v>116</v>
      </c>
      <c r="B1360" s="1">
        <v>8.4</v>
      </c>
      <c r="C1360" s="1">
        <v>930</v>
      </c>
      <c r="D1360" s="1" t="s">
        <v>11</v>
      </c>
      <c r="E1360" s="1" t="s">
        <v>24</v>
      </c>
      <c r="F1360" s="1">
        <f t="shared" si="50"/>
        <v>840</v>
      </c>
      <c r="G1360" s="5">
        <f t="shared" si="49"/>
        <v>1.1071428571428572</v>
      </c>
    </row>
    <row r="1361" spans="1:7" ht="13">
      <c r="A1361" s="4" t="s">
        <v>116</v>
      </c>
      <c r="B1361" s="1">
        <v>6400</v>
      </c>
      <c r="C1361" s="1">
        <v>817</v>
      </c>
      <c r="D1361" s="1" t="s">
        <v>11</v>
      </c>
      <c r="E1361" s="1" t="s">
        <v>26</v>
      </c>
      <c r="F1361" s="1">
        <f t="shared" si="50"/>
        <v>640000</v>
      </c>
      <c r="G1361" s="5">
        <f t="shared" si="49"/>
        <v>1.2765624999999999E-3</v>
      </c>
    </row>
    <row r="1362" spans="1:7" ht="13">
      <c r="A1362" s="4" t="s">
        <v>116</v>
      </c>
      <c r="B1362" s="1">
        <v>6.4</v>
      </c>
      <c r="C1362" s="1">
        <v>735</v>
      </c>
      <c r="D1362" s="1" t="s">
        <v>11</v>
      </c>
      <c r="E1362" s="1" t="s">
        <v>20</v>
      </c>
      <c r="F1362" s="1">
        <f t="shared" si="50"/>
        <v>640</v>
      </c>
      <c r="G1362" s="5">
        <f t="shared" si="49"/>
        <v>1.1484375</v>
      </c>
    </row>
    <row r="1363" spans="1:7" ht="13">
      <c r="A1363" s="4" t="s">
        <v>116</v>
      </c>
      <c r="B1363" s="1">
        <v>6.2249999999999996</v>
      </c>
      <c r="C1363" s="1">
        <v>659</v>
      </c>
      <c r="D1363" s="1" t="s">
        <v>94</v>
      </c>
      <c r="E1363" s="1" t="s">
        <v>17</v>
      </c>
      <c r="F1363" s="1">
        <f t="shared" si="50"/>
        <v>622.5</v>
      </c>
      <c r="G1363" s="5">
        <f t="shared" si="49"/>
        <v>1.0586345381526105</v>
      </c>
    </row>
    <row r="1364" spans="1:7" ht="13">
      <c r="A1364" s="4" t="s">
        <v>116</v>
      </c>
      <c r="B1364" s="1">
        <v>6</v>
      </c>
      <c r="C1364" s="1">
        <v>664</v>
      </c>
      <c r="D1364" s="1" t="s">
        <v>11</v>
      </c>
      <c r="E1364" s="1" t="s">
        <v>12</v>
      </c>
      <c r="F1364" s="1">
        <f t="shared" si="50"/>
        <v>600</v>
      </c>
      <c r="G1364" s="5">
        <f t="shared" si="49"/>
        <v>1.1066666666666667</v>
      </c>
    </row>
    <row r="1365" spans="1:7" ht="13">
      <c r="A1365" s="4" t="s">
        <v>116</v>
      </c>
      <c r="B1365" s="1">
        <v>6.25</v>
      </c>
      <c r="C1365" s="1">
        <v>485</v>
      </c>
      <c r="D1365" s="1" t="s">
        <v>11</v>
      </c>
      <c r="E1365" s="1" t="s">
        <v>32</v>
      </c>
      <c r="F1365" s="1">
        <f t="shared" si="50"/>
        <v>625</v>
      </c>
      <c r="G1365" s="5">
        <f t="shared" si="49"/>
        <v>0.77600000000000002</v>
      </c>
    </row>
    <row r="1366" spans="1:7" ht="13">
      <c r="A1366" s="4" t="s">
        <v>116</v>
      </c>
      <c r="B1366" s="1">
        <v>7.56</v>
      </c>
      <c r="C1366" s="1">
        <v>798</v>
      </c>
      <c r="D1366" s="1" t="s">
        <v>33</v>
      </c>
      <c r="E1366" s="1" t="s">
        <v>15</v>
      </c>
      <c r="F1366" s="1">
        <f t="shared" si="50"/>
        <v>756</v>
      </c>
      <c r="G1366" s="5">
        <f t="shared" si="49"/>
        <v>1.0555555555555556</v>
      </c>
    </row>
    <row r="1367" spans="1:7" ht="13">
      <c r="A1367" s="4" t="s">
        <v>116</v>
      </c>
      <c r="B1367" s="1">
        <v>6</v>
      </c>
      <c r="C1367" s="1">
        <v>783</v>
      </c>
      <c r="D1367" s="1" t="s">
        <v>11</v>
      </c>
      <c r="E1367" s="1" t="s">
        <v>8</v>
      </c>
      <c r="F1367" s="1">
        <f t="shared" si="50"/>
        <v>600</v>
      </c>
      <c r="G1367" s="5">
        <f t="shared" si="49"/>
        <v>1.3049999999999999</v>
      </c>
    </row>
    <row r="1368" spans="1:7" ht="13">
      <c r="A1368" s="4" t="s">
        <v>116</v>
      </c>
      <c r="B1368" s="1">
        <v>8</v>
      </c>
      <c r="C1368" s="1">
        <v>820</v>
      </c>
      <c r="D1368" s="1" t="s">
        <v>11</v>
      </c>
      <c r="E1368" s="1" t="s">
        <v>12</v>
      </c>
      <c r="F1368" s="1">
        <f t="shared" si="50"/>
        <v>800</v>
      </c>
      <c r="G1368" s="5">
        <f t="shared" si="49"/>
        <v>1.0249999999999999</v>
      </c>
    </row>
    <row r="1369" spans="1:7" ht="13">
      <c r="A1369" s="4" t="s">
        <v>116</v>
      </c>
      <c r="B1369" s="1">
        <v>6.97</v>
      </c>
      <c r="C1369" s="1">
        <v>694.1</v>
      </c>
      <c r="D1369" s="1" t="s">
        <v>39</v>
      </c>
      <c r="E1369" s="1" t="s">
        <v>17</v>
      </c>
      <c r="F1369" s="1">
        <f t="shared" si="50"/>
        <v>697</v>
      </c>
      <c r="G1369" s="5">
        <f t="shared" si="49"/>
        <v>0.99583931133428982</v>
      </c>
    </row>
    <row r="1370" spans="1:7" ht="13">
      <c r="A1370" s="4" t="s">
        <v>116</v>
      </c>
      <c r="B1370" s="1">
        <v>8.5</v>
      </c>
      <c r="C1370" s="1">
        <v>895</v>
      </c>
      <c r="D1370" s="1" t="s">
        <v>33</v>
      </c>
      <c r="E1370" s="1" t="s">
        <v>46</v>
      </c>
      <c r="F1370" s="1">
        <f t="shared" si="50"/>
        <v>850</v>
      </c>
      <c r="G1370" s="5">
        <f t="shared" si="49"/>
        <v>1.0529411764705883</v>
      </c>
    </row>
    <row r="1371" spans="1:7" ht="13">
      <c r="A1371" s="4" t="s">
        <v>116</v>
      </c>
      <c r="B1371" s="1">
        <v>6</v>
      </c>
      <c r="C1371" s="1">
        <v>590</v>
      </c>
      <c r="D1371" s="1" t="s">
        <v>33</v>
      </c>
      <c r="E1371" s="1" t="s">
        <v>15</v>
      </c>
      <c r="F1371" s="1">
        <f t="shared" si="50"/>
        <v>600</v>
      </c>
      <c r="G1371" s="5">
        <f t="shared" si="49"/>
        <v>0.98333333333333328</v>
      </c>
    </row>
    <row r="1372" spans="1:7" ht="13">
      <c r="A1372" s="4" t="s">
        <v>116</v>
      </c>
      <c r="B1372" s="1">
        <v>7.3</v>
      </c>
      <c r="C1372" s="1">
        <v>703</v>
      </c>
      <c r="D1372" s="1" t="s">
        <v>35</v>
      </c>
      <c r="E1372" s="1" t="s">
        <v>23</v>
      </c>
      <c r="F1372" s="1">
        <f t="shared" si="50"/>
        <v>730</v>
      </c>
      <c r="G1372" s="5">
        <f t="shared" si="49"/>
        <v>0.96301369863013697</v>
      </c>
    </row>
    <row r="1373" spans="1:7" ht="13">
      <c r="A1373" s="4" t="s">
        <v>116</v>
      </c>
      <c r="B1373" s="1">
        <v>6.4</v>
      </c>
      <c r="C1373" s="1">
        <v>700.2</v>
      </c>
      <c r="D1373" s="1" t="s">
        <v>35</v>
      </c>
      <c r="E1373" s="1" t="s">
        <v>18</v>
      </c>
      <c r="F1373" s="1">
        <f t="shared" si="50"/>
        <v>640</v>
      </c>
      <c r="G1373" s="5">
        <f t="shared" si="49"/>
        <v>1.0940625000000002</v>
      </c>
    </row>
    <row r="1374" spans="1:7" ht="13">
      <c r="A1374" s="4" t="s">
        <v>116</v>
      </c>
      <c r="B1374" s="1">
        <v>6.6</v>
      </c>
      <c r="C1374" s="1">
        <v>625</v>
      </c>
      <c r="D1374" s="1" t="s">
        <v>52</v>
      </c>
      <c r="E1374" s="1" t="s">
        <v>25</v>
      </c>
      <c r="F1374" s="1">
        <f t="shared" si="50"/>
        <v>660</v>
      </c>
      <c r="G1374" s="5">
        <f t="shared" si="49"/>
        <v>0.94696969696969702</v>
      </c>
    </row>
    <row r="1375" spans="1:7" ht="13">
      <c r="A1375" s="4" t="s">
        <v>116</v>
      </c>
      <c r="B1375" s="1">
        <v>8.6</v>
      </c>
      <c r="C1375" s="1">
        <v>928</v>
      </c>
      <c r="D1375" s="1" t="s">
        <v>11</v>
      </c>
      <c r="E1375" s="1" t="s">
        <v>19</v>
      </c>
      <c r="F1375" s="1">
        <f t="shared" si="50"/>
        <v>860</v>
      </c>
      <c r="G1375" s="5">
        <f t="shared" si="49"/>
        <v>1.0790697674418606</v>
      </c>
    </row>
    <row r="1376" spans="1:7" ht="13">
      <c r="A1376" s="4" t="s">
        <v>116</v>
      </c>
      <c r="B1376" s="1">
        <v>3.85</v>
      </c>
      <c r="C1376" s="1">
        <v>414</v>
      </c>
      <c r="D1376" s="1" t="s">
        <v>11</v>
      </c>
      <c r="E1376" s="1" t="s">
        <v>20</v>
      </c>
      <c r="F1376" s="1">
        <f t="shared" si="50"/>
        <v>385</v>
      </c>
      <c r="G1376" s="5">
        <f t="shared" si="49"/>
        <v>1.0753246753246752</v>
      </c>
    </row>
    <row r="1377" spans="1:7" ht="13">
      <c r="A1377" s="4" t="s">
        <v>116</v>
      </c>
      <c r="B1377" s="1">
        <v>5.0999999999999996</v>
      </c>
      <c r="C1377" s="1">
        <v>550</v>
      </c>
      <c r="D1377" s="1" t="s">
        <v>40</v>
      </c>
      <c r="E1377" s="1" t="s">
        <v>15</v>
      </c>
      <c r="F1377" s="1">
        <f t="shared" si="50"/>
        <v>509.99999999999994</v>
      </c>
      <c r="G1377" s="5">
        <f t="shared" si="49"/>
        <v>1.0784313725490198</v>
      </c>
    </row>
    <row r="1378" spans="1:7" ht="13">
      <c r="A1378" s="4" t="s">
        <v>116</v>
      </c>
      <c r="B1378" s="1">
        <v>5.0999999999999996</v>
      </c>
      <c r="C1378" s="1">
        <v>557</v>
      </c>
      <c r="D1378" s="1" t="s">
        <v>59</v>
      </c>
      <c r="E1378" s="1" t="s">
        <v>18</v>
      </c>
      <c r="F1378" s="1">
        <f t="shared" si="50"/>
        <v>509.99999999999994</v>
      </c>
      <c r="G1378" s="5">
        <f t="shared" si="49"/>
        <v>1.0921568627450982</v>
      </c>
    </row>
    <row r="1379" spans="1:7" ht="13">
      <c r="A1379" s="4" t="s">
        <v>116</v>
      </c>
      <c r="B1379" s="1">
        <v>6.96</v>
      </c>
      <c r="C1379" s="1">
        <v>756</v>
      </c>
      <c r="D1379" s="1" t="s">
        <v>11</v>
      </c>
      <c r="E1379" s="1" t="s">
        <v>20</v>
      </c>
      <c r="F1379" s="1">
        <f t="shared" si="50"/>
        <v>696</v>
      </c>
      <c r="G1379" s="5">
        <f t="shared" si="49"/>
        <v>1.0862068965517242</v>
      </c>
    </row>
    <row r="1380" spans="1:7" ht="13">
      <c r="A1380" s="4" t="s">
        <v>116</v>
      </c>
      <c r="B1380" s="1">
        <v>5.2</v>
      </c>
      <c r="C1380" s="1">
        <v>572</v>
      </c>
      <c r="D1380" s="1" t="s">
        <v>33</v>
      </c>
      <c r="E1380" s="1" t="s">
        <v>15</v>
      </c>
      <c r="F1380" s="1">
        <f t="shared" si="50"/>
        <v>520</v>
      </c>
      <c r="G1380" s="5">
        <f t="shared" si="49"/>
        <v>1.1000000000000001</v>
      </c>
    </row>
    <row r="1381" spans="1:7" ht="13">
      <c r="A1381" s="4" t="s">
        <v>116</v>
      </c>
      <c r="B1381" s="1">
        <v>7.38</v>
      </c>
      <c r="C1381" s="1">
        <v>782</v>
      </c>
      <c r="D1381" s="1" t="s">
        <v>33</v>
      </c>
      <c r="E1381" s="1" t="s">
        <v>22</v>
      </c>
      <c r="F1381" s="1">
        <f t="shared" si="50"/>
        <v>738</v>
      </c>
      <c r="G1381" s="5">
        <f t="shared" si="49"/>
        <v>1.0596205962059622</v>
      </c>
    </row>
    <row r="1382" spans="1:7" ht="13">
      <c r="A1382" s="4" t="s">
        <v>116</v>
      </c>
      <c r="B1382" s="1">
        <v>6.03</v>
      </c>
      <c r="C1382" s="1">
        <v>649</v>
      </c>
      <c r="D1382" s="1" t="s">
        <v>33</v>
      </c>
      <c r="E1382" s="1" t="s">
        <v>9</v>
      </c>
      <c r="F1382" s="1">
        <f t="shared" si="50"/>
        <v>603</v>
      </c>
      <c r="G1382" s="5">
        <f t="shared" si="49"/>
        <v>1.076285240464345</v>
      </c>
    </row>
    <row r="1383" spans="1:7" ht="13">
      <c r="A1383" s="4" t="s">
        <v>116</v>
      </c>
      <c r="B1383" s="1">
        <v>7.56</v>
      </c>
      <c r="C1383" s="1">
        <v>839</v>
      </c>
      <c r="D1383" s="1" t="s">
        <v>11</v>
      </c>
      <c r="E1383" s="1" t="s">
        <v>49</v>
      </c>
      <c r="F1383" s="1">
        <f t="shared" si="50"/>
        <v>756</v>
      </c>
      <c r="G1383" s="5">
        <f t="shared" si="49"/>
        <v>1.1097883597883598</v>
      </c>
    </row>
    <row r="1384" spans="1:7" ht="13">
      <c r="A1384" s="4" t="s">
        <v>116</v>
      </c>
      <c r="B1384" s="1">
        <v>5.5</v>
      </c>
      <c r="C1384" s="1">
        <v>643</v>
      </c>
      <c r="D1384" s="1" t="s">
        <v>11</v>
      </c>
      <c r="E1384" s="1" t="s">
        <v>15</v>
      </c>
      <c r="F1384" s="1">
        <f t="shared" si="50"/>
        <v>550</v>
      </c>
      <c r="G1384" s="5">
        <f t="shared" si="49"/>
        <v>1.1690909090909092</v>
      </c>
    </row>
    <row r="1385" spans="1:7" ht="13">
      <c r="A1385" s="4" t="s">
        <v>116</v>
      </c>
      <c r="B1385" s="1">
        <v>9.57</v>
      </c>
      <c r="C1385" s="1">
        <v>330</v>
      </c>
      <c r="D1385" s="1" t="s">
        <v>36</v>
      </c>
      <c r="E1385" s="1" t="s">
        <v>7</v>
      </c>
      <c r="F1385" s="1">
        <f t="shared" si="50"/>
        <v>957</v>
      </c>
      <c r="G1385" s="5">
        <f t="shared" si="49"/>
        <v>0.34482758620689657</v>
      </c>
    </row>
    <row r="1386" spans="1:7" ht="13">
      <c r="A1386" s="4" t="s">
        <v>116</v>
      </c>
      <c r="B1386" s="1">
        <v>4.0999999999999996</v>
      </c>
      <c r="C1386" s="1">
        <v>508</v>
      </c>
      <c r="D1386" s="1" t="s">
        <v>38</v>
      </c>
      <c r="E1386" s="1" t="s">
        <v>16</v>
      </c>
      <c r="F1386" s="1">
        <f t="shared" si="50"/>
        <v>409.99999999999994</v>
      </c>
      <c r="G1386" s="5">
        <f t="shared" si="49"/>
        <v>1.2390243902439027</v>
      </c>
    </row>
    <row r="1387" spans="1:7" ht="13">
      <c r="A1387" s="4" t="s">
        <v>116</v>
      </c>
      <c r="B1387" s="1">
        <v>7.7</v>
      </c>
      <c r="C1387" s="1">
        <v>795</v>
      </c>
      <c r="D1387" s="1" t="s">
        <v>35</v>
      </c>
      <c r="E1387" s="1" t="s">
        <v>8</v>
      </c>
      <c r="F1387" s="1">
        <f t="shared" si="50"/>
        <v>770</v>
      </c>
      <c r="G1387" s="5">
        <f t="shared" si="49"/>
        <v>1.0324675324675325</v>
      </c>
    </row>
    <row r="1388" spans="1:7" ht="13">
      <c r="A1388" s="4" t="s">
        <v>116</v>
      </c>
      <c r="B1388" s="1">
        <v>6.4</v>
      </c>
      <c r="C1388" s="1">
        <v>635</v>
      </c>
      <c r="D1388" s="1" t="s">
        <v>47</v>
      </c>
      <c r="E1388" s="1" t="s">
        <v>15</v>
      </c>
      <c r="F1388" s="1">
        <f t="shared" si="50"/>
        <v>640</v>
      </c>
      <c r="G1388" s="5">
        <f t="shared" si="49"/>
        <v>0.9921875</v>
      </c>
    </row>
    <row r="1389" spans="1:7" ht="13">
      <c r="A1389" s="4" t="s">
        <v>116</v>
      </c>
      <c r="B1389" s="1">
        <v>8.33</v>
      </c>
      <c r="C1389" s="1">
        <v>755</v>
      </c>
      <c r="D1389" s="1" t="s">
        <v>47</v>
      </c>
      <c r="E1389" s="1" t="s">
        <v>7</v>
      </c>
      <c r="F1389" s="1">
        <f t="shared" si="50"/>
        <v>833</v>
      </c>
      <c r="G1389" s="5">
        <f t="shared" si="49"/>
        <v>0.90636254501800717</v>
      </c>
    </row>
    <row r="1390" spans="1:7" ht="13">
      <c r="A1390" s="4" t="s">
        <v>116</v>
      </c>
      <c r="B1390" s="1">
        <v>5.22</v>
      </c>
      <c r="C1390" s="1">
        <v>610</v>
      </c>
      <c r="D1390" s="1" t="s">
        <v>47</v>
      </c>
      <c r="E1390" s="1" t="s">
        <v>8</v>
      </c>
      <c r="F1390" s="1">
        <f t="shared" si="50"/>
        <v>522</v>
      </c>
      <c r="G1390" s="5">
        <f t="shared" si="49"/>
        <v>1.1685823754789273</v>
      </c>
    </row>
    <row r="1391" spans="1:7" ht="13">
      <c r="A1391" s="4" t="s">
        <v>116</v>
      </c>
      <c r="B1391" s="1">
        <v>5.59</v>
      </c>
      <c r="C1391" s="1">
        <v>622</v>
      </c>
      <c r="D1391" s="1" t="s">
        <v>36</v>
      </c>
      <c r="E1391" s="1" t="s">
        <v>9</v>
      </c>
      <c r="F1391" s="1">
        <f t="shared" si="50"/>
        <v>559</v>
      </c>
      <c r="G1391" s="5">
        <f t="shared" si="49"/>
        <v>1.1127012522361359</v>
      </c>
    </row>
    <row r="1392" spans="1:7" ht="13">
      <c r="A1392" s="4" t="s">
        <v>116</v>
      </c>
      <c r="B1392" s="1">
        <v>8.1999999999999993</v>
      </c>
      <c r="C1392" s="1">
        <v>827</v>
      </c>
      <c r="D1392" s="1" t="s">
        <v>11</v>
      </c>
      <c r="E1392" s="1" t="s">
        <v>17</v>
      </c>
      <c r="F1392" s="1">
        <f t="shared" si="50"/>
        <v>819.99999999999989</v>
      </c>
      <c r="G1392" s="5">
        <f t="shared" si="49"/>
        <v>1.0085365853658539</v>
      </c>
    </row>
    <row r="1393" spans="1:7" ht="13">
      <c r="A1393" s="4" t="s">
        <v>116</v>
      </c>
      <c r="B1393" s="1">
        <v>8.69</v>
      </c>
      <c r="C1393" s="1">
        <v>1077</v>
      </c>
      <c r="D1393" s="1" t="s">
        <v>11</v>
      </c>
      <c r="E1393" s="1" t="s">
        <v>26</v>
      </c>
      <c r="F1393" s="1">
        <f t="shared" si="50"/>
        <v>869</v>
      </c>
      <c r="G1393" s="5">
        <f t="shared" si="49"/>
        <v>1.239355581127733</v>
      </c>
    </row>
    <row r="1394" spans="1:7" ht="13">
      <c r="A1394" s="4" t="s">
        <v>116</v>
      </c>
      <c r="B1394" s="1">
        <v>6.1</v>
      </c>
      <c r="C1394" s="1">
        <v>607</v>
      </c>
      <c r="D1394" s="1" t="s">
        <v>63</v>
      </c>
      <c r="E1394" s="1" t="s">
        <v>23</v>
      </c>
      <c r="F1394" s="1">
        <f t="shared" si="50"/>
        <v>610</v>
      </c>
      <c r="G1394" s="5">
        <f t="shared" si="49"/>
        <v>0.9950819672131147</v>
      </c>
    </row>
    <row r="1395" spans="1:7" ht="13">
      <c r="A1395" s="4" t="s">
        <v>116</v>
      </c>
      <c r="B1395" s="1">
        <v>8.6</v>
      </c>
      <c r="C1395" s="1">
        <v>892</v>
      </c>
      <c r="D1395" s="1" t="s">
        <v>33</v>
      </c>
      <c r="E1395" s="1" t="s">
        <v>26</v>
      </c>
      <c r="F1395" s="1">
        <f t="shared" si="50"/>
        <v>860</v>
      </c>
      <c r="G1395" s="5">
        <f t="shared" si="49"/>
        <v>1.0372093023255815</v>
      </c>
    </row>
    <row r="1396" spans="1:7" ht="13">
      <c r="A1396" s="4" t="s">
        <v>116</v>
      </c>
      <c r="B1396" s="1">
        <v>4.2</v>
      </c>
      <c r="C1396" s="1">
        <v>430</v>
      </c>
      <c r="D1396" s="1" t="s">
        <v>43</v>
      </c>
      <c r="E1396" s="1" t="s">
        <v>20</v>
      </c>
      <c r="F1396" s="1">
        <f t="shared" si="50"/>
        <v>420</v>
      </c>
      <c r="G1396" s="5">
        <f t="shared" si="49"/>
        <v>1.0238095238095237</v>
      </c>
    </row>
    <row r="1397" spans="1:7" ht="13">
      <c r="A1397" s="4" t="s">
        <v>116</v>
      </c>
      <c r="B1397" s="1">
        <v>6.96</v>
      </c>
      <c r="C1397" s="1">
        <v>751</v>
      </c>
      <c r="D1397" s="1" t="s">
        <v>33</v>
      </c>
      <c r="E1397" s="1" t="s">
        <v>16</v>
      </c>
      <c r="F1397" s="1">
        <f t="shared" si="50"/>
        <v>696</v>
      </c>
      <c r="G1397" s="5">
        <f t="shared" si="49"/>
        <v>1.0790229885057472</v>
      </c>
    </row>
    <row r="1398" spans="1:7" ht="13">
      <c r="A1398" s="4" t="s">
        <v>116</v>
      </c>
      <c r="B1398" s="1">
        <v>5</v>
      </c>
      <c r="C1398" s="1">
        <v>476</v>
      </c>
      <c r="D1398" s="1" t="s">
        <v>43</v>
      </c>
      <c r="E1398" s="1" t="s">
        <v>12</v>
      </c>
      <c r="F1398" s="1">
        <f t="shared" si="50"/>
        <v>500</v>
      </c>
      <c r="G1398" s="5">
        <f t="shared" si="49"/>
        <v>0.95199999999999996</v>
      </c>
    </row>
    <row r="1399" spans="1:7" ht="13">
      <c r="A1399" s="4" t="s">
        <v>116</v>
      </c>
      <c r="B1399" s="1">
        <v>7.74</v>
      </c>
      <c r="C1399" s="1">
        <v>939</v>
      </c>
      <c r="D1399" s="1" t="s">
        <v>11</v>
      </c>
      <c r="E1399" s="1" t="s">
        <v>29</v>
      </c>
      <c r="F1399" s="1">
        <f t="shared" si="50"/>
        <v>774</v>
      </c>
      <c r="G1399" s="5">
        <f t="shared" si="49"/>
        <v>1.2131782945736433</v>
      </c>
    </row>
    <row r="1400" spans="1:7" ht="13">
      <c r="A1400" s="4" t="s">
        <v>116</v>
      </c>
      <c r="B1400" s="1">
        <v>5.52</v>
      </c>
      <c r="C1400" s="1">
        <v>672</v>
      </c>
      <c r="D1400" s="1" t="s">
        <v>11</v>
      </c>
      <c r="E1400" s="1" t="s">
        <v>26</v>
      </c>
      <c r="F1400" s="1">
        <f t="shared" si="50"/>
        <v>552</v>
      </c>
      <c r="G1400" s="5">
        <f t="shared" si="49"/>
        <v>1.2173913043478262</v>
      </c>
    </row>
    <row r="1401" spans="1:7" ht="13">
      <c r="A1401" s="4" t="s">
        <v>116</v>
      </c>
      <c r="B1401" s="1">
        <v>3.915</v>
      </c>
      <c r="C1401" s="1">
        <v>490</v>
      </c>
      <c r="D1401" s="1" t="s">
        <v>11</v>
      </c>
      <c r="E1401" s="1" t="s">
        <v>15</v>
      </c>
      <c r="F1401" s="1">
        <f t="shared" si="50"/>
        <v>391.5</v>
      </c>
      <c r="G1401" s="5">
        <f t="shared" si="49"/>
        <v>1.2515964240102171</v>
      </c>
    </row>
    <row r="1402" spans="1:7" ht="13">
      <c r="A1402" s="4" t="s">
        <v>116</v>
      </c>
      <c r="B1402" s="1">
        <v>6.96</v>
      </c>
      <c r="C1402" s="1">
        <v>790</v>
      </c>
      <c r="D1402" s="1" t="s">
        <v>33</v>
      </c>
      <c r="E1402" s="1" t="s">
        <v>24</v>
      </c>
      <c r="F1402" s="1">
        <f t="shared" si="50"/>
        <v>696</v>
      </c>
      <c r="G1402" s="5">
        <f t="shared" si="49"/>
        <v>1.1350574712643677</v>
      </c>
    </row>
    <row r="1403" spans="1:7" ht="13">
      <c r="A1403" s="4" t="s">
        <v>116</v>
      </c>
      <c r="B1403" s="1">
        <v>6.88</v>
      </c>
      <c r="C1403" s="1">
        <v>933</v>
      </c>
      <c r="D1403" s="1" t="s">
        <v>11</v>
      </c>
      <c r="E1403" s="1" t="s">
        <v>15</v>
      </c>
      <c r="F1403" s="1">
        <f t="shared" si="50"/>
        <v>688</v>
      </c>
      <c r="G1403" s="5">
        <f t="shared" si="49"/>
        <v>1.3561046511627908</v>
      </c>
    </row>
    <row r="1404" spans="1:7" ht="13">
      <c r="A1404" s="4" t="s">
        <v>116</v>
      </c>
      <c r="B1404" s="1">
        <v>6.75</v>
      </c>
      <c r="C1404" s="1">
        <v>800</v>
      </c>
      <c r="D1404" s="1" t="s">
        <v>11</v>
      </c>
      <c r="E1404" s="1" t="s">
        <v>26</v>
      </c>
      <c r="F1404" s="1">
        <f t="shared" si="50"/>
        <v>675</v>
      </c>
      <c r="G1404" s="5">
        <f t="shared" si="49"/>
        <v>1.1851851851851851</v>
      </c>
    </row>
    <row r="1405" spans="1:7" ht="13">
      <c r="A1405" s="4" t="s">
        <v>116</v>
      </c>
      <c r="B1405" s="1">
        <v>7.7</v>
      </c>
      <c r="C1405" s="1">
        <v>869</v>
      </c>
      <c r="D1405" s="1" t="s">
        <v>33</v>
      </c>
      <c r="E1405" s="1" t="s">
        <v>16</v>
      </c>
      <c r="F1405" s="1">
        <f t="shared" si="50"/>
        <v>770</v>
      </c>
      <c r="G1405" s="5">
        <f t="shared" si="49"/>
        <v>1.1285714285714286</v>
      </c>
    </row>
    <row r="1406" spans="1:7" ht="13">
      <c r="A1406" s="4" t="s">
        <v>116</v>
      </c>
      <c r="B1406" s="1">
        <v>8.4</v>
      </c>
      <c r="C1406" s="1">
        <v>848</v>
      </c>
      <c r="D1406" s="1" t="s">
        <v>47</v>
      </c>
      <c r="E1406" s="1" t="s">
        <v>17</v>
      </c>
      <c r="F1406" s="1">
        <f t="shared" si="50"/>
        <v>840</v>
      </c>
      <c r="G1406" s="5">
        <f t="shared" si="49"/>
        <v>1.0095238095238095</v>
      </c>
    </row>
    <row r="1407" spans="1:7" ht="13">
      <c r="A1407" s="4" t="s">
        <v>116</v>
      </c>
      <c r="B1407" s="1">
        <v>5.5</v>
      </c>
      <c r="C1407" s="1">
        <v>636</v>
      </c>
      <c r="D1407" s="1" t="s">
        <v>43</v>
      </c>
      <c r="E1407" s="1" t="s">
        <v>25</v>
      </c>
      <c r="F1407" s="1">
        <f t="shared" si="50"/>
        <v>550</v>
      </c>
      <c r="G1407" s="5">
        <f t="shared" si="49"/>
        <v>1.1563636363636363</v>
      </c>
    </row>
    <row r="1408" spans="1:7" ht="13">
      <c r="A1408" s="4" t="s">
        <v>116</v>
      </c>
      <c r="B1408" s="1">
        <v>6</v>
      </c>
      <c r="C1408" s="1">
        <v>665</v>
      </c>
      <c r="D1408" s="1" t="s">
        <v>33</v>
      </c>
      <c r="E1408" s="1" t="s">
        <v>9</v>
      </c>
      <c r="F1408" s="1">
        <f t="shared" si="50"/>
        <v>600</v>
      </c>
      <c r="G1408" s="5">
        <f t="shared" si="49"/>
        <v>1.1083333333333334</v>
      </c>
    </row>
    <row r="1409" spans="1:7" ht="13">
      <c r="A1409" s="4" t="s">
        <v>116</v>
      </c>
      <c r="B1409" s="1">
        <v>5</v>
      </c>
      <c r="C1409" s="1">
        <v>543</v>
      </c>
      <c r="D1409" s="1" t="s">
        <v>43</v>
      </c>
      <c r="E1409" s="1" t="s">
        <v>22</v>
      </c>
      <c r="F1409" s="1">
        <f t="shared" si="50"/>
        <v>500</v>
      </c>
      <c r="G1409" s="5">
        <f t="shared" si="49"/>
        <v>1.0860000000000001</v>
      </c>
    </row>
    <row r="1410" spans="1:7" ht="13">
      <c r="A1410" s="4" t="s">
        <v>116</v>
      </c>
      <c r="B1410" s="1">
        <v>4.3499999999999996</v>
      </c>
      <c r="C1410" s="1">
        <v>488</v>
      </c>
      <c r="D1410" s="1" t="s">
        <v>38</v>
      </c>
      <c r="E1410" s="1" t="s">
        <v>18</v>
      </c>
      <c r="F1410" s="1">
        <f t="shared" si="50"/>
        <v>434.99999999999994</v>
      </c>
      <c r="G1410" s="5">
        <f t="shared" ref="G1410:G1473" si="51">C1410/F1410</f>
        <v>1.1218390804597702</v>
      </c>
    </row>
    <row r="1411" spans="1:7" ht="13">
      <c r="A1411" s="4" t="s">
        <v>116</v>
      </c>
      <c r="B1411" s="1">
        <v>5.81</v>
      </c>
      <c r="C1411" s="1">
        <v>697</v>
      </c>
      <c r="D1411" s="1" t="s">
        <v>38</v>
      </c>
      <c r="E1411" s="1" t="s">
        <v>8</v>
      </c>
      <c r="F1411" s="1">
        <f t="shared" ref="F1411:F1474" si="52">B1411*100</f>
        <v>581</v>
      </c>
      <c r="G1411" s="5">
        <f t="shared" si="51"/>
        <v>1.1996557659208262</v>
      </c>
    </row>
    <row r="1412" spans="1:7" ht="13">
      <c r="A1412" s="4" t="s">
        <v>116</v>
      </c>
      <c r="B1412" s="1">
        <v>7.7</v>
      </c>
      <c r="C1412" s="1">
        <v>810</v>
      </c>
      <c r="D1412" s="1" t="s">
        <v>11</v>
      </c>
      <c r="E1412" s="1" t="s">
        <v>49</v>
      </c>
      <c r="F1412" s="1">
        <f t="shared" si="52"/>
        <v>770</v>
      </c>
      <c r="G1412" s="5">
        <f t="shared" si="51"/>
        <v>1.051948051948052</v>
      </c>
    </row>
    <row r="1413" spans="1:7" ht="13">
      <c r="A1413" s="4" t="s">
        <v>116</v>
      </c>
      <c r="B1413" s="1">
        <v>8.6</v>
      </c>
      <c r="C1413" s="1">
        <v>941</v>
      </c>
      <c r="D1413" s="1" t="s">
        <v>33</v>
      </c>
      <c r="E1413" s="1" t="s">
        <v>26</v>
      </c>
      <c r="F1413" s="1">
        <f t="shared" si="52"/>
        <v>860</v>
      </c>
      <c r="G1413" s="5">
        <f t="shared" si="51"/>
        <v>1.094186046511628</v>
      </c>
    </row>
    <row r="1414" spans="1:7" ht="13">
      <c r="A1414" s="4" t="s">
        <v>116</v>
      </c>
      <c r="B1414" s="1">
        <v>9.57</v>
      </c>
      <c r="C1414" s="1">
        <v>951</v>
      </c>
      <c r="D1414" s="1" t="s">
        <v>42</v>
      </c>
      <c r="E1414" s="1" t="s">
        <v>22</v>
      </c>
      <c r="F1414" s="1">
        <f t="shared" si="52"/>
        <v>957</v>
      </c>
      <c r="G1414" s="5">
        <f t="shared" si="51"/>
        <v>0.99373040752351094</v>
      </c>
    </row>
    <row r="1415" spans="1:7" ht="13">
      <c r="A1415" s="4" t="s">
        <v>116</v>
      </c>
      <c r="B1415" s="1">
        <v>12.04</v>
      </c>
      <c r="C1415" s="1">
        <v>1340</v>
      </c>
      <c r="D1415" s="1" t="s">
        <v>11</v>
      </c>
      <c r="E1415" s="1" t="s">
        <v>8</v>
      </c>
      <c r="F1415" s="1">
        <f t="shared" si="52"/>
        <v>1204</v>
      </c>
      <c r="G1415" s="5">
        <f t="shared" si="51"/>
        <v>1.1129568106312293</v>
      </c>
    </row>
    <row r="1416" spans="1:7" ht="13">
      <c r="A1416" s="4" t="s">
        <v>116</v>
      </c>
      <c r="B1416" s="1">
        <v>8.4</v>
      </c>
      <c r="C1416" s="1">
        <v>870</v>
      </c>
      <c r="D1416" s="1" t="s">
        <v>33</v>
      </c>
      <c r="E1416" s="1" t="s">
        <v>25</v>
      </c>
      <c r="F1416" s="1">
        <f t="shared" si="52"/>
        <v>840</v>
      </c>
      <c r="G1416" s="5">
        <f t="shared" si="51"/>
        <v>1.0357142857142858</v>
      </c>
    </row>
    <row r="1417" spans="1:7" ht="13">
      <c r="A1417" s="4" t="s">
        <v>116</v>
      </c>
      <c r="B1417" s="1">
        <v>5.6</v>
      </c>
      <c r="C1417" s="1">
        <v>474</v>
      </c>
      <c r="D1417" s="1" t="s">
        <v>11</v>
      </c>
      <c r="E1417" s="1" t="s">
        <v>21</v>
      </c>
      <c r="F1417" s="1">
        <f t="shared" si="52"/>
        <v>560</v>
      </c>
      <c r="G1417" s="5">
        <f t="shared" si="51"/>
        <v>0.84642857142857142</v>
      </c>
    </row>
    <row r="1418" spans="1:7" ht="13">
      <c r="A1418" s="4" t="s">
        <v>116</v>
      </c>
      <c r="B1418" s="1">
        <v>4.0999999999999996</v>
      </c>
      <c r="C1418" s="1">
        <v>435</v>
      </c>
      <c r="D1418" s="1" t="s">
        <v>64</v>
      </c>
      <c r="E1418" s="1" t="s">
        <v>22</v>
      </c>
      <c r="F1418" s="1">
        <f t="shared" si="52"/>
        <v>409.99999999999994</v>
      </c>
      <c r="G1418" s="5">
        <f t="shared" si="51"/>
        <v>1.0609756097560976</v>
      </c>
    </row>
    <row r="1419" spans="1:7" ht="13">
      <c r="A1419" s="4" t="s">
        <v>116</v>
      </c>
      <c r="B1419" s="1">
        <v>7.74</v>
      </c>
      <c r="C1419" s="1">
        <v>804</v>
      </c>
      <c r="D1419" s="1" t="s">
        <v>37</v>
      </c>
      <c r="E1419" s="1" t="s">
        <v>7</v>
      </c>
      <c r="F1419" s="1">
        <f t="shared" si="52"/>
        <v>774</v>
      </c>
      <c r="G1419" s="5">
        <f t="shared" si="51"/>
        <v>1.0387596899224807</v>
      </c>
    </row>
    <row r="1420" spans="1:7" ht="13">
      <c r="A1420" s="4" t="s">
        <v>116</v>
      </c>
      <c r="B1420" s="1">
        <v>5.46</v>
      </c>
      <c r="C1420" s="1">
        <v>627</v>
      </c>
      <c r="D1420" s="1" t="s">
        <v>43</v>
      </c>
      <c r="E1420" s="1" t="s">
        <v>15</v>
      </c>
      <c r="F1420" s="1">
        <f t="shared" si="52"/>
        <v>546</v>
      </c>
      <c r="G1420" s="5">
        <f t="shared" si="51"/>
        <v>1.1483516483516483</v>
      </c>
    </row>
    <row r="1421" spans="1:7" ht="13">
      <c r="A1421" s="4" t="s">
        <v>116</v>
      </c>
      <c r="B1421" s="1">
        <v>6.03</v>
      </c>
      <c r="C1421" s="1">
        <v>685</v>
      </c>
      <c r="D1421" s="1" t="s">
        <v>88</v>
      </c>
      <c r="E1421" s="1" t="s">
        <v>22</v>
      </c>
      <c r="F1421" s="1">
        <f t="shared" si="52"/>
        <v>603</v>
      </c>
      <c r="G1421" s="5">
        <f t="shared" si="51"/>
        <v>1.1359867330016584</v>
      </c>
    </row>
    <row r="1422" spans="1:7" ht="13">
      <c r="A1422" s="4" t="s">
        <v>116</v>
      </c>
      <c r="B1422" s="1">
        <v>7.56</v>
      </c>
      <c r="C1422" s="1">
        <v>751</v>
      </c>
      <c r="D1422" s="1" t="s">
        <v>11</v>
      </c>
      <c r="E1422" s="1" t="s">
        <v>21</v>
      </c>
      <c r="F1422" s="1">
        <f t="shared" si="52"/>
        <v>756</v>
      </c>
      <c r="G1422" s="5">
        <f t="shared" si="51"/>
        <v>0.99338624338624337</v>
      </c>
    </row>
    <row r="1423" spans="1:7" ht="13">
      <c r="A1423" s="4" t="s">
        <v>116</v>
      </c>
      <c r="B1423" s="1">
        <v>7.56</v>
      </c>
      <c r="C1423" s="1">
        <v>826</v>
      </c>
      <c r="D1423" s="1" t="s">
        <v>95</v>
      </c>
      <c r="E1423" s="1" t="s">
        <v>15</v>
      </c>
      <c r="F1423" s="1">
        <f t="shared" si="52"/>
        <v>756</v>
      </c>
      <c r="G1423" s="5">
        <f t="shared" si="51"/>
        <v>1.0925925925925926</v>
      </c>
    </row>
    <row r="1424" spans="1:7" ht="13">
      <c r="A1424" s="4" t="s">
        <v>116</v>
      </c>
      <c r="B1424" s="1">
        <v>7.2</v>
      </c>
      <c r="C1424" s="1">
        <v>678</v>
      </c>
      <c r="D1424" s="1" t="s">
        <v>33</v>
      </c>
      <c r="E1424" s="1" t="s">
        <v>49</v>
      </c>
      <c r="F1424" s="1">
        <f t="shared" si="52"/>
        <v>720</v>
      </c>
      <c r="G1424" s="5">
        <f t="shared" si="51"/>
        <v>0.94166666666666665</v>
      </c>
    </row>
    <row r="1425" spans="1:7" ht="13">
      <c r="A1425" s="4" t="s">
        <v>116</v>
      </c>
      <c r="B1425" s="1">
        <v>4.8</v>
      </c>
      <c r="C1425" s="1">
        <v>587</v>
      </c>
      <c r="D1425" s="1" t="s">
        <v>33</v>
      </c>
      <c r="E1425" s="1" t="s">
        <v>8</v>
      </c>
      <c r="F1425" s="1">
        <f t="shared" si="52"/>
        <v>480</v>
      </c>
      <c r="G1425" s="5">
        <f t="shared" si="51"/>
        <v>1.2229166666666667</v>
      </c>
    </row>
    <row r="1426" spans="1:7" ht="13">
      <c r="A1426" s="4" t="s">
        <v>116</v>
      </c>
      <c r="B1426" s="1">
        <v>7.56</v>
      </c>
      <c r="C1426" s="1">
        <v>835</v>
      </c>
      <c r="D1426" s="1" t="s">
        <v>11</v>
      </c>
      <c r="E1426" s="1" t="s">
        <v>27</v>
      </c>
      <c r="F1426" s="1">
        <f t="shared" si="52"/>
        <v>756</v>
      </c>
      <c r="G1426" s="5">
        <f t="shared" si="51"/>
        <v>1.1044973544973544</v>
      </c>
    </row>
    <row r="1427" spans="1:7" ht="13">
      <c r="A1427" s="4" t="s">
        <v>116</v>
      </c>
      <c r="B1427" s="1">
        <v>6.7</v>
      </c>
      <c r="C1427" s="1">
        <v>680</v>
      </c>
      <c r="D1427" s="1" t="s">
        <v>35</v>
      </c>
      <c r="E1427" s="1" t="s">
        <v>16</v>
      </c>
      <c r="F1427" s="1">
        <f t="shared" si="52"/>
        <v>670</v>
      </c>
      <c r="G1427" s="5">
        <f t="shared" si="51"/>
        <v>1.0149253731343284</v>
      </c>
    </row>
    <row r="1428" spans="1:7" ht="13">
      <c r="A1428" s="4" t="s">
        <v>116</v>
      </c>
      <c r="B1428" s="1">
        <v>4.3499999999999996</v>
      </c>
      <c r="C1428" s="1">
        <v>450</v>
      </c>
      <c r="D1428" s="1" t="s">
        <v>11</v>
      </c>
      <c r="E1428" s="1" t="s">
        <v>15</v>
      </c>
      <c r="F1428" s="1">
        <f t="shared" si="52"/>
        <v>434.99999999999994</v>
      </c>
      <c r="G1428" s="5">
        <f t="shared" si="51"/>
        <v>1.0344827586206897</v>
      </c>
    </row>
    <row r="1429" spans="1:7" ht="13">
      <c r="A1429" s="4" t="s">
        <v>116</v>
      </c>
      <c r="B1429" s="1">
        <v>5.88</v>
      </c>
      <c r="C1429" s="1">
        <v>681</v>
      </c>
      <c r="D1429" s="1" t="s">
        <v>11</v>
      </c>
      <c r="E1429" s="1" t="s">
        <v>15</v>
      </c>
      <c r="F1429" s="1">
        <f t="shared" si="52"/>
        <v>588</v>
      </c>
      <c r="G1429" s="5">
        <f t="shared" si="51"/>
        <v>1.1581632653061225</v>
      </c>
    </row>
    <row r="1430" spans="1:7" ht="13">
      <c r="A1430" s="4" t="s">
        <v>116</v>
      </c>
      <c r="B1430" s="1">
        <v>4.5</v>
      </c>
      <c r="C1430" s="1">
        <v>523</v>
      </c>
      <c r="D1430" s="1" t="s">
        <v>11</v>
      </c>
      <c r="E1430" s="1" t="s">
        <v>22</v>
      </c>
      <c r="F1430" s="1">
        <f t="shared" si="52"/>
        <v>450</v>
      </c>
      <c r="G1430" s="5">
        <f t="shared" si="51"/>
        <v>1.1622222222222223</v>
      </c>
    </row>
    <row r="1431" spans="1:7" ht="13">
      <c r="A1431" s="4" t="s">
        <v>117</v>
      </c>
      <c r="B1431" s="1">
        <v>7.56</v>
      </c>
      <c r="C1431" s="1">
        <v>770</v>
      </c>
      <c r="D1431" s="1" t="s">
        <v>11</v>
      </c>
      <c r="E1431" s="1" t="s">
        <v>7</v>
      </c>
      <c r="F1431" s="1">
        <f t="shared" si="52"/>
        <v>756</v>
      </c>
      <c r="G1431" s="5">
        <f t="shared" si="51"/>
        <v>1.0185185185185186</v>
      </c>
    </row>
    <row r="1432" spans="1:7" ht="13">
      <c r="A1432" s="4" t="s">
        <v>117</v>
      </c>
      <c r="B1432" s="1">
        <v>6</v>
      </c>
      <c r="C1432" s="1">
        <v>694</v>
      </c>
      <c r="D1432" s="1" t="s">
        <v>11</v>
      </c>
      <c r="E1432" s="1" t="s">
        <v>16</v>
      </c>
      <c r="F1432" s="1">
        <f t="shared" si="52"/>
        <v>600</v>
      </c>
      <c r="G1432" s="5">
        <f t="shared" si="51"/>
        <v>1.1566666666666667</v>
      </c>
    </row>
    <row r="1433" spans="1:7" ht="13">
      <c r="A1433" s="4" t="s">
        <v>117</v>
      </c>
      <c r="B1433" s="1">
        <v>6.88</v>
      </c>
      <c r="C1433" s="1">
        <v>902</v>
      </c>
      <c r="D1433" s="1" t="s">
        <v>33</v>
      </c>
      <c r="E1433" s="1" t="s">
        <v>10</v>
      </c>
      <c r="F1433" s="1">
        <f t="shared" si="52"/>
        <v>688</v>
      </c>
      <c r="G1433" s="5">
        <f t="shared" si="51"/>
        <v>1.3110465116279071</v>
      </c>
    </row>
    <row r="1434" spans="1:7" ht="13">
      <c r="A1434" s="4" t="s">
        <v>117</v>
      </c>
      <c r="B1434" s="1">
        <v>5.28</v>
      </c>
      <c r="C1434" s="1">
        <v>667</v>
      </c>
      <c r="D1434" s="1" t="s">
        <v>33</v>
      </c>
      <c r="E1434" s="1" t="s">
        <v>21</v>
      </c>
      <c r="F1434" s="1">
        <f t="shared" si="52"/>
        <v>528</v>
      </c>
      <c r="G1434" s="5">
        <f t="shared" si="51"/>
        <v>1.2632575757575757</v>
      </c>
    </row>
    <row r="1435" spans="1:7" ht="13">
      <c r="A1435" s="4" t="s">
        <v>117</v>
      </c>
      <c r="B1435" s="1">
        <v>4.9000000000000004</v>
      </c>
      <c r="C1435" s="1">
        <v>596</v>
      </c>
      <c r="D1435" s="1" t="s">
        <v>35</v>
      </c>
      <c r="E1435" s="1" t="s">
        <v>19</v>
      </c>
      <c r="F1435" s="1">
        <f t="shared" si="52"/>
        <v>490.00000000000006</v>
      </c>
      <c r="G1435" s="5">
        <f t="shared" si="51"/>
        <v>1.2163265306122448</v>
      </c>
    </row>
    <row r="1436" spans="1:7" ht="13">
      <c r="A1436" s="4" t="s">
        <v>117</v>
      </c>
      <c r="B1436" s="1">
        <v>9.1999999999999993</v>
      </c>
      <c r="C1436" s="1">
        <v>1014</v>
      </c>
      <c r="D1436" s="1" t="s">
        <v>37</v>
      </c>
      <c r="E1436" s="1" t="s">
        <v>18</v>
      </c>
      <c r="F1436" s="1">
        <f t="shared" si="52"/>
        <v>919.99999999999989</v>
      </c>
      <c r="G1436" s="5">
        <f t="shared" si="51"/>
        <v>1.1021739130434784</v>
      </c>
    </row>
    <row r="1437" spans="1:7" ht="13">
      <c r="A1437" s="4" t="s">
        <v>117</v>
      </c>
      <c r="B1437" s="1">
        <v>6</v>
      </c>
      <c r="C1437" s="1">
        <v>796</v>
      </c>
      <c r="D1437" s="1" t="s">
        <v>11</v>
      </c>
      <c r="E1437" s="1" t="s">
        <v>17</v>
      </c>
      <c r="F1437" s="1">
        <f t="shared" si="52"/>
        <v>600</v>
      </c>
      <c r="G1437" s="5">
        <f t="shared" si="51"/>
        <v>1.3266666666666667</v>
      </c>
    </row>
    <row r="1438" spans="1:7" ht="13">
      <c r="A1438" s="4" t="s">
        <v>117</v>
      </c>
      <c r="B1438" s="1">
        <v>5.2</v>
      </c>
      <c r="C1438" s="1">
        <v>677</v>
      </c>
      <c r="D1438" s="1" t="s">
        <v>39</v>
      </c>
      <c r="E1438" s="1" t="s">
        <v>25</v>
      </c>
      <c r="F1438" s="1">
        <f t="shared" si="52"/>
        <v>520</v>
      </c>
      <c r="G1438" s="5">
        <f t="shared" si="51"/>
        <v>1.301923076923077</v>
      </c>
    </row>
    <row r="1439" spans="1:7" ht="13">
      <c r="A1439" s="4" t="s">
        <v>117</v>
      </c>
      <c r="B1439" s="1">
        <v>7</v>
      </c>
      <c r="C1439" s="1">
        <v>888</v>
      </c>
      <c r="D1439" s="1" t="s">
        <v>33</v>
      </c>
      <c r="E1439" s="1" t="s">
        <v>20</v>
      </c>
      <c r="F1439" s="1">
        <f t="shared" si="52"/>
        <v>700</v>
      </c>
      <c r="G1439" s="5">
        <f t="shared" si="51"/>
        <v>1.2685714285714285</v>
      </c>
    </row>
    <row r="1440" spans="1:7" ht="13">
      <c r="A1440" s="4" t="s">
        <v>117</v>
      </c>
      <c r="B1440" s="1">
        <v>4</v>
      </c>
      <c r="C1440" s="1">
        <v>398</v>
      </c>
      <c r="D1440" s="1" t="s">
        <v>11</v>
      </c>
      <c r="E1440" s="1" t="s">
        <v>24</v>
      </c>
      <c r="F1440" s="1">
        <f t="shared" si="52"/>
        <v>400</v>
      </c>
      <c r="G1440" s="5">
        <f t="shared" si="51"/>
        <v>0.995</v>
      </c>
    </row>
    <row r="1441" spans="1:7" ht="13">
      <c r="A1441" s="4" t="s">
        <v>117</v>
      </c>
      <c r="B1441" s="1">
        <v>6.88</v>
      </c>
      <c r="C1441" s="1">
        <v>845</v>
      </c>
      <c r="D1441" s="1" t="s">
        <v>11</v>
      </c>
      <c r="E1441" s="1" t="s">
        <v>8</v>
      </c>
      <c r="F1441" s="1">
        <f t="shared" si="52"/>
        <v>688</v>
      </c>
      <c r="G1441" s="5">
        <f t="shared" si="51"/>
        <v>1.2281976744186047</v>
      </c>
    </row>
    <row r="1442" spans="1:7" ht="13">
      <c r="A1442" s="4" t="s">
        <v>117</v>
      </c>
      <c r="B1442" s="1">
        <v>8.8000000000000007</v>
      </c>
      <c r="C1442" s="1">
        <v>1000</v>
      </c>
      <c r="D1442" s="1" t="s">
        <v>43</v>
      </c>
      <c r="E1442" s="1" t="s">
        <v>17</v>
      </c>
      <c r="F1442" s="1">
        <f t="shared" si="52"/>
        <v>880.00000000000011</v>
      </c>
      <c r="G1442" s="5">
        <f t="shared" si="51"/>
        <v>1.1363636363636362</v>
      </c>
    </row>
    <row r="1443" spans="1:7" ht="13">
      <c r="A1443" s="4" t="s">
        <v>117</v>
      </c>
      <c r="B1443" s="1">
        <v>9.1</v>
      </c>
      <c r="C1443" s="1">
        <v>970</v>
      </c>
      <c r="D1443" s="1" t="s">
        <v>33</v>
      </c>
      <c r="E1443" s="1" t="s">
        <v>17</v>
      </c>
      <c r="F1443" s="1">
        <f t="shared" si="52"/>
        <v>910</v>
      </c>
      <c r="G1443" s="5">
        <f t="shared" si="51"/>
        <v>1.0659340659340659</v>
      </c>
    </row>
    <row r="1444" spans="1:7" ht="13">
      <c r="A1444" s="4" t="s">
        <v>117</v>
      </c>
      <c r="B1444" s="1">
        <v>7.2</v>
      </c>
      <c r="C1444" s="1">
        <v>925</v>
      </c>
      <c r="D1444" s="1" t="s">
        <v>11</v>
      </c>
      <c r="E1444" s="1" t="s">
        <v>10</v>
      </c>
      <c r="F1444" s="1">
        <f t="shared" si="52"/>
        <v>720</v>
      </c>
      <c r="G1444" s="5">
        <f t="shared" si="51"/>
        <v>1.2847222222222223</v>
      </c>
    </row>
    <row r="1445" spans="1:7" ht="13">
      <c r="A1445" s="4" t="s">
        <v>117</v>
      </c>
      <c r="B1445" s="1">
        <v>6.96</v>
      </c>
      <c r="C1445" s="1">
        <v>802</v>
      </c>
      <c r="D1445" s="1" t="s">
        <v>37</v>
      </c>
      <c r="E1445" s="1" t="s">
        <v>9</v>
      </c>
      <c r="F1445" s="1">
        <f t="shared" si="52"/>
        <v>696</v>
      </c>
      <c r="G1445" s="5">
        <f t="shared" si="51"/>
        <v>1.1522988505747127</v>
      </c>
    </row>
    <row r="1446" spans="1:7" ht="13">
      <c r="A1446" s="4" t="s">
        <v>117</v>
      </c>
      <c r="B1446" s="1">
        <v>9.68</v>
      </c>
      <c r="C1446" s="1">
        <v>1077</v>
      </c>
      <c r="D1446" s="1" t="s">
        <v>11</v>
      </c>
      <c r="E1446" s="1" t="s">
        <v>30</v>
      </c>
      <c r="F1446" s="1">
        <f t="shared" si="52"/>
        <v>968</v>
      </c>
      <c r="G1446" s="5">
        <f t="shared" si="51"/>
        <v>1.1126033057851239</v>
      </c>
    </row>
    <row r="1447" spans="1:7" ht="13">
      <c r="A1447" s="4" t="s">
        <v>117</v>
      </c>
      <c r="B1447" s="1">
        <v>7.83</v>
      </c>
      <c r="C1447" s="1">
        <v>935</v>
      </c>
      <c r="D1447" s="1" t="s">
        <v>11</v>
      </c>
      <c r="E1447" s="1" t="s">
        <v>8</v>
      </c>
      <c r="F1447" s="1">
        <f t="shared" si="52"/>
        <v>783</v>
      </c>
      <c r="G1447" s="5">
        <f t="shared" si="51"/>
        <v>1.194125159642401</v>
      </c>
    </row>
    <row r="1448" spans="1:7" ht="13">
      <c r="A1448" s="4" t="s">
        <v>117</v>
      </c>
      <c r="B1448" s="1">
        <v>435</v>
      </c>
      <c r="C1448" s="1">
        <v>588</v>
      </c>
      <c r="D1448" s="1" t="s">
        <v>11</v>
      </c>
      <c r="E1448" s="1" t="s">
        <v>8</v>
      </c>
      <c r="F1448" s="1">
        <f t="shared" si="52"/>
        <v>43500</v>
      </c>
      <c r="G1448" s="5">
        <f t="shared" si="51"/>
        <v>1.3517241379310345E-2</v>
      </c>
    </row>
    <row r="1449" spans="1:7" ht="13">
      <c r="A1449" s="4" t="s">
        <v>117</v>
      </c>
      <c r="B1449" s="1">
        <v>6</v>
      </c>
      <c r="C1449" s="1">
        <v>996</v>
      </c>
      <c r="D1449" s="1" t="s">
        <v>42</v>
      </c>
      <c r="E1449" s="1" t="s">
        <v>32</v>
      </c>
      <c r="F1449" s="1">
        <f t="shared" si="52"/>
        <v>600</v>
      </c>
      <c r="G1449" s="5">
        <f t="shared" si="51"/>
        <v>1.66</v>
      </c>
    </row>
    <row r="1450" spans="1:7" ht="13">
      <c r="A1450" s="4" t="s">
        <v>117</v>
      </c>
      <c r="B1450" s="1">
        <v>6.16</v>
      </c>
      <c r="C1450" s="1">
        <v>885</v>
      </c>
      <c r="D1450" s="1" t="s">
        <v>59</v>
      </c>
      <c r="E1450" s="1" t="s">
        <v>8</v>
      </c>
      <c r="F1450" s="1">
        <f t="shared" si="52"/>
        <v>616</v>
      </c>
      <c r="G1450" s="5">
        <f t="shared" si="51"/>
        <v>1.4366883116883118</v>
      </c>
    </row>
    <row r="1451" spans="1:7" ht="13">
      <c r="A1451" s="4" t="s">
        <v>117</v>
      </c>
      <c r="B1451" s="1">
        <v>5.6</v>
      </c>
      <c r="C1451" s="1">
        <v>690</v>
      </c>
      <c r="D1451" s="1" t="s">
        <v>11</v>
      </c>
      <c r="E1451" s="1" t="s">
        <v>19</v>
      </c>
      <c r="F1451" s="1">
        <f t="shared" si="52"/>
        <v>560</v>
      </c>
      <c r="G1451" s="5">
        <f t="shared" si="51"/>
        <v>1.2321428571428572</v>
      </c>
    </row>
    <row r="1452" spans="1:7" ht="13">
      <c r="A1452" s="4" t="s">
        <v>117</v>
      </c>
      <c r="B1452" s="1">
        <v>5</v>
      </c>
      <c r="C1452" s="1">
        <v>319</v>
      </c>
      <c r="D1452" s="1" t="s">
        <v>33</v>
      </c>
      <c r="E1452" s="1" t="s">
        <v>32</v>
      </c>
      <c r="F1452" s="1">
        <f t="shared" si="52"/>
        <v>500</v>
      </c>
      <c r="G1452" s="5">
        <f t="shared" si="51"/>
        <v>0.63800000000000001</v>
      </c>
    </row>
    <row r="1453" spans="1:7" ht="13">
      <c r="A1453" s="4" t="s">
        <v>117</v>
      </c>
      <c r="B1453" s="1">
        <v>3.6</v>
      </c>
      <c r="C1453" s="1">
        <v>540</v>
      </c>
      <c r="D1453" s="1" t="s">
        <v>11</v>
      </c>
      <c r="E1453" s="1" t="s">
        <v>22</v>
      </c>
      <c r="F1453" s="1">
        <f t="shared" si="52"/>
        <v>360</v>
      </c>
      <c r="G1453" s="5">
        <f t="shared" si="51"/>
        <v>1.5</v>
      </c>
    </row>
    <row r="1454" spans="1:7" ht="13">
      <c r="A1454" s="4" t="s">
        <v>117</v>
      </c>
      <c r="B1454" s="1">
        <v>5.6</v>
      </c>
      <c r="C1454" s="1">
        <v>622</v>
      </c>
      <c r="D1454" s="1" t="s">
        <v>39</v>
      </c>
      <c r="E1454" s="1" t="s">
        <v>62</v>
      </c>
      <c r="F1454" s="1">
        <f t="shared" si="52"/>
        <v>560</v>
      </c>
      <c r="G1454" s="5">
        <f t="shared" si="51"/>
        <v>1.1107142857142858</v>
      </c>
    </row>
    <row r="1455" spans="1:7" ht="13">
      <c r="A1455" s="4" t="s">
        <v>117</v>
      </c>
      <c r="B1455" s="1">
        <v>5.4</v>
      </c>
      <c r="C1455" s="1">
        <v>518</v>
      </c>
      <c r="D1455" s="1" t="s">
        <v>59</v>
      </c>
      <c r="E1455" s="1" t="s">
        <v>16</v>
      </c>
      <c r="F1455" s="1">
        <f t="shared" si="52"/>
        <v>540</v>
      </c>
      <c r="G1455" s="5">
        <f t="shared" si="51"/>
        <v>0.95925925925925926</v>
      </c>
    </row>
    <row r="1456" spans="1:7" ht="13">
      <c r="A1456" s="4" t="s">
        <v>117</v>
      </c>
      <c r="B1456" s="1">
        <v>9.4</v>
      </c>
      <c r="C1456" s="1">
        <v>716</v>
      </c>
      <c r="D1456" s="1" t="s">
        <v>43</v>
      </c>
      <c r="E1456" s="1" t="s">
        <v>30</v>
      </c>
      <c r="F1456" s="1">
        <f t="shared" si="52"/>
        <v>940</v>
      </c>
      <c r="G1456" s="5">
        <f t="shared" si="51"/>
        <v>0.76170212765957446</v>
      </c>
    </row>
    <row r="1457" spans="1:7" ht="13">
      <c r="A1457" s="4" t="s">
        <v>117</v>
      </c>
      <c r="B1457" s="1">
        <v>6</v>
      </c>
      <c r="C1457" s="1">
        <v>737</v>
      </c>
      <c r="D1457" s="1" t="s">
        <v>60</v>
      </c>
      <c r="E1457" s="1" t="s">
        <v>17</v>
      </c>
      <c r="F1457" s="1">
        <f t="shared" si="52"/>
        <v>600</v>
      </c>
      <c r="G1457" s="5">
        <f t="shared" si="51"/>
        <v>1.2283333333333333</v>
      </c>
    </row>
    <row r="1458" spans="1:7" ht="13">
      <c r="A1458" s="4" t="s">
        <v>117</v>
      </c>
      <c r="B1458" s="1">
        <v>5.88</v>
      </c>
      <c r="C1458" s="1">
        <v>685</v>
      </c>
      <c r="D1458" s="1" t="s">
        <v>38</v>
      </c>
      <c r="E1458" s="1" t="s">
        <v>22</v>
      </c>
      <c r="F1458" s="1">
        <f t="shared" si="52"/>
        <v>588</v>
      </c>
      <c r="G1458" s="5">
        <f t="shared" si="51"/>
        <v>1.1649659863945578</v>
      </c>
    </row>
    <row r="1459" spans="1:7" ht="13">
      <c r="A1459" s="4" t="s">
        <v>117</v>
      </c>
      <c r="B1459" s="1">
        <v>3.44</v>
      </c>
      <c r="C1459" s="1">
        <v>339</v>
      </c>
      <c r="D1459" s="1" t="s">
        <v>43</v>
      </c>
      <c r="E1459" s="1" t="s">
        <v>8</v>
      </c>
      <c r="F1459" s="1">
        <f t="shared" si="52"/>
        <v>344</v>
      </c>
      <c r="G1459" s="5">
        <f t="shared" si="51"/>
        <v>0.98546511627906974</v>
      </c>
    </row>
    <row r="1460" spans="1:7" ht="13">
      <c r="A1460" s="4" t="s">
        <v>117</v>
      </c>
      <c r="B1460" s="1">
        <v>9.86</v>
      </c>
      <c r="C1460" s="1">
        <v>1059</v>
      </c>
      <c r="D1460" s="1" t="s">
        <v>33</v>
      </c>
      <c r="E1460" s="1" t="s">
        <v>21</v>
      </c>
      <c r="F1460" s="1">
        <f t="shared" si="52"/>
        <v>986</v>
      </c>
      <c r="G1460" s="5">
        <f t="shared" si="51"/>
        <v>1.0740365111561867</v>
      </c>
    </row>
    <row r="1461" spans="1:7" ht="13">
      <c r="A1461" s="4" t="s">
        <v>117</v>
      </c>
      <c r="B1461" s="1">
        <v>5</v>
      </c>
      <c r="C1461" s="1">
        <v>873</v>
      </c>
      <c r="D1461" s="1" t="s">
        <v>33</v>
      </c>
      <c r="E1461" s="1" t="s">
        <v>32</v>
      </c>
      <c r="F1461" s="1">
        <f t="shared" si="52"/>
        <v>500</v>
      </c>
      <c r="G1461" s="5">
        <f t="shared" si="51"/>
        <v>1.746</v>
      </c>
    </row>
    <row r="1462" spans="1:7" ht="13">
      <c r="A1462" s="4" t="s">
        <v>117</v>
      </c>
      <c r="B1462" s="1">
        <v>4.51</v>
      </c>
      <c r="C1462" s="1">
        <v>502</v>
      </c>
      <c r="D1462" s="1" t="s">
        <v>43</v>
      </c>
      <c r="E1462" s="1" t="s">
        <v>16</v>
      </c>
      <c r="F1462" s="1">
        <f t="shared" si="52"/>
        <v>451</v>
      </c>
      <c r="G1462" s="5">
        <f t="shared" si="51"/>
        <v>1.1130820399113082</v>
      </c>
    </row>
    <row r="1463" spans="1:7" ht="13">
      <c r="A1463" s="4" t="s">
        <v>117</v>
      </c>
      <c r="B1463" s="1">
        <v>6.5</v>
      </c>
      <c r="C1463" s="1">
        <v>736</v>
      </c>
      <c r="D1463" s="1" t="s">
        <v>35</v>
      </c>
      <c r="E1463" s="1" t="s">
        <v>8</v>
      </c>
      <c r="F1463" s="1">
        <f t="shared" si="52"/>
        <v>650</v>
      </c>
      <c r="G1463" s="5">
        <f t="shared" si="51"/>
        <v>1.1323076923076922</v>
      </c>
    </row>
    <row r="1464" spans="1:7" ht="13">
      <c r="A1464" s="4" t="s">
        <v>117</v>
      </c>
      <c r="B1464" s="1">
        <v>7.74</v>
      </c>
      <c r="C1464" s="1">
        <v>953</v>
      </c>
      <c r="D1464" s="1" t="s">
        <v>86</v>
      </c>
      <c r="E1464" s="1" t="s">
        <v>8</v>
      </c>
      <c r="F1464" s="1">
        <f t="shared" si="52"/>
        <v>774</v>
      </c>
      <c r="G1464" s="5">
        <f t="shared" si="51"/>
        <v>1.2312661498708011</v>
      </c>
    </row>
    <row r="1465" spans="1:7" ht="13">
      <c r="A1465" s="4" t="s">
        <v>117</v>
      </c>
      <c r="B1465" s="1">
        <v>6</v>
      </c>
      <c r="C1465" s="1">
        <v>751</v>
      </c>
      <c r="D1465" s="1" t="s">
        <v>33</v>
      </c>
      <c r="E1465" s="1" t="s">
        <v>16</v>
      </c>
      <c r="F1465" s="1">
        <f t="shared" si="52"/>
        <v>600</v>
      </c>
      <c r="G1465" s="5">
        <f t="shared" si="51"/>
        <v>1.2516666666666667</v>
      </c>
    </row>
    <row r="1466" spans="1:7" ht="13">
      <c r="A1466" s="4" t="s">
        <v>117</v>
      </c>
      <c r="B1466" s="1">
        <v>5.6</v>
      </c>
      <c r="C1466" s="1">
        <v>641</v>
      </c>
      <c r="D1466" s="1" t="s">
        <v>53</v>
      </c>
      <c r="E1466" s="1" t="s">
        <v>8</v>
      </c>
      <c r="F1466" s="1">
        <f t="shared" si="52"/>
        <v>560</v>
      </c>
      <c r="G1466" s="5">
        <f t="shared" si="51"/>
        <v>1.1446428571428571</v>
      </c>
    </row>
    <row r="1467" spans="1:7" ht="13">
      <c r="A1467" s="4" t="s">
        <v>117</v>
      </c>
      <c r="B1467" s="1">
        <v>6.4</v>
      </c>
      <c r="C1467" s="1">
        <v>811</v>
      </c>
      <c r="D1467" s="1" t="s">
        <v>11</v>
      </c>
      <c r="E1467" s="1" t="s">
        <v>16</v>
      </c>
      <c r="F1467" s="1">
        <f t="shared" si="52"/>
        <v>640</v>
      </c>
      <c r="G1467" s="5">
        <f t="shared" si="51"/>
        <v>1.2671874999999999</v>
      </c>
    </row>
    <row r="1468" spans="1:7" ht="13">
      <c r="A1468" s="4" t="s">
        <v>117</v>
      </c>
      <c r="B1468" s="1">
        <v>9.6</v>
      </c>
      <c r="C1468" s="1">
        <v>1120</v>
      </c>
      <c r="D1468" s="1" t="s">
        <v>33</v>
      </c>
      <c r="E1468" s="1" t="s">
        <v>12</v>
      </c>
      <c r="F1468" s="1">
        <f t="shared" si="52"/>
        <v>960</v>
      </c>
      <c r="G1468" s="5">
        <f t="shared" si="51"/>
        <v>1.1666666666666667</v>
      </c>
    </row>
    <row r="1469" spans="1:7" ht="13">
      <c r="A1469" s="4" t="s">
        <v>117</v>
      </c>
      <c r="B1469" s="1">
        <v>8.6</v>
      </c>
      <c r="C1469" s="1">
        <v>966</v>
      </c>
      <c r="D1469" s="1" t="s">
        <v>43</v>
      </c>
      <c r="E1469" s="1" t="s">
        <v>31</v>
      </c>
      <c r="F1469" s="1">
        <f t="shared" si="52"/>
        <v>860</v>
      </c>
      <c r="G1469" s="5">
        <f t="shared" si="51"/>
        <v>1.1232558139534883</v>
      </c>
    </row>
    <row r="1470" spans="1:7" ht="13">
      <c r="A1470" s="4" t="s">
        <v>117</v>
      </c>
      <c r="B1470" s="1">
        <v>6.96</v>
      </c>
      <c r="C1470" s="1">
        <v>874</v>
      </c>
      <c r="D1470" s="1" t="s">
        <v>33</v>
      </c>
      <c r="E1470" s="1" t="s">
        <v>22</v>
      </c>
      <c r="F1470" s="1">
        <f t="shared" si="52"/>
        <v>696</v>
      </c>
      <c r="G1470" s="5">
        <f t="shared" si="51"/>
        <v>1.2557471264367817</v>
      </c>
    </row>
    <row r="1471" spans="1:7" ht="13">
      <c r="A1471" s="4" t="s">
        <v>117</v>
      </c>
      <c r="B1471" s="1">
        <v>7.76</v>
      </c>
      <c r="C1471" s="1">
        <v>964</v>
      </c>
      <c r="D1471" s="1" t="s">
        <v>39</v>
      </c>
      <c r="E1471" s="1" t="s">
        <v>16</v>
      </c>
      <c r="F1471" s="1">
        <f t="shared" si="52"/>
        <v>776</v>
      </c>
      <c r="G1471" s="5">
        <f t="shared" si="51"/>
        <v>1.2422680412371134</v>
      </c>
    </row>
    <row r="1472" spans="1:7" ht="13">
      <c r="A1472" s="4" t="s">
        <v>117</v>
      </c>
      <c r="B1472" s="1">
        <v>6.4</v>
      </c>
      <c r="C1472" s="1">
        <v>755</v>
      </c>
      <c r="D1472" s="1" t="s">
        <v>37</v>
      </c>
      <c r="E1472" s="1" t="s">
        <v>20</v>
      </c>
      <c r="F1472" s="1">
        <f t="shared" si="52"/>
        <v>640</v>
      </c>
      <c r="G1472" s="5">
        <f t="shared" si="51"/>
        <v>1.1796875</v>
      </c>
    </row>
    <row r="1473" spans="1:7" ht="13">
      <c r="A1473" s="4" t="s">
        <v>117</v>
      </c>
      <c r="B1473" s="1">
        <v>6.1</v>
      </c>
      <c r="C1473" s="1">
        <v>792</v>
      </c>
      <c r="D1473" s="1" t="s">
        <v>39</v>
      </c>
      <c r="E1473" s="1" t="s">
        <v>8</v>
      </c>
      <c r="F1473" s="1">
        <f t="shared" si="52"/>
        <v>610</v>
      </c>
      <c r="G1473" s="5">
        <f t="shared" si="51"/>
        <v>1.298360655737705</v>
      </c>
    </row>
    <row r="1474" spans="1:7" ht="13">
      <c r="A1474" s="4" t="s">
        <v>117</v>
      </c>
      <c r="B1474" s="1">
        <v>9.3000000000000007</v>
      </c>
      <c r="C1474" s="1">
        <v>1050</v>
      </c>
      <c r="D1474" s="1" t="s">
        <v>11</v>
      </c>
      <c r="E1474" s="1" t="s">
        <v>20</v>
      </c>
      <c r="F1474" s="1">
        <f t="shared" si="52"/>
        <v>930.00000000000011</v>
      </c>
      <c r="G1474" s="5">
        <f t="shared" ref="G1474:G1537" si="53">C1474/F1474</f>
        <v>1.129032258064516</v>
      </c>
    </row>
    <row r="1475" spans="1:7" ht="13">
      <c r="A1475" s="4" t="s">
        <v>117</v>
      </c>
      <c r="B1475" s="1">
        <v>6.88</v>
      </c>
      <c r="C1475" s="1">
        <v>840</v>
      </c>
      <c r="D1475" s="1" t="s">
        <v>48</v>
      </c>
      <c r="E1475" s="1" t="s">
        <v>16</v>
      </c>
      <c r="F1475" s="1">
        <f t="shared" ref="F1475:F1538" si="54">B1475*100</f>
        <v>688</v>
      </c>
      <c r="G1475" s="5">
        <f t="shared" si="53"/>
        <v>1.2209302325581395</v>
      </c>
    </row>
    <row r="1476" spans="1:7" ht="13">
      <c r="A1476" s="4" t="s">
        <v>117</v>
      </c>
      <c r="B1476" s="1">
        <v>5.2</v>
      </c>
      <c r="C1476" s="1">
        <v>748</v>
      </c>
      <c r="D1476" s="1" t="s">
        <v>39</v>
      </c>
      <c r="E1476" s="1" t="s">
        <v>9</v>
      </c>
      <c r="F1476" s="1">
        <f t="shared" si="54"/>
        <v>520</v>
      </c>
      <c r="G1476" s="5">
        <f t="shared" si="53"/>
        <v>1.4384615384615385</v>
      </c>
    </row>
    <row r="1477" spans="1:7" ht="13">
      <c r="A1477" s="4" t="s">
        <v>117</v>
      </c>
      <c r="B1477" s="1">
        <v>4.7</v>
      </c>
      <c r="C1477" s="1">
        <v>566</v>
      </c>
      <c r="D1477" s="1" t="s">
        <v>33</v>
      </c>
      <c r="E1477" s="1" t="s">
        <v>26</v>
      </c>
      <c r="F1477" s="1">
        <f t="shared" si="54"/>
        <v>470</v>
      </c>
      <c r="G1477" s="5">
        <f t="shared" si="53"/>
        <v>1.2042553191489362</v>
      </c>
    </row>
    <row r="1478" spans="1:7" ht="13">
      <c r="A1478" s="4" t="s">
        <v>117</v>
      </c>
      <c r="B1478" s="1">
        <v>7.74</v>
      </c>
      <c r="C1478" s="1">
        <v>774</v>
      </c>
      <c r="D1478" s="1" t="s">
        <v>45</v>
      </c>
      <c r="E1478" s="1" t="s">
        <v>27</v>
      </c>
      <c r="F1478" s="1">
        <f t="shared" si="54"/>
        <v>774</v>
      </c>
      <c r="G1478" s="5">
        <f t="shared" si="53"/>
        <v>1</v>
      </c>
    </row>
    <row r="1479" spans="1:7" ht="13">
      <c r="A1479" s="4" t="s">
        <v>117</v>
      </c>
      <c r="B1479" s="1">
        <v>6</v>
      </c>
      <c r="C1479" s="1">
        <v>696</v>
      </c>
      <c r="D1479" s="1" t="s">
        <v>47</v>
      </c>
      <c r="E1479" s="1" t="s">
        <v>19</v>
      </c>
      <c r="F1479" s="1">
        <f t="shared" si="54"/>
        <v>600</v>
      </c>
      <c r="G1479" s="5">
        <f t="shared" si="53"/>
        <v>1.1599999999999999</v>
      </c>
    </row>
    <row r="1480" spans="1:7" ht="13">
      <c r="A1480" s="4" t="s">
        <v>117</v>
      </c>
      <c r="B1480" s="1">
        <v>4</v>
      </c>
      <c r="C1480" s="1">
        <v>510</v>
      </c>
      <c r="D1480" s="1" t="s">
        <v>11</v>
      </c>
      <c r="E1480" s="1" t="s">
        <v>20</v>
      </c>
      <c r="F1480" s="1">
        <f t="shared" si="54"/>
        <v>400</v>
      </c>
      <c r="G1480" s="5">
        <f t="shared" si="53"/>
        <v>1.2749999999999999</v>
      </c>
    </row>
    <row r="1481" spans="1:7" ht="13">
      <c r="A1481" s="4" t="s">
        <v>117</v>
      </c>
      <c r="B1481" s="1">
        <v>6</v>
      </c>
      <c r="C1481" s="1">
        <v>833</v>
      </c>
      <c r="D1481" s="1" t="s">
        <v>11</v>
      </c>
      <c r="E1481" s="1" t="s">
        <v>20</v>
      </c>
      <c r="F1481" s="1">
        <f t="shared" si="54"/>
        <v>600</v>
      </c>
      <c r="G1481" s="5">
        <f t="shared" si="53"/>
        <v>1.3883333333333334</v>
      </c>
    </row>
    <row r="1482" spans="1:7" ht="13">
      <c r="A1482" s="4" t="s">
        <v>117</v>
      </c>
      <c r="B1482" s="1">
        <v>7.4</v>
      </c>
      <c r="C1482" s="1">
        <v>914</v>
      </c>
      <c r="D1482" s="1" t="s">
        <v>55</v>
      </c>
      <c r="E1482" s="1" t="s">
        <v>17</v>
      </c>
      <c r="F1482" s="1">
        <f t="shared" si="54"/>
        <v>740</v>
      </c>
      <c r="G1482" s="5">
        <f t="shared" si="53"/>
        <v>1.2351351351351352</v>
      </c>
    </row>
    <row r="1483" spans="1:7" ht="13">
      <c r="A1483" s="4" t="s">
        <v>117</v>
      </c>
      <c r="B1483" s="1">
        <v>3</v>
      </c>
      <c r="C1483" s="1">
        <v>374</v>
      </c>
      <c r="D1483" s="1" t="s">
        <v>11</v>
      </c>
      <c r="E1483" s="1" t="s">
        <v>25</v>
      </c>
      <c r="F1483" s="1">
        <f t="shared" si="54"/>
        <v>300</v>
      </c>
      <c r="G1483" s="5">
        <f t="shared" si="53"/>
        <v>1.2466666666666666</v>
      </c>
    </row>
    <row r="1484" spans="1:7" ht="13">
      <c r="A1484" s="4" t="s">
        <v>117</v>
      </c>
      <c r="B1484" s="1">
        <v>5.6</v>
      </c>
      <c r="C1484" s="1">
        <v>710</v>
      </c>
      <c r="D1484" s="1" t="s">
        <v>11</v>
      </c>
      <c r="E1484" s="1" t="s">
        <v>68</v>
      </c>
      <c r="F1484" s="1">
        <f t="shared" si="54"/>
        <v>560</v>
      </c>
      <c r="G1484" s="5">
        <f t="shared" si="53"/>
        <v>1.2678571428571428</v>
      </c>
    </row>
    <row r="1485" spans="1:7" ht="13">
      <c r="A1485" s="4" t="s">
        <v>117</v>
      </c>
      <c r="B1485" s="1">
        <v>6.2</v>
      </c>
      <c r="C1485" s="1">
        <v>772</v>
      </c>
      <c r="D1485" s="1" t="s">
        <v>11</v>
      </c>
      <c r="E1485" s="1" t="s">
        <v>7</v>
      </c>
      <c r="F1485" s="1">
        <f t="shared" si="54"/>
        <v>620</v>
      </c>
      <c r="G1485" s="5">
        <f t="shared" si="53"/>
        <v>1.2451612903225806</v>
      </c>
    </row>
    <row r="1486" spans="1:7" ht="13">
      <c r="A1486" s="4" t="s">
        <v>117</v>
      </c>
      <c r="B1486" s="1">
        <v>3.4</v>
      </c>
      <c r="C1486" s="1">
        <v>437</v>
      </c>
      <c r="D1486" s="1" t="s">
        <v>11</v>
      </c>
      <c r="E1486" s="1" t="s">
        <v>30</v>
      </c>
      <c r="F1486" s="1">
        <f t="shared" si="54"/>
        <v>340</v>
      </c>
      <c r="G1486" s="5">
        <f t="shared" si="53"/>
        <v>1.2852941176470589</v>
      </c>
    </row>
    <row r="1487" spans="1:7" ht="13">
      <c r="A1487" s="4" t="s">
        <v>117</v>
      </c>
      <c r="B1487" s="1">
        <v>6.88</v>
      </c>
      <c r="C1487" s="1">
        <v>780</v>
      </c>
      <c r="D1487" s="1" t="s">
        <v>53</v>
      </c>
      <c r="E1487" s="1" t="s">
        <v>16</v>
      </c>
      <c r="F1487" s="1">
        <f t="shared" si="54"/>
        <v>688</v>
      </c>
      <c r="G1487" s="5">
        <f t="shared" si="53"/>
        <v>1.1337209302325582</v>
      </c>
    </row>
    <row r="1488" spans="1:7" ht="13">
      <c r="A1488" s="4" t="s">
        <v>117</v>
      </c>
      <c r="B1488" s="1">
        <v>7.3</v>
      </c>
      <c r="C1488" s="1">
        <v>665</v>
      </c>
      <c r="D1488" s="1" t="s">
        <v>55</v>
      </c>
      <c r="E1488" s="1" t="s">
        <v>31</v>
      </c>
      <c r="F1488" s="1">
        <f t="shared" si="54"/>
        <v>730</v>
      </c>
      <c r="G1488" s="5">
        <f t="shared" si="53"/>
        <v>0.91095890410958902</v>
      </c>
    </row>
    <row r="1489" spans="1:7" ht="13">
      <c r="A1489" s="4" t="s">
        <v>117</v>
      </c>
      <c r="B1489" s="1">
        <v>6.4</v>
      </c>
      <c r="C1489" s="1">
        <v>801</v>
      </c>
      <c r="D1489" s="1" t="s">
        <v>96</v>
      </c>
      <c r="E1489" s="1" t="s">
        <v>26</v>
      </c>
      <c r="F1489" s="1">
        <f t="shared" si="54"/>
        <v>640</v>
      </c>
      <c r="G1489" s="5">
        <f t="shared" si="53"/>
        <v>1.2515624999999999</v>
      </c>
    </row>
    <row r="1490" spans="1:7" ht="13">
      <c r="A1490" s="4" t="s">
        <v>117</v>
      </c>
      <c r="B1490" s="1">
        <v>6.8</v>
      </c>
      <c r="C1490" s="1">
        <v>813</v>
      </c>
      <c r="D1490" s="1" t="s">
        <v>33</v>
      </c>
      <c r="E1490" s="1" t="s">
        <v>20</v>
      </c>
      <c r="F1490" s="1">
        <f t="shared" si="54"/>
        <v>680</v>
      </c>
      <c r="G1490" s="5">
        <f t="shared" si="53"/>
        <v>1.1955882352941176</v>
      </c>
    </row>
    <row r="1491" spans="1:7" ht="13">
      <c r="A1491" s="4" t="s">
        <v>117</v>
      </c>
      <c r="B1491" s="1">
        <v>8.4</v>
      </c>
      <c r="C1491" s="1">
        <v>974</v>
      </c>
      <c r="D1491" s="1" t="s">
        <v>11</v>
      </c>
      <c r="E1491" s="1" t="s">
        <v>25</v>
      </c>
      <c r="F1491" s="1">
        <f t="shared" si="54"/>
        <v>840</v>
      </c>
      <c r="G1491" s="5">
        <f t="shared" si="53"/>
        <v>1.1595238095238096</v>
      </c>
    </row>
    <row r="1492" spans="1:7" ht="13">
      <c r="A1492" s="4" t="s">
        <v>117</v>
      </c>
      <c r="B1492" s="1">
        <v>10.199999999999999</v>
      </c>
      <c r="C1492" s="1">
        <v>1007</v>
      </c>
      <c r="D1492" s="1" t="s">
        <v>11</v>
      </c>
      <c r="E1492" s="1" t="s">
        <v>7</v>
      </c>
      <c r="F1492" s="1">
        <f t="shared" si="54"/>
        <v>1019.9999999999999</v>
      </c>
      <c r="G1492" s="5">
        <f t="shared" si="53"/>
        <v>0.98725490196078447</v>
      </c>
    </row>
    <row r="1493" spans="1:7" ht="13">
      <c r="A1493" s="4" t="s">
        <v>117</v>
      </c>
      <c r="B1493" s="1">
        <v>7.04</v>
      </c>
      <c r="C1493" s="1">
        <v>818</v>
      </c>
      <c r="D1493" s="1" t="s">
        <v>33</v>
      </c>
      <c r="E1493" s="1" t="s">
        <v>24</v>
      </c>
      <c r="F1493" s="1">
        <f t="shared" si="54"/>
        <v>704</v>
      </c>
      <c r="G1493" s="5">
        <f t="shared" si="53"/>
        <v>1.1619318181818181</v>
      </c>
    </row>
    <row r="1494" spans="1:7" ht="13">
      <c r="A1494" s="4" t="s">
        <v>117</v>
      </c>
      <c r="B1494" s="1">
        <v>6.97</v>
      </c>
      <c r="C1494" s="1">
        <v>792</v>
      </c>
      <c r="D1494" s="1" t="s">
        <v>39</v>
      </c>
      <c r="E1494" s="1" t="s">
        <v>17</v>
      </c>
      <c r="F1494" s="1">
        <f t="shared" si="54"/>
        <v>697</v>
      </c>
      <c r="G1494" s="5">
        <f t="shared" si="53"/>
        <v>1.1362984218077474</v>
      </c>
    </row>
    <row r="1495" spans="1:7" ht="13">
      <c r="A1495" s="4" t="s">
        <v>117</v>
      </c>
      <c r="B1495" s="1">
        <v>11</v>
      </c>
      <c r="C1495" s="1">
        <v>1000</v>
      </c>
      <c r="D1495" s="1" t="s">
        <v>11</v>
      </c>
      <c r="E1495" s="1" t="s">
        <v>8</v>
      </c>
      <c r="F1495" s="1">
        <f t="shared" si="54"/>
        <v>1100</v>
      </c>
      <c r="G1495" s="5">
        <f t="shared" si="53"/>
        <v>0.90909090909090906</v>
      </c>
    </row>
    <row r="1496" spans="1:7" ht="13">
      <c r="A1496" s="4" t="s">
        <v>117</v>
      </c>
      <c r="B1496" s="1">
        <v>11.25</v>
      </c>
      <c r="C1496" s="1">
        <v>1310</v>
      </c>
      <c r="D1496" s="1" t="s">
        <v>45</v>
      </c>
      <c r="E1496" s="1" t="s">
        <v>8</v>
      </c>
      <c r="F1496" s="1">
        <f t="shared" si="54"/>
        <v>1125</v>
      </c>
      <c r="G1496" s="5">
        <f t="shared" si="53"/>
        <v>1.1644444444444444</v>
      </c>
    </row>
    <row r="1497" spans="1:7" ht="13">
      <c r="A1497" s="4" t="s">
        <v>117</v>
      </c>
      <c r="B1497" s="1">
        <v>6.8849999999999998</v>
      </c>
      <c r="C1497" s="1">
        <v>859</v>
      </c>
      <c r="D1497" s="1" t="s">
        <v>43</v>
      </c>
      <c r="E1497" s="1" t="s">
        <v>8</v>
      </c>
      <c r="F1497" s="1">
        <f t="shared" si="54"/>
        <v>688.5</v>
      </c>
      <c r="G1497" s="5">
        <f t="shared" si="53"/>
        <v>1.2476397966594046</v>
      </c>
    </row>
    <row r="1498" spans="1:7" ht="13">
      <c r="A1498" s="4" t="s">
        <v>117</v>
      </c>
      <c r="B1498" s="1">
        <v>5</v>
      </c>
      <c r="C1498" s="1">
        <v>688</v>
      </c>
      <c r="D1498" s="1" t="s">
        <v>11</v>
      </c>
      <c r="E1498" s="1" t="s">
        <v>8</v>
      </c>
      <c r="F1498" s="1">
        <f t="shared" si="54"/>
        <v>500</v>
      </c>
      <c r="G1498" s="5">
        <f t="shared" si="53"/>
        <v>1.3759999999999999</v>
      </c>
    </row>
    <row r="1499" spans="1:7" ht="13">
      <c r="A1499" s="4" t="s">
        <v>117</v>
      </c>
      <c r="B1499" s="1">
        <v>6.9</v>
      </c>
      <c r="C1499" s="1">
        <v>726</v>
      </c>
      <c r="D1499" s="1" t="s">
        <v>36</v>
      </c>
      <c r="E1499" s="1" t="s">
        <v>26</v>
      </c>
      <c r="F1499" s="1">
        <f t="shared" si="54"/>
        <v>690</v>
      </c>
      <c r="G1499" s="5">
        <f t="shared" si="53"/>
        <v>1.0521739130434782</v>
      </c>
    </row>
    <row r="1500" spans="1:7" ht="13">
      <c r="A1500" s="4" t="s">
        <v>117</v>
      </c>
      <c r="B1500" s="1">
        <v>6</v>
      </c>
      <c r="C1500" s="1">
        <v>852</v>
      </c>
      <c r="D1500" s="1" t="s">
        <v>44</v>
      </c>
      <c r="E1500" s="1" t="s">
        <v>8</v>
      </c>
      <c r="F1500" s="1">
        <f t="shared" si="54"/>
        <v>600</v>
      </c>
      <c r="G1500" s="5">
        <f t="shared" si="53"/>
        <v>1.42</v>
      </c>
    </row>
    <row r="1501" spans="1:7" ht="13">
      <c r="A1501" s="4" t="s">
        <v>117</v>
      </c>
      <c r="B1501" s="1">
        <v>8.1</v>
      </c>
      <c r="C1501" s="1">
        <v>1040</v>
      </c>
      <c r="D1501" s="1" t="s">
        <v>42</v>
      </c>
      <c r="E1501" s="1" t="s">
        <v>10</v>
      </c>
      <c r="F1501" s="1">
        <f t="shared" si="54"/>
        <v>810</v>
      </c>
      <c r="G1501" s="5">
        <f t="shared" si="53"/>
        <v>1.2839506172839505</v>
      </c>
    </row>
    <row r="1502" spans="1:7" ht="13">
      <c r="A1502" s="4" t="s">
        <v>117</v>
      </c>
      <c r="B1502" s="1">
        <v>8</v>
      </c>
      <c r="C1502" s="1">
        <v>894</v>
      </c>
      <c r="D1502" s="1" t="s">
        <v>33</v>
      </c>
      <c r="E1502" s="1" t="s">
        <v>17</v>
      </c>
      <c r="F1502" s="1">
        <f t="shared" si="54"/>
        <v>800</v>
      </c>
      <c r="G1502" s="5">
        <f t="shared" si="53"/>
        <v>1.1174999999999999</v>
      </c>
    </row>
    <row r="1503" spans="1:7" ht="13">
      <c r="A1503" s="4" t="s">
        <v>117</v>
      </c>
      <c r="B1503" s="1">
        <v>6.24</v>
      </c>
      <c r="C1503" s="1">
        <v>664</v>
      </c>
      <c r="D1503" s="1" t="s">
        <v>33</v>
      </c>
      <c r="E1503" s="1" t="s">
        <v>15</v>
      </c>
      <c r="F1503" s="1">
        <f t="shared" si="54"/>
        <v>624</v>
      </c>
      <c r="G1503" s="5">
        <f t="shared" si="53"/>
        <v>1.0641025641025641</v>
      </c>
    </row>
    <row r="1504" spans="1:7" ht="13">
      <c r="A1504" s="4" t="s">
        <v>117</v>
      </c>
      <c r="B1504" s="1">
        <v>5.6</v>
      </c>
      <c r="C1504" s="1">
        <v>727</v>
      </c>
      <c r="D1504" s="1" t="s">
        <v>11</v>
      </c>
      <c r="E1504" s="1" t="s">
        <v>21</v>
      </c>
      <c r="F1504" s="1">
        <f t="shared" si="54"/>
        <v>560</v>
      </c>
      <c r="G1504" s="5">
        <f t="shared" si="53"/>
        <v>1.2982142857142858</v>
      </c>
    </row>
    <row r="1505" spans="1:7" ht="13">
      <c r="A1505" s="4" t="s">
        <v>117</v>
      </c>
      <c r="B1505" s="1">
        <v>8.5</v>
      </c>
      <c r="C1505" s="1">
        <v>911</v>
      </c>
      <c r="D1505" s="1" t="s">
        <v>33</v>
      </c>
      <c r="E1505" s="1" t="s">
        <v>46</v>
      </c>
      <c r="F1505" s="1">
        <f t="shared" si="54"/>
        <v>850</v>
      </c>
      <c r="G1505" s="5">
        <f t="shared" si="53"/>
        <v>1.071764705882353</v>
      </c>
    </row>
    <row r="1506" spans="1:7" ht="13">
      <c r="A1506" s="4" t="s">
        <v>117</v>
      </c>
      <c r="B1506" s="1">
        <v>6.96</v>
      </c>
      <c r="C1506" s="1">
        <v>856</v>
      </c>
      <c r="D1506" s="1" t="s">
        <v>53</v>
      </c>
      <c r="E1506" s="1" t="s">
        <v>15</v>
      </c>
      <c r="F1506" s="1">
        <f t="shared" si="54"/>
        <v>696</v>
      </c>
      <c r="G1506" s="5">
        <f t="shared" si="53"/>
        <v>1.2298850574712643</v>
      </c>
    </row>
    <row r="1507" spans="1:7" ht="13">
      <c r="A1507" s="4" t="s">
        <v>117</v>
      </c>
      <c r="B1507" s="1">
        <v>8.1999999999999993</v>
      </c>
      <c r="C1507" s="1">
        <v>930</v>
      </c>
      <c r="D1507" s="1" t="s">
        <v>11</v>
      </c>
      <c r="E1507" s="1" t="s">
        <v>12</v>
      </c>
      <c r="F1507" s="1">
        <f t="shared" si="54"/>
        <v>819.99999999999989</v>
      </c>
      <c r="G1507" s="5">
        <f t="shared" si="53"/>
        <v>1.1341463414634148</v>
      </c>
    </row>
    <row r="1508" spans="1:7" ht="13">
      <c r="A1508" s="4" t="s">
        <v>117</v>
      </c>
      <c r="B1508" s="1">
        <v>8.5</v>
      </c>
      <c r="C1508" s="1">
        <v>1090</v>
      </c>
      <c r="D1508" s="1" t="s">
        <v>38</v>
      </c>
      <c r="E1508" s="1" t="s">
        <v>20</v>
      </c>
      <c r="F1508" s="1">
        <f t="shared" si="54"/>
        <v>850</v>
      </c>
      <c r="G1508" s="5">
        <f t="shared" si="53"/>
        <v>1.2823529411764707</v>
      </c>
    </row>
    <row r="1509" spans="1:7" ht="13">
      <c r="A1509" s="4" t="s">
        <v>117</v>
      </c>
      <c r="B1509" s="1">
        <v>5</v>
      </c>
      <c r="C1509" s="1">
        <v>624</v>
      </c>
      <c r="D1509" s="1" t="s">
        <v>50</v>
      </c>
      <c r="E1509" s="1" t="s">
        <v>17</v>
      </c>
      <c r="F1509" s="1">
        <f t="shared" si="54"/>
        <v>500</v>
      </c>
      <c r="G1509" s="5">
        <f t="shared" si="53"/>
        <v>1.248</v>
      </c>
    </row>
    <row r="1510" spans="1:7" ht="13">
      <c r="A1510" s="4" t="s">
        <v>117</v>
      </c>
      <c r="B1510" s="1">
        <v>5.4</v>
      </c>
      <c r="C1510" s="1">
        <v>385</v>
      </c>
      <c r="D1510" s="1" t="s">
        <v>33</v>
      </c>
      <c r="E1510" s="1" t="s">
        <v>25</v>
      </c>
      <c r="F1510" s="1">
        <f t="shared" si="54"/>
        <v>540</v>
      </c>
      <c r="G1510" s="5">
        <f t="shared" si="53"/>
        <v>0.71296296296296291</v>
      </c>
    </row>
    <row r="1511" spans="1:7" ht="13">
      <c r="A1511" s="4" t="s">
        <v>117</v>
      </c>
      <c r="B1511" s="1">
        <v>3.44</v>
      </c>
      <c r="C1511" s="1">
        <v>443</v>
      </c>
      <c r="D1511" s="1" t="s">
        <v>11</v>
      </c>
      <c r="E1511" s="1" t="s">
        <v>9</v>
      </c>
      <c r="F1511" s="1">
        <f t="shared" si="54"/>
        <v>344</v>
      </c>
      <c r="G1511" s="5">
        <f t="shared" si="53"/>
        <v>1.2877906976744187</v>
      </c>
    </row>
    <row r="1512" spans="1:7" ht="13">
      <c r="A1512" s="4" t="s">
        <v>117</v>
      </c>
      <c r="B1512" s="1">
        <v>5.67</v>
      </c>
      <c r="C1512" s="1">
        <v>789</v>
      </c>
      <c r="D1512" s="1" t="s">
        <v>43</v>
      </c>
      <c r="E1512" s="1" t="s">
        <v>9</v>
      </c>
      <c r="F1512" s="1">
        <f t="shared" si="54"/>
        <v>567</v>
      </c>
      <c r="G1512" s="5">
        <f t="shared" si="53"/>
        <v>1.3915343915343916</v>
      </c>
    </row>
    <row r="1513" spans="1:7" ht="13">
      <c r="A1513" s="4" t="s">
        <v>117</v>
      </c>
      <c r="B1513" s="1">
        <v>8.1999999999999993</v>
      </c>
      <c r="C1513" s="1">
        <v>972</v>
      </c>
      <c r="D1513" s="1" t="s">
        <v>34</v>
      </c>
      <c r="E1513" s="1" t="s">
        <v>16</v>
      </c>
      <c r="F1513" s="1">
        <f t="shared" si="54"/>
        <v>819.99999999999989</v>
      </c>
      <c r="G1513" s="5">
        <f t="shared" si="53"/>
        <v>1.1853658536585368</v>
      </c>
    </row>
    <row r="1514" spans="1:7" ht="13">
      <c r="A1514" s="4" t="s">
        <v>117</v>
      </c>
      <c r="B1514" s="1">
        <v>6.88</v>
      </c>
      <c r="C1514" s="1">
        <v>809</v>
      </c>
      <c r="D1514" s="1" t="s">
        <v>58</v>
      </c>
      <c r="E1514" s="1" t="s">
        <v>16</v>
      </c>
      <c r="F1514" s="1">
        <f t="shared" si="54"/>
        <v>688</v>
      </c>
      <c r="G1514" s="5">
        <f t="shared" si="53"/>
        <v>1.1758720930232558</v>
      </c>
    </row>
    <row r="1515" spans="1:7" ht="13">
      <c r="A1515" s="4" t="s">
        <v>117</v>
      </c>
      <c r="B1515" s="1">
        <v>7.3</v>
      </c>
      <c r="C1515" s="1">
        <v>921</v>
      </c>
      <c r="D1515" s="1" t="s">
        <v>47</v>
      </c>
      <c r="E1515" s="1" t="s">
        <v>28</v>
      </c>
      <c r="F1515" s="1">
        <f t="shared" si="54"/>
        <v>730</v>
      </c>
      <c r="G1515" s="5">
        <f t="shared" si="53"/>
        <v>1.2616438356164383</v>
      </c>
    </row>
    <row r="1516" spans="1:7" ht="13">
      <c r="A1516" s="4" t="s">
        <v>117</v>
      </c>
      <c r="B1516" s="1">
        <v>6.02</v>
      </c>
      <c r="C1516" s="1">
        <v>770</v>
      </c>
      <c r="D1516" s="1" t="s">
        <v>47</v>
      </c>
      <c r="E1516" s="1" t="s">
        <v>20</v>
      </c>
      <c r="F1516" s="1">
        <f t="shared" si="54"/>
        <v>602</v>
      </c>
      <c r="G1516" s="5">
        <f t="shared" si="53"/>
        <v>1.2790697674418605</v>
      </c>
    </row>
    <row r="1517" spans="1:7" ht="13">
      <c r="A1517" s="4" t="s">
        <v>117</v>
      </c>
      <c r="B1517" s="1">
        <v>7.83</v>
      </c>
      <c r="C1517" s="1">
        <v>894</v>
      </c>
      <c r="D1517" s="1" t="s">
        <v>39</v>
      </c>
      <c r="E1517" s="1" t="s">
        <v>8</v>
      </c>
      <c r="F1517" s="1">
        <f t="shared" si="54"/>
        <v>783</v>
      </c>
      <c r="G1517" s="5">
        <f t="shared" si="53"/>
        <v>1.1417624521072798</v>
      </c>
    </row>
    <row r="1518" spans="1:7" ht="13">
      <c r="A1518" s="4" t="s">
        <v>117</v>
      </c>
      <c r="B1518" s="1">
        <v>7.74</v>
      </c>
      <c r="C1518" s="1">
        <v>913</v>
      </c>
      <c r="D1518" s="1" t="s">
        <v>11</v>
      </c>
      <c r="E1518" s="1" t="s">
        <v>30</v>
      </c>
      <c r="F1518" s="1">
        <f t="shared" si="54"/>
        <v>774</v>
      </c>
      <c r="G1518" s="5">
        <f t="shared" si="53"/>
        <v>1.1795865633074936</v>
      </c>
    </row>
    <row r="1519" spans="1:7" ht="13">
      <c r="A1519" s="4" t="s">
        <v>117</v>
      </c>
      <c r="B1519" s="1">
        <v>7.6</v>
      </c>
      <c r="C1519" s="1">
        <v>876</v>
      </c>
      <c r="D1519" s="1" t="s">
        <v>39</v>
      </c>
      <c r="E1519" s="1" t="s">
        <v>8</v>
      </c>
      <c r="F1519" s="1">
        <f t="shared" si="54"/>
        <v>760</v>
      </c>
      <c r="G1519" s="5">
        <f t="shared" si="53"/>
        <v>1.1526315789473685</v>
      </c>
    </row>
    <row r="1520" spans="1:7" ht="13">
      <c r="A1520" s="4" t="s">
        <v>117</v>
      </c>
      <c r="B1520" s="1">
        <v>6.96</v>
      </c>
      <c r="C1520" s="1">
        <v>799</v>
      </c>
      <c r="D1520" s="1" t="s">
        <v>11</v>
      </c>
      <c r="E1520" s="1" t="s">
        <v>18</v>
      </c>
      <c r="F1520" s="1">
        <f t="shared" si="54"/>
        <v>696</v>
      </c>
      <c r="G1520" s="5">
        <f t="shared" si="53"/>
        <v>1.1479885057471264</v>
      </c>
    </row>
    <row r="1521" spans="1:7" ht="13">
      <c r="A1521" s="4" t="s">
        <v>117</v>
      </c>
      <c r="B1521" s="1">
        <v>40</v>
      </c>
      <c r="C1521" s="1">
        <v>5660</v>
      </c>
      <c r="D1521" s="1" t="s">
        <v>33</v>
      </c>
      <c r="E1521" s="1" t="s">
        <v>9</v>
      </c>
      <c r="F1521" s="1">
        <f t="shared" si="54"/>
        <v>4000</v>
      </c>
      <c r="G1521" s="5">
        <f t="shared" si="53"/>
        <v>1.415</v>
      </c>
    </row>
    <row r="1522" spans="1:7" ht="13">
      <c r="A1522" s="4" t="s">
        <v>117</v>
      </c>
      <c r="B1522" s="1">
        <v>6.56</v>
      </c>
      <c r="C1522" s="1">
        <v>772</v>
      </c>
      <c r="D1522" s="1" t="s">
        <v>11</v>
      </c>
      <c r="E1522" s="1" t="s">
        <v>18</v>
      </c>
      <c r="F1522" s="1">
        <f t="shared" si="54"/>
        <v>656</v>
      </c>
      <c r="G1522" s="5">
        <f t="shared" si="53"/>
        <v>1.1768292682926829</v>
      </c>
    </row>
    <row r="1523" spans="1:7" ht="13">
      <c r="A1523" s="4" t="s">
        <v>117</v>
      </c>
      <c r="B1523" s="1">
        <v>9</v>
      </c>
      <c r="C1523" s="1">
        <v>1200</v>
      </c>
      <c r="D1523" s="1" t="s">
        <v>33</v>
      </c>
      <c r="E1523" s="1" t="s">
        <v>8</v>
      </c>
      <c r="F1523" s="1">
        <f t="shared" si="54"/>
        <v>900</v>
      </c>
      <c r="G1523" s="5">
        <f t="shared" si="53"/>
        <v>1.3333333333333333</v>
      </c>
    </row>
    <row r="1524" spans="1:7" ht="13">
      <c r="A1524" s="4" t="s">
        <v>117</v>
      </c>
      <c r="B1524" s="1">
        <v>7.6</v>
      </c>
      <c r="C1524" s="1">
        <v>870</v>
      </c>
      <c r="D1524" s="1" t="s">
        <v>79</v>
      </c>
      <c r="E1524" s="1" t="s">
        <v>28</v>
      </c>
      <c r="F1524" s="1">
        <f t="shared" si="54"/>
        <v>760</v>
      </c>
      <c r="G1524" s="5">
        <f t="shared" si="53"/>
        <v>1.1447368421052631</v>
      </c>
    </row>
    <row r="1525" spans="1:7" ht="13">
      <c r="A1525" s="4" t="s">
        <v>117</v>
      </c>
      <c r="B1525" s="1">
        <v>4.2</v>
      </c>
      <c r="C1525" s="1">
        <v>547</v>
      </c>
      <c r="D1525" s="1" t="s">
        <v>11</v>
      </c>
      <c r="E1525" s="1" t="s">
        <v>15</v>
      </c>
      <c r="F1525" s="1">
        <f t="shared" si="54"/>
        <v>420</v>
      </c>
      <c r="G1525" s="5">
        <f t="shared" si="53"/>
        <v>1.3023809523809524</v>
      </c>
    </row>
    <row r="1526" spans="1:7" ht="13">
      <c r="A1526" s="4" t="s">
        <v>117</v>
      </c>
      <c r="B1526" s="1">
        <v>5</v>
      </c>
      <c r="C1526" s="1">
        <v>618</v>
      </c>
      <c r="D1526" s="1" t="s">
        <v>43</v>
      </c>
      <c r="E1526" s="1" t="s">
        <v>22</v>
      </c>
      <c r="F1526" s="1">
        <f t="shared" si="54"/>
        <v>500</v>
      </c>
      <c r="G1526" s="5">
        <f t="shared" si="53"/>
        <v>1.236</v>
      </c>
    </row>
    <row r="1527" spans="1:7" ht="13">
      <c r="A1527" s="4" t="s">
        <v>117</v>
      </c>
      <c r="B1527" s="1">
        <v>6.5250000000000004</v>
      </c>
      <c r="C1527" s="1">
        <v>651</v>
      </c>
      <c r="D1527" s="1" t="s">
        <v>11</v>
      </c>
      <c r="E1527" s="1" t="s">
        <v>18</v>
      </c>
      <c r="F1527" s="1">
        <f t="shared" si="54"/>
        <v>652.5</v>
      </c>
      <c r="G1527" s="5">
        <f t="shared" si="53"/>
        <v>0.99770114942528731</v>
      </c>
    </row>
    <row r="1528" spans="1:7" ht="13">
      <c r="A1528" s="4" t="s">
        <v>117</v>
      </c>
      <c r="B1528" s="1">
        <v>6.5</v>
      </c>
      <c r="C1528" s="1">
        <v>727</v>
      </c>
      <c r="D1528" s="1" t="s">
        <v>55</v>
      </c>
      <c r="E1528" s="1" t="s">
        <v>15</v>
      </c>
      <c r="F1528" s="1">
        <f t="shared" si="54"/>
        <v>650</v>
      </c>
      <c r="G1528" s="5">
        <f t="shared" si="53"/>
        <v>1.1184615384615384</v>
      </c>
    </row>
    <row r="1529" spans="1:7" ht="13">
      <c r="A1529" s="4" t="s">
        <v>117</v>
      </c>
      <c r="B1529" s="1">
        <v>6.88</v>
      </c>
      <c r="C1529" s="1">
        <v>929</v>
      </c>
      <c r="D1529" s="1" t="s">
        <v>11</v>
      </c>
      <c r="E1529" s="1" t="s">
        <v>8</v>
      </c>
      <c r="F1529" s="1">
        <f t="shared" si="54"/>
        <v>688</v>
      </c>
      <c r="G1529" s="5">
        <f t="shared" si="53"/>
        <v>1.3502906976744187</v>
      </c>
    </row>
    <row r="1530" spans="1:7" ht="13">
      <c r="A1530" s="4" t="s">
        <v>117</v>
      </c>
      <c r="B1530" s="1">
        <v>12.21</v>
      </c>
      <c r="C1530" s="1">
        <v>1557</v>
      </c>
      <c r="D1530" s="1" t="s">
        <v>11</v>
      </c>
      <c r="E1530" s="1" t="s">
        <v>14</v>
      </c>
      <c r="F1530" s="1">
        <f t="shared" si="54"/>
        <v>1221</v>
      </c>
      <c r="G1530" s="5">
        <f t="shared" si="53"/>
        <v>1.2751842751842752</v>
      </c>
    </row>
    <row r="1531" spans="1:7" ht="13">
      <c r="A1531" s="4" t="s">
        <v>117</v>
      </c>
      <c r="B1531" s="1">
        <v>5.46</v>
      </c>
      <c r="C1531" s="1">
        <v>728</v>
      </c>
      <c r="D1531" s="1" t="s">
        <v>47</v>
      </c>
      <c r="E1531" s="1" t="s">
        <v>10</v>
      </c>
      <c r="F1531" s="1">
        <f t="shared" si="54"/>
        <v>546</v>
      </c>
      <c r="G1531" s="5">
        <f t="shared" si="53"/>
        <v>1.3333333333333333</v>
      </c>
    </row>
    <row r="1532" spans="1:7" ht="13">
      <c r="A1532" s="4" t="s">
        <v>117</v>
      </c>
      <c r="B1532" s="1">
        <v>5.59</v>
      </c>
      <c r="C1532" s="1">
        <v>700</v>
      </c>
      <c r="D1532" s="1" t="s">
        <v>36</v>
      </c>
      <c r="E1532" s="1" t="s">
        <v>9</v>
      </c>
      <c r="F1532" s="1">
        <f t="shared" si="54"/>
        <v>559</v>
      </c>
      <c r="G1532" s="5">
        <f t="shared" si="53"/>
        <v>1.2522361359570662</v>
      </c>
    </row>
    <row r="1533" spans="1:7" ht="13">
      <c r="A1533" s="4" t="s">
        <v>117</v>
      </c>
      <c r="B1533" s="1">
        <v>8.6999999999999993</v>
      </c>
      <c r="C1533" s="1">
        <v>1038</v>
      </c>
      <c r="D1533" s="1" t="s">
        <v>33</v>
      </c>
      <c r="E1533" s="1" t="s">
        <v>8</v>
      </c>
      <c r="F1533" s="1">
        <f t="shared" si="54"/>
        <v>869.99999999999989</v>
      </c>
      <c r="G1533" s="5">
        <f t="shared" si="53"/>
        <v>1.1931034482758622</v>
      </c>
    </row>
    <row r="1534" spans="1:7" ht="13">
      <c r="A1534" s="4" t="s">
        <v>117</v>
      </c>
      <c r="B1534" s="1">
        <v>3</v>
      </c>
      <c r="C1534" s="1">
        <v>495.4</v>
      </c>
      <c r="D1534" s="1" t="s">
        <v>43</v>
      </c>
      <c r="E1534" s="1" t="s">
        <v>18</v>
      </c>
      <c r="F1534" s="1">
        <f t="shared" si="54"/>
        <v>300</v>
      </c>
      <c r="G1534" s="5">
        <f t="shared" si="53"/>
        <v>1.6513333333333333</v>
      </c>
    </row>
    <row r="1535" spans="1:7" ht="13">
      <c r="A1535" s="4" t="s">
        <v>117</v>
      </c>
      <c r="B1535" s="1">
        <v>5.2</v>
      </c>
      <c r="C1535" s="1">
        <v>642</v>
      </c>
      <c r="D1535" s="1" t="s">
        <v>11</v>
      </c>
      <c r="E1535" s="1" t="s">
        <v>16</v>
      </c>
      <c r="F1535" s="1">
        <f t="shared" si="54"/>
        <v>520</v>
      </c>
      <c r="G1535" s="5">
        <f t="shared" si="53"/>
        <v>1.2346153846153847</v>
      </c>
    </row>
    <row r="1536" spans="1:7" ht="13">
      <c r="A1536" s="4" t="s">
        <v>117</v>
      </c>
      <c r="B1536" s="1">
        <v>6.1</v>
      </c>
      <c r="C1536" s="1">
        <v>697</v>
      </c>
      <c r="D1536" s="1" t="s">
        <v>33</v>
      </c>
      <c r="E1536" s="1" t="s">
        <v>26</v>
      </c>
      <c r="F1536" s="1">
        <f t="shared" si="54"/>
        <v>610</v>
      </c>
      <c r="G1536" s="5">
        <f t="shared" si="53"/>
        <v>1.1426229508196721</v>
      </c>
    </row>
    <row r="1537" spans="1:7" ht="13">
      <c r="A1537" s="4" t="s">
        <v>117</v>
      </c>
      <c r="B1537" s="1">
        <v>5.22</v>
      </c>
      <c r="C1537" s="1">
        <v>676</v>
      </c>
      <c r="D1537" s="1" t="s">
        <v>11</v>
      </c>
      <c r="E1537" s="1" t="s">
        <v>17</v>
      </c>
      <c r="F1537" s="1">
        <f t="shared" si="54"/>
        <v>522</v>
      </c>
      <c r="G1537" s="5">
        <f t="shared" si="53"/>
        <v>1.2950191570881227</v>
      </c>
    </row>
    <row r="1538" spans="1:7" ht="13">
      <c r="A1538" s="4" t="s">
        <v>117</v>
      </c>
      <c r="B1538" s="1">
        <v>6.5</v>
      </c>
      <c r="C1538" s="1">
        <v>980</v>
      </c>
      <c r="D1538" s="1" t="s">
        <v>33</v>
      </c>
      <c r="E1538" s="1" t="s">
        <v>8</v>
      </c>
      <c r="F1538" s="1">
        <f t="shared" si="54"/>
        <v>650</v>
      </c>
      <c r="G1538" s="5">
        <f t="shared" ref="G1538:G1601" si="55">C1538/F1538</f>
        <v>1.5076923076923077</v>
      </c>
    </row>
    <row r="1539" spans="1:7" ht="13">
      <c r="A1539" s="4" t="s">
        <v>117</v>
      </c>
      <c r="B1539" s="1">
        <v>8.8000000000000007</v>
      </c>
      <c r="C1539" s="1">
        <v>831</v>
      </c>
      <c r="D1539" s="1" t="s">
        <v>97</v>
      </c>
      <c r="E1539" s="1" t="s">
        <v>30</v>
      </c>
      <c r="F1539" s="1">
        <f t="shared" ref="F1539:F1602" si="56">B1539*100</f>
        <v>880.00000000000011</v>
      </c>
      <c r="G1539" s="5">
        <f t="shared" si="55"/>
        <v>0.94431818181818172</v>
      </c>
    </row>
    <row r="1540" spans="1:7" ht="13">
      <c r="A1540" s="4" t="s">
        <v>117</v>
      </c>
      <c r="B1540" s="1">
        <v>7.74</v>
      </c>
      <c r="C1540" s="1">
        <v>1010</v>
      </c>
      <c r="D1540" s="1" t="s">
        <v>11</v>
      </c>
      <c r="E1540" s="1" t="s">
        <v>25</v>
      </c>
      <c r="F1540" s="1">
        <f t="shared" si="56"/>
        <v>774</v>
      </c>
      <c r="G1540" s="5">
        <f t="shared" si="55"/>
        <v>1.3049095607235142</v>
      </c>
    </row>
    <row r="1541" spans="1:7" ht="13">
      <c r="A1541" s="4" t="s">
        <v>117</v>
      </c>
      <c r="B1541" s="1">
        <v>6.1</v>
      </c>
      <c r="C1541" s="1">
        <v>818</v>
      </c>
      <c r="D1541" s="1" t="s">
        <v>11</v>
      </c>
      <c r="E1541" s="1" t="s">
        <v>8</v>
      </c>
      <c r="F1541" s="1">
        <f t="shared" si="56"/>
        <v>610</v>
      </c>
      <c r="G1541" s="5">
        <f t="shared" si="55"/>
        <v>1.340983606557377</v>
      </c>
    </row>
    <row r="1542" spans="1:7" ht="13">
      <c r="A1542" s="4" t="s">
        <v>117</v>
      </c>
      <c r="B1542" s="1">
        <v>4.5</v>
      </c>
      <c r="C1542" s="1">
        <v>575</v>
      </c>
      <c r="D1542" s="1" t="s">
        <v>11</v>
      </c>
      <c r="E1542" s="1" t="s">
        <v>22</v>
      </c>
      <c r="F1542" s="1">
        <f t="shared" si="56"/>
        <v>450</v>
      </c>
      <c r="G1542" s="5">
        <f t="shared" si="55"/>
        <v>1.2777777777777777</v>
      </c>
    </row>
    <row r="1543" spans="1:7" ht="13">
      <c r="A1543" s="4" t="s">
        <v>117</v>
      </c>
      <c r="B1543" s="1">
        <v>9.6</v>
      </c>
      <c r="C1543" s="1">
        <v>1020</v>
      </c>
      <c r="D1543" s="1" t="s">
        <v>45</v>
      </c>
      <c r="E1543" s="1" t="s">
        <v>7</v>
      </c>
      <c r="F1543" s="1">
        <f t="shared" si="56"/>
        <v>960</v>
      </c>
      <c r="G1543" s="5">
        <f t="shared" si="55"/>
        <v>1.0625</v>
      </c>
    </row>
    <row r="1544" spans="1:7" ht="13">
      <c r="A1544" s="4" t="s">
        <v>117</v>
      </c>
      <c r="B1544" s="1">
        <v>7.3</v>
      </c>
      <c r="C1544" s="1">
        <v>880</v>
      </c>
      <c r="D1544" s="1" t="s">
        <v>35</v>
      </c>
      <c r="E1544" s="1" t="s">
        <v>27</v>
      </c>
      <c r="F1544" s="1">
        <f t="shared" si="56"/>
        <v>730</v>
      </c>
      <c r="G1544" s="5">
        <f t="shared" si="55"/>
        <v>1.2054794520547945</v>
      </c>
    </row>
    <row r="1545" spans="1:7" ht="13">
      <c r="A1545" s="4" t="s">
        <v>117</v>
      </c>
      <c r="B1545" s="1">
        <v>7.83</v>
      </c>
      <c r="C1545" s="1">
        <v>965.52</v>
      </c>
      <c r="D1545" s="1" t="s">
        <v>33</v>
      </c>
      <c r="E1545" s="1" t="s">
        <v>12</v>
      </c>
      <c r="F1545" s="1">
        <f t="shared" si="56"/>
        <v>783</v>
      </c>
      <c r="G1545" s="5">
        <f t="shared" si="55"/>
        <v>1.233103448275862</v>
      </c>
    </row>
    <row r="1546" spans="1:7" ht="13">
      <c r="A1546" s="4" t="s">
        <v>117</v>
      </c>
      <c r="B1546" s="1">
        <v>6.4</v>
      </c>
      <c r="C1546" s="1">
        <v>759</v>
      </c>
      <c r="D1546" s="1" t="s">
        <v>42</v>
      </c>
      <c r="E1546" s="1" t="s">
        <v>18</v>
      </c>
      <c r="F1546" s="1">
        <f t="shared" si="56"/>
        <v>640</v>
      </c>
      <c r="G1546" s="5">
        <f t="shared" si="55"/>
        <v>1.1859375000000001</v>
      </c>
    </row>
    <row r="1547" spans="1:7" ht="13">
      <c r="A1547" s="4" t="s">
        <v>117</v>
      </c>
      <c r="B1547" s="1">
        <v>6.9</v>
      </c>
      <c r="C1547" s="1">
        <v>840</v>
      </c>
      <c r="D1547" s="1" t="s">
        <v>47</v>
      </c>
      <c r="E1547" s="1" t="s">
        <v>24</v>
      </c>
      <c r="F1547" s="1">
        <f t="shared" si="56"/>
        <v>690</v>
      </c>
      <c r="G1547" s="5">
        <f t="shared" si="55"/>
        <v>1.2173913043478262</v>
      </c>
    </row>
    <row r="1548" spans="1:7" ht="13">
      <c r="A1548" s="4" t="s">
        <v>117</v>
      </c>
      <c r="B1548" s="1">
        <v>3.5</v>
      </c>
      <c r="C1548" s="1">
        <v>400</v>
      </c>
      <c r="D1548" s="1" t="s">
        <v>55</v>
      </c>
      <c r="E1548" s="1" t="s">
        <v>15</v>
      </c>
      <c r="F1548" s="1">
        <f t="shared" si="56"/>
        <v>350</v>
      </c>
      <c r="G1548" s="5">
        <f t="shared" si="55"/>
        <v>1.1428571428571428</v>
      </c>
    </row>
    <row r="1549" spans="1:7" ht="13">
      <c r="A1549" s="4" t="s">
        <v>117</v>
      </c>
      <c r="B1549" s="1">
        <v>5.92</v>
      </c>
      <c r="C1549" s="1">
        <v>741</v>
      </c>
      <c r="D1549" s="1" t="s">
        <v>11</v>
      </c>
      <c r="E1549" s="1" t="s">
        <v>17</v>
      </c>
      <c r="F1549" s="1">
        <f t="shared" si="56"/>
        <v>592</v>
      </c>
      <c r="G1549" s="5">
        <f t="shared" si="55"/>
        <v>1.2516891891891893</v>
      </c>
    </row>
    <row r="1550" spans="1:7" ht="13">
      <c r="A1550" s="4" t="s">
        <v>117</v>
      </c>
      <c r="B1550" s="1">
        <v>7.8</v>
      </c>
      <c r="C1550" s="1">
        <v>937</v>
      </c>
      <c r="D1550" s="1" t="s">
        <v>53</v>
      </c>
      <c r="E1550" s="1" t="s">
        <v>9</v>
      </c>
      <c r="F1550" s="1">
        <f t="shared" si="56"/>
        <v>780</v>
      </c>
      <c r="G1550" s="5">
        <f t="shared" si="55"/>
        <v>1.2012820512820512</v>
      </c>
    </row>
    <row r="1551" spans="1:7" ht="13">
      <c r="A1551" s="4" t="s">
        <v>117</v>
      </c>
      <c r="B1551" s="1">
        <v>8.6</v>
      </c>
      <c r="C1551" s="1">
        <v>1141</v>
      </c>
      <c r="D1551" s="1" t="s">
        <v>42</v>
      </c>
      <c r="E1551" s="1" t="s">
        <v>8</v>
      </c>
      <c r="F1551" s="1">
        <f t="shared" si="56"/>
        <v>860</v>
      </c>
      <c r="G1551" s="5">
        <f t="shared" si="55"/>
        <v>1.3267441860465117</v>
      </c>
    </row>
    <row r="1552" spans="1:7" ht="13">
      <c r="A1552" s="4" t="s">
        <v>117</v>
      </c>
      <c r="B1552" s="1">
        <v>6</v>
      </c>
      <c r="C1552" s="1">
        <v>1022</v>
      </c>
      <c r="D1552" s="1" t="s">
        <v>43</v>
      </c>
      <c r="E1552" s="1" t="s">
        <v>17</v>
      </c>
      <c r="F1552" s="1">
        <f t="shared" si="56"/>
        <v>600</v>
      </c>
      <c r="G1552" s="5">
        <f t="shared" si="55"/>
        <v>1.7033333333333334</v>
      </c>
    </row>
    <row r="1553" spans="1:7" ht="13">
      <c r="A1553" s="4" t="s">
        <v>117</v>
      </c>
      <c r="B1553" s="1">
        <v>5.6</v>
      </c>
      <c r="C1553" s="1">
        <v>733.49</v>
      </c>
      <c r="D1553" s="1" t="s">
        <v>11</v>
      </c>
      <c r="E1553" s="1" t="s">
        <v>8</v>
      </c>
      <c r="F1553" s="1">
        <f t="shared" si="56"/>
        <v>560</v>
      </c>
      <c r="G1553" s="5">
        <f t="shared" si="55"/>
        <v>1.3098035714285714</v>
      </c>
    </row>
    <row r="1554" spans="1:7" ht="13">
      <c r="A1554" s="4" t="s">
        <v>117</v>
      </c>
      <c r="B1554" s="1">
        <v>3.1</v>
      </c>
      <c r="C1554" s="1">
        <v>391</v>
      </c>
      <c r="D1554" s="1" t="s">
        <v>11</v>
      </c>
      <c r="E1554" s="1" t="s">
        <v>31</v>
      </c>
      <c r="F1554" s="1">
        <f t="shared" si="56"/>
        <v>310</v>
      </c>
      <c r="G1554" s="5">
        <f t="shared" si="55"/>
        <v>1.2612903225806451</v>
      </c>
    </row>
    <row r="1555" spans="1:7" ht="13">
      <c r="A1555" s="4" t="s">
        <v>117</v>
      </c>
      <c r="B1555" s="1">
        <v>4.8</v>
      </c>
      <c r="C1555" s="1">
        <v>537</v>
      </c>
      <c r="D1555" s="1" t="s">
        <v>33</v>
      </c>
      <c r="E1555" s="1" t="s">
        <v>15</v>
      </c>
      <c r="F1555" s="1">
        <f t="shared" si="56"/>
        <v>480</v>
      </c>
      <c r="G1555" s="5">
        <f t="shared" si="55"/>
        <v>1.1187499999999999</v>
      </c>
    </row>
    <row r="1556" spans="1:7" ht="13">
      <c r="A1556" s="4" t="s">
        <v>117</v>
      </c>
      <c r="B1556" s="1">
        <v>7.2</v>
      </c>
      <c r="C1556" s="1">
        <v>875</v>
      </c>
      <c r="D1556" s="1" t="s">
        <v>47</v>
      </c>
      <c r="E1556" s="1" t="s">
        <v>17</v>
      </c>
      <c r="F1556" s="1">
        <f t="shared" si="56"/>
        <v>720</v>
      </c>
      <c r="G1556" s="5">
        <f t="shared" si="55"/>
        <v>1.2152777777777777</v>
      </c>
    </row>
    <row r="1557" spans="1:7" ht="13">
      <c r="A1557" s="4" t="s">
        <v>117</v>
      </c>
      <c r="B1557" s="1">
        <v>7.75</v>
      </c>
      <c r="C1557" s="1">
        <v>905</v>
      </c>
      <c r="D1557" s="1" t="s">
        <v>11</v>
      </c>
      <c r="E1557" s="1" t="s">
        <v>16</v>
      </c>
      <c r="F1557" s="1">
        <f t="shared" si="56"/>
        <v>775</v>
      </c>
      <c r="G1557" s="5">
        <f t="shared" si="55"/>
        <v>1.167741935483871</v>
      </c>
    </row>
    <row r="1558" spans="1:7" ht="13">
      <c r="A1558" s="4" t="s">
        <v>117</v>
      </c>
      <c r="B1558" s="1">
        <v>7.4</v>
      </c>
      <c r="C1558" s="1">
        <v>895</v>
      </c>
      <c r="D1558" s="1" t="s">
        <v>11</v>
      </c>
      <c r="E1558" s="1" t="s">
        <v>21</v>
      </c>
      <c r="F1558" s="1">
        <f t="shared" si="56"/>
        <v>740</v>
      </c>
      <c r="G1558" s="5">
        <f t="shared" si="55"/>
        <v>1.2094594594594594</v>
      </c>
    </row>
    <row r="1559" spans="1:7" ht="13">
      <c r="A1559" s="4" t="s">
        <v>117</v>
      </c>
      <c r="B1559" s="1">
        <v>7.2</v>
      </c>
      <c r="C1559" s="1">
        <v>905</v>
      </c>
      <c r="D1559" s="1" t="s">
        <v>33</v>
      </c>
      <c r="E1559" s="1" t="s">
        <v>15</v>
      </c>
      <c r="F1559" s="1">
        <f t="shared" si="56"/>
        <v>720</v>
      </c>
      <c r="G1559" s="5">
        <f t="shared" si="55"/>
        <v>1.2569444444444444</v>
      </c>
    </row>
    <row r="1560" spans="1:7" ht="13">
      <c r="A1560" s="4" t="s">
        <v>117</v>
      </c>
      <c r="B1560" s="1">
        <v>7.8</v>
      </c>
      <c r="C1560" s="1">
        <v>888</v>
      </c>
      <c r="D1560" s="1" t="s">
        <v>58</v>
      </c>
      <c r="E1560" s="1" t="s">
        <v>10</v>
      </c>
      <c r="F1560" s="1">
        <f t="shared" si="56"/>
        <v>780</v>
      </c>
      <c r="G1560" s="5">
        <f t="shared" si="55"/>
        <v>1.1384615384615384</v>
      </c>
    </row>
    <row r="1561" spans="1:7" ht="13">
      <c r="A1561" s="4" t="s">
        <v>117</v>
      </c>
      <c r="B1561" s="1">
        <v>7.7</v>
      </c>
      <c r="C1561" s="1">
        <v>1007</v>
      </c>
      <c r="D1561" s="1" t="s">
        <v>58</v>
      </c>
      <c r="E1561" s="1" t="s">
        <v>14</v>
      </c>
      <c r="F1561" s="1">
        <f t="shared" si="56"/>
        <v>770</v>
      </c>
      <c r="G1561" s="5">
        <f t="shared" si="55"/>
        <v>1.3077922077922077</v>
      </c>
    </row>
    <row r="1562" spans="1:7" ht="13">
      <c r="A1562" s="4" t="s">
        <v>117</v>
      </c>
      <c r="B1562" s="1">
        <v>9.57</v>
      </c>
      <c r="C1562" s="1">
        <v>1080</v>
      </c>
      <c r="D1562" s="1" t="s">
        <v>11</v>
      </c>
      <c r="E1562" s="1" t="s">
        <v>14</v>
      </c>
      <c r="F1562" s="1">
        <f t="shared" si="56"/>
        <v>957</v>
      </c>
      <c r="G1562" s="5">
        <f t="shared" si="55"/>
        <v>1.128526645768025</v>
      </c>
    </row>
    <row r="1563" spans="1:7" ht="13">
      <c r="A1563" s="4" t="s">
        <v>117</v>
      </c>
      <c r="B1563" s="1">
        <v>10.3</v>
      </c>
      <c r="C1563" s="1">
        <v>1210</v>
      </c>
      <c r="D1563" s="1" t="s">
        <v>37</v>
      </c>
      <c r="E1563" s="1" t="s">
        <v>26</v>
      </c>
      <c r="F1563" s="1">
        <f t="shared" si="56"/>
        <v>1030</v>
      </c>
      <c r="G1563" s="5">
        <f t="shared" si="55"/>
        <v>1.174757281553398</v>
      </c>
    </row>
    <row r="1564" spans="1:7" ht="13">
      <c r="A1564" s="4" t="s">
        <v>117</v>
      </c>
      <c r="B1564" s="1">
        <v>5.1100000000000003</v>
      </c>
      <c r="C1564" s="1">
        <v>619</v>
      </c>
      <c r="D1564" s="1" t="s">
        <v>43</v>
      </c>
      <c r="E1564" s="1" t="s">
        <v>8</v>
      </c>
      <c r="F1564" s="1">
        <f t="shared" si="56"/>
        <v>511.00000000000006</v>
      </c>
      <c r="G1564" s="5">
        <f t="shared" si="55"/>
        <v>1.2113502935420741</v>
      </c>
    </row>
    <row r="1565" spans="1:7" ht="13">
      <c r="A1565" s="4" t="s">
        <v>117</v>
      </c>
      <c r="B1565" s="1">
        <v>7.3</v>
      </c>
      <c r="C1565" s="1">
        <v>930</v>
      </c>
      <c r="D1565" s="1" t="s">
        <v>11</v>
      </c>
      <c r="E1565" s="1" t="s">
        <v>16</v>
      </c>
      <c r="F1565" s="1">
        <f t="shared" si="56"/>
        <v>730</v>
      </c>
      <c r="G1565" s="5">
        <f t="shared" si="55"/>
        <v>1.273972602739726</v>
      </c>
    </row>
    <row r="1566" spans="1:7" ht="13">
      <c r="A1566" s="4" t="s">
        <v>117</v>
      </c>
      <c r="B1566" s="1">
        <v>6.09</v>
      </c>
      <c r="C1566" s="1">
        <v>654.4</v>
      </c>
      <c r="D1566" s="1" t="s">
        <v>42</v>
      </c>
      <c r="E1566" s="1" t="s">
        <v>15</v>
      </c>
      <c r="F1566" s="1">
        <f t="shared" si="56"/>
        <v>609</v>
      </c>
      <c r="G1566" s="5">
        <f t="shared" si="55"/>
        <v>1.0745484400656815</v>
      </c>
    </row>
    <row r="1567" spans="1:7" ht="13">
      <c r="A1567" s="4" t="s">
        <v>117</v>
      </c>
      <c r="B1567" s="1">
        <v>6</v>
      </c>
      <c r="C1567" s="1">
        <v>765</v>
      </c>
      <c r="D1567" s="1" t="s">
        <v>11</v>
      </c>
      <c r="E1567" s="1" t="s">
        <v>19</v>
      </c>
      <c r="F1567" s="1">
        <f t="shared" si="56"/>
        <v>600</v>
      </c>
      <c r="G1567" s="5">
        <f t="shared" si="55"/>
        <v>1.2749999999999999</v>
      </c>
    </row>
    <row r="1568" spans="1:7" ht="13">
      <c r="A1568" s="4" t="s">
        <v>117</v>
      </c>
      <c r="B1568" s="1">
        <v>8.6</v>
      </c>
      <c r="C1568" s="1">
        <v>963</v>
      </c>
      <c r="D1568" s="1" t="s">
        <v>33</v>
      </c>
      <c r="E1568" s="1" t="s">
        <v>15</v>
      </c>
      <c r="F1568" s="1">
        <f t="shared" si="56"/>
        <v>860</v>
      </c>
      <c r="G1568" s="5">
        <f t="shared" si="55"/>
        <v>1.1197674418604651</v>
      </c>
    </row>
    <row r="1569" spans="1:7" ht="13">
      <c r="A1569" s="4" t="s">
        <v>117</v>
      </c>
      <c r="B1569" s="1">
        <v>4.8</v>
      </c>
      <c r="C1569" s="1">
        <v>610</v>
      </c>
      <c r="D1569" s="1" t="s">
        <v>38</v>
      </c>
      <c r="E1569" s="1" t="s">
        <v>21</v>
      </c>
      <c r="F1569" s="1">
        <f t="shared" si="56"/>
        <v>480</v>
      </c>
      <c r="G1569" s="5">
        <f t="shared" si="55"/>
        <v>1.2708333333333333</v>
      </c>
    </row>
    <row r="1570" spans="1:7" ht="13">
      <c r="A1570" s="4" t="s">
        <v>117</v>
      </c>
      <c r="B1570" s="1">
        <v>8700</v>
      </c>
      <c r="C1570" s="1">
        <v>1124.2</v>
      </c>
      <c r="D1570" s="1" t="s">
        <v>11</v>
      </c>
      <c r="E1570" s="1" t="s">
        <v>7</v>
      </c>
      <c r="F1570" s="1">
        <f t="shared" si="56"/>
        <v>870000</v>
      </c>
      <c r="G1570" s="5">
        <f t="shared" si="55"/>
        <v>1.2921839080459771E-3</v>
      </c>
    </row>
    <row r="1571" spans="1:7" ht="13">
      <c r="A1571" s="4" t="s">
        <v>117</v>
      </c>
      <c r="B1571" s="1">
        <v>3.48</v>
      </c>
      <c r="C1571" s="1">
        <v>441</v>
      </c>
      <c r="D1571" s="1" t="s">
        <v>11</v>
      </c>
      <c r="E1571" s="1" t="s">
        <v>7</v>
      </c>
      <c r="F1571" s="1">
        <f t="shared" si="56"/>
        <v>348</v>
      </c>
      <c r="G1571" s="5">
        <f t="shared" si="55"/>
        <v>1.2672413793103448</v>
      </c>
    </row>
    <row r="1572" spans="1:7" ht="13">
      <c r="A1572" s="4" t="s">
        <v>117</v>
      </c>
      <c r="B1572" s="1">
        <v>6.4</v>
      </c>
      <c r="C1572" s="1">
        <v>789</v>
      </c>
      <c r="D1572" s="1" t="s">
        <v>38</v>
      </c>
      <c r="E1572" s="1" t="s">
        <v>9</v>
      </c>
      <c r="F1572" s="1">
        <f t="shared" si="56"/>
        <v>640</v>
      </c>
      <c r="G1572" s="5">
        <f t="shared" si="55"/>
        <v>1.2328125000000001</v>
      </c>
    </row>
    <row r="1573" spans="1:7" ht="13">
      <c r="A1573" s="4" t="s">
        <v>117</v>
      </c>
      <c r="B1573" s="1">
        <v>6.96</v>
      </c>
      <c r="C1573" s="1">
        <v>812</v>
      </c>
      <c r="D1573" s="1" t="s">
        <v>42</v>
      </c>
      <c r="E1573" s="1" t="s">
        <v>12</v>
      </c>
      <c r="F1573" s="1">
        <f t="shared" si="56"/>
        <v>696</v>
      </c>
      <c r="G1573" s="5">
        <f t="shared" si="55"/>
        <v>1.1666666666666667</v>
      </c>
    </row>
    <row r="1574" spans="1:7" ht="13">
      <c r="A1574" s="4" t="s">
        <v>117</v>
      </c>
      <c r="B1574" s="1">
        <v>3</v>
      </c>
      <c r="C1574" s="1">
        <v>388</v>
      </c>
      <c r="D1574" s="1" t="s">
        <v>11</v>
      </c>
      <c r="E1574" s="1" t="s">
        <v>26</v>
      </c>
      <c r="F1574" s="1">
        <f t="shared" si="56"/>
        <v>300</v>
      </c>
      <c r="G1574" s="5">
        <f t="shared" si="55"/>
        <v>1.2933333333333332</v>
      </c>
    </row>
    <row r="1575" spans="1:7" ht="13">
      <c r="A1575" s="4" t="s">
        <v>117</v>
      </c>
      <c r="B1575" s="1">
        <v>9.1999999999999993</v>
      </c>
      <c r="C1575" s="1">
        <v>1122</v>
      </c>
      <c r="D1575" s="1" t="s">
        <v>33</v>
      </c>
      <c r="E1575" s="1" t="s">
        <v>20</v>
      </c>
      <c r="F1575" s="1">
        <f t="shared" si="56"/>
        <v>919.99999999999989</v>
      </c>
      <c r="G1575" s="5">
        <f t="shared" si="55"/>
        <v>1.2195652173913045</v>
      </c>
    </row>
    <row r="1576" spans="1:7" ht="13">
      <c r="A1576" s="4" t="s">
        <v>117</v>
      </c>
      <c r="B1576" s="1">
        <v>7.74</v>
      </c>
      <c r="C1576" s="1">
        <v>950</v>
      </c>
      <c r="D1576" s="1" t="s">
        <v>33</v>
      </c>
      <c r="E1576" s="1" t="s">
        <v>16</v>
      </c>
      <c r="F1576" s="1">
        <f t="shared" si="56"/>
        <v>774</v>
      </c>
      <c r="G1576" s="5">
        <f t="shared" si="55"/>
        <v>1.227390180878553</v>
      </c>
    </row>
    <row r="1577" spans="1:7" ht="13">
      <c r="A1577" s="4" t="s">
        <v>117</v>
      </c>
      <c r="B1577" s="1">
        <v>5.4</v>
      </c>
      <c r="C1577" s="1">
        <v>741</v>
      </c>
      <c r="D1577" s="1" t="s">
        <v>38</v>
      </c>
      <c r="E1577" s="1" t="s">
        <v>8</v>
      </c>
      <c r="F1577" s="1">
        <f t="shared" si="56"/>
        <v>540</v>
      </c>
      <c r="G1577" s="5">
        <f t="shared" si="55"/>
        <v>1.3722222222222222</v>
      </c>
    </row>
    <row r="1578" spans="1:7" ht="13">
      <c r="A1578" s="4" t="s">
        <v>117</v>
      </c>
      <c r="B1578" s="1">
        <v>6.4</v>
      </c>
      <c r="C1578" s="1">
        <v>872</v>
      </c>
      <c r="D1578" s="1" t="s">
        <v>11</v>
      </c>
      <c r="E1578" s="1" t="s">
        <v>32</v>
      </c>
      <c r="F1578" s="1">
        <f t="shared" si="56"/>
        <v>640</v>
      </c>
      <c r="G1578" s="5">
        <f t="shared" si="55"/>
        <v>1.3625</v>
      </c>
    </row>
    <row r="1579" spans="1:7" ht="13">
      <c r="A1579" s="4" t="s">
        <v>117</v>
      </c>
      <c r="B1579" s="1">
        <v>7.8</v>
      </c>
      <c r="C1579" s="1">
        <v>1002</v>
      </c>
      <c r="D1579" s="1" t="s">
        <v>11</v>
      </c>
      <c r="E1579" s="1" t="s">
        <v>17</v>
      </c>
      <c r="F1579" s="1">
        <f t="shared" si="56"/>
        <v>780</v>
      </c>
      <c r="G1579" s="5">
        <f t="shared" si="55"/>
        <v>1.2846153846153847</v>
      </c>
    </row>
    <row r="1580" spans="1:7" ht="13">
      <c r="A1580" s="4" t="s">
        <v>117</v>
      </c>
      <c r="B1580" s="1">
        <v>7.74</v>
      </c>
      <c r="C1580" s="1">
        <v>1001</v>
      </c>
      <c r="D1580" s="1" t="s">
        <v>11</v>
      </c>
      <c r="E1580" s="1" t="s">
        <v>17</v>
      </c>
      <c r="F1580" s="1">
        <f t="shared" si="56"/>
        <v>774</v>
      </c>
      <c r="G1580" s="5">
        <f t="shared" si="55"/>
        <v>1.29328165374677</v>
      </c>
    </row>
    <row r="1581" spans="1:7" ht="13">
      <c r="A1581" s="4" t="s">
        <v>117</v>
      </c>
      <c r="B1581" s="1">
        <v>8</v>
      </c>
      <c r="C1581" s="1">
        <v>741</v>
      </c>
      <c r="D1581" s="1" t="s">
        <v>11</v>
      </c>
      <c r="E1581" s="1" t="s">
        <v>22</v>
      </c>
      <c r="F1581" s="1">
        <f t="shared" si="56"/>
        <v>800</v>
      </c>
      <c r="G1581" s="5">
        <f t="shared" si="55"/>
        <v>0.92625000000000002</v>
      </c>
    </row>
    <row r="1582" spans="1:7" ht="13">
      <c r="A1582" s="4" t="s">
        <v>117</v>
      </c>
      <c r="B1582" s="1">
        <v>8</v>
      </c>
      <c r="C1582" s="1">
        <v>906</v>
      </c>
      <c r="D1582" s="1" t="s">
        <v>98</v>
      </c>
      <c r="E1582" s="1" t="s">
        <v>15</v>
      </c>
      <c r="F1582" s="1">
        <f t="shared" si="56"/>
        <v>800</v>
      </c>
      <c r="G1582" s="5">
        <f t="shared" si="55"/>
        <v>1.1325000000000001</v>
      </c>
    </row>
    <row r="1583" spans="1:7" ht="13">
      <c r="A1583" s="4" t="s">
        <v>117</v>
      </c>
      <c r="B1583" s="1">
        <v>6.96</v>
      </c>
      <c r="C1583" s="1">
        <v>824</v>
      </c>
      <c r="D1583" s="1" t="s">
        <v>33</v>
      </c>
      <c r="E1583" s="1" t="s">
        <v>12</v>
      </c>
      <c r="F1583" s="1">
        <f t="shared" si="56"/>
        <v>696</v>
      </c>
      <c r="G1583" s="5">
        <f t="shared" si="55"/>
        <v>1.1839080459770115</v>
      </c>
    </row>
    <row r="1584" spans="1:7" ht="13">
      <c r="A1584" s="4" t="s">
        <v>117</v>
      </c>
      <c r="B1584" s="1">
        <v>6.8</v>
      </c>
      <c r="C1584" s="1">
        <v>822</v>
      </c>
      <c r="D1584" s="1" t="s">
        <v>11</v>
      </c>
      <c r="E1584" s="1" t="s">
        <v>26</v>
      </c>
      <c r="F1584" s="1">
        <f t="shared" si="56"/>
        <v>680</v>
      </c>
      <c r="G1584" s="5">
        <f t="shared" si="55"/>
        <v>1.2088235294117646</v>
      </c>
    </row>
    <row r="1585" spans="1:7" ht="13">
      <c r="A1585" s="4" t="s">
        <v>117</v>
      </c>
      <c r="B1585" s="1">
        <v>6.5</v>
      </c>
      <c r="C1585" s="1">
        <v>855</v>
      </c>
      <c r="D1585" s="1" t="s">
        <v>11</v>
      </c>
      <c r="E1585" s="1" t="s">
        <v>7</v>
      </c>
      <c r="F1585" s="1">
        <f t="shared" si="56"/>
        <v>650</v>
      </c>
      <c r="G1585" s="5">
        <f t="shared" si="55"/>
        <v>1.3153846153846154</v>
      </c>
    </row>
    <row r="1586" spans="1:7" ht="13">
      <c r="A1586" s="4" t="s">
        <v>117</v>
      </c>
      <c r="B1586" s="1">
        <v>4.8600000000000003</v>
      </c>
      <c r="C1586" s="1">
        <v>596</v>
      </c>
      <c r="D1586" s="1" t="s">
        <v>38</v>
      </c>
      <c r="E1586" s="1" t="s">
        <v>15</v>
      </c>
      <c r="F1586" s="1">
        <f t="shared" si="56"/>
        <v>486.00000000000006</v>
      </c>
      <c r="G1586" s="5">
        <f t="shared" si="55"/>
        <v>1.2263374485596705</v>
      </c>
    </row>
    <row r="1587" spans="1:7" ht="13">
      <c r="A1587" s="4" t="s">
        <v>117</v>
      </c>
      <c r="B1587" s="1">
        <v>4.1500000000000004</v>
      </c>
      <c r="C1587" s="1">
        <v>567</v>
      </c>
      <c r="D1587" s="1" t="s">
        <v>38</v>
      </c>
      <c r="E1587" s="1" t="s">
        <v>8</v>
      </c>
      <c r="F1587" s="1">
        <f t="shared" si="56"/>
        <v>415.00000000000006</v>
      </c>
      <c r="G1587" s="5">
        <f t="shared" si="55"/>
        <v>1.3662650602409636</v>
      </c>
    </row>
    <row r="1588" spans="1:7" ht="13">
      <c r="A1588" s="4" t="s">
        <v>117</v>
      </c>
      <c r="B1588" s="1">
        <v>8.1</v>
      </c>
      <c r="C1588" s="1">
        <v>971</v>
      </c>
      <c r="D1588" s="1" t="s">
        <v>35</v>
      </c>
      <c r="E1588" s="1" t="s">
        <v>7</v>
      </c>
      <c r="F1588" s="1">
        <f t="shared" si="56"/>
        <v>810</v>
      </c>
      <c r="G1588" s="5">
        <f t="shared" si="55"/>
        <v>1.1987654320987655</v>
      </c>
    </row>
    <row r="1589" spans="1:7" ht="13">
      <c r="A1589" s="4" t="s">
        <v>117</v>
      </c>
      <c r="B1589" s="1">
        <v>7.4</v>
      </c>
      <c r="C1589" s="1">
        <v>984</v>
      </c>
      <c r="D1589" s="1" t="s">
        <v>33</v>
      </c>
      <c r="E1589" s="1" t="s">
        <v>23</v>
      </c>
      <c r="F1589" s="1">
        <f t="shared" si="56"/>
        <v>740</v>
      </c>
      <c r="G1589" s="5">
        <f t="shared" si="55"/>
        <v>1.3297297297297297</v>
      </c>
    </row>
    <row r="1590" spans="1:7" ht="13">
      <c r="A1590" s="4" t="s">
        <v>117</v>
      </c>
      <c r="B1590" s="1">
        <v>4.0999999999999996</v>
      </c>
      <c r="C1590" s="1">
        <v>525</v>
      </c>
      <c r="D1590" s="1" t="s">
        <v>38</v>
      </c>
      <c r="E1590" s="1" t="s">
        <v>16</v>
      </c>
      <c r="F1590" s="1">
        <f t="shared" si="56"/>
        <v>409.99999999999994</v>
      </c>
      <c r="G1590" s="5">
        <f t="shared" si="55"/>
        <v>1.280487804878049</v>
      </c>
    </row>
    <row r="1591" spans="1:7" ht="13">
      <c r="A1591" s="4" t="s">
        <v>117</v>
      </c>
      <c r="B1591" s="1">
        <v>5.8</v>
      </c>
      <c r="C1591" s="1">
        <v>603</v>
      </c>
      <c r="D1591" s="1" t="s">
        <v>11</v>
      </c>
      <c r="E1591" s="1" t="s">
        <v>16</v>
      </c>
      <c r="F1591" s="1">
        <f t="shared" si="56"/>
        <v>580</v>
      </c>
      <c r="G1591" s="5">
        <f t="shared" si="55"/>
        <v>1.039655172413793</v>
      </c>
    </row>
    <row r="1592" spans="1:7" ht="13">
      <c r="A1592" s="4" t="s">
        <v>117</v>
      </c>
      <c r="B1592" s="1">
        <v>6.9</v>
      </c>
      <c r="C1592" s="1">
        <v>774</v>
      </c>
      <c r="D1592" s="1" t="s">
        <v>11</v>
      </c>
      <c r="E1592" s="1" t="s">
        <v>68</v>
      </c>
      <c r="F1592" s="1">
        <f t="shared" si="56"/>
        <v>690</v>
      </c>
      <c r="G1592" s="5">
        <f t="shared" si="55"/>
        <v>1.1217391304347826</v>
      </c>
    </row>
    <row r="1593" spans="1:7" ht="13">
      <c r="A1593" s="4" t="s">
        <v>117</v>
      </c>
      <c r="B1593" s="1">
        <v>5.6</v>
      </c>
      <c r="C1593" s="1">
        <v>595</v>
      </c>
      <c r="D1593" s="1" t="s">
        <v>33</v>
      </c>
      <c r="E1593" s="1" t="s">
        <v>7</v>
      </c>
      <c r="F1593" s="1">
        <f t="shared" si="56"/>
        <v>560</v>
      </c>
      <c r="G1593" s="5">
        <f t="shared" si="55"/>
        <v>1.0625</v>
      </c>
    </row>
    <row r="1594" spans="1:7" ht="13">
      <c r="A1594" s="4" t="s">
        <v>117</v>
      </c>
      <c r="B1594" s="1">
        <v>7.56</v>
      </c>
      <c r="C1594" s="1">
        <v>876</v>
      </c>
      <c r="D1594" s="1" t="s">
        <v>53</v>
      </c>
      <c r="E1594" s="1" t="s">
        <v>31</v>
      </c>
      <c r="F1594" s="1">
        <f t="shared" si="56"/>
        <v>756</v>
      </c>
      <c r="G1594" s="5">
        <f t="shared" si="55"/>
        <v>1.1587301587301588</v>
      </c>
    </row>
    <row r="1595" spans="1:7" ht="13">
      <c r="A1595" s="4" t="s">
        <v>117</v>
      </c>
      <c r="B1595" s="1">
        <v>7.74</v>
      </c>
      <c r="C1595" s="1">
        <v>832</v>
      </c>
      <c r="D1595" s="1" t="s">
        <v>33</v>
      </c>
      <c r="E1595" s="1" t="s">
        <v>26</v>
      </c>
      <c r="F1595" s="1">
        <f t="shared" si="56"/>
        <v>774</v>
      </c>
      <c r="G1595" s="5">
        <f t="shared" si="55"/>
        <v>1.0749354005167959</v>
      </c>
    </row>
    <row r="1596" spans="1:7" ht="13">
      <c r="A1596" s="4" t="s">
        <v>117</v>
      </c>
      <c r="B1596" s="1">
        <v>6.4</v>
      </c>
      <c r="C1596" s="1">
        <v>785</v>
      </c>
      <c r="D1596" s="1" t="s">
        <v>11</v>
      </c>
      <c r="E1596" s="1" t="s">
        <v>26</v>
      </c>
      <c r="F1596" s="1">
        <f t="shared" si="56"/>
        <v>640</v>
      </c>
      <c r="G1596" s="5">
        <f t="shared" si="55"/>
        <v>1.2265625</v>
      </c>
    </row>
    <row r="1597" spans="1:7" ht="13">
      <c r="A1597" s="4" t="s">
        <v>117</v>
      </c>
      <c r="B1597" s="1">
        <v>6.4</v>
      </c>
      <c r="C1597" s="1">
        <v>640</v>
      </c>
      <c r="D1597" s="1" t="s">
        <v>35</v>
      </c>
      <c r="E1597" s="1" t="s">
        <v>18</v>
      </c>
      <c r="F1597" s="1">
        <f t="shared" si="56"/>
        <v>640</v>
      </c>
      <c r="G1597" s="5">
        <f t="shared" si="55"/>
        <v>1</v>
      </c>
    </row>
    <row r="1598" spans="1:7" ht="13">
      <c r="A1598" s="4" t="s">
        <v>117</v>
      </c>
      <c r="B1598" s="1">
        <v>7.8</v>
      </c>
      <c r="C1598" s="1">
        <v>840</v>
      </c>
      <c r="D1598" s="1" t="s">
        <v>11</v>
      </c>
      <c r="E1598" s="1" t="s">
        <v>17</v>
      </c>
      <c r="F1598" s="1">
        <f t="shared" si="56"/>
        <v>780</v>
      </c>
      <c r="G1598" s="5">
        <f t="shared" si="55"/>
        <v>1.0769230769230769</v>
      </c>
    </row>
    <row r="1599" spans="1:7" ht="13">
      <c r="A1599" s="4" t="s">
        <v>117</v>
      </c>
      <c r="B1599" s="1">
        <v>7.56</v>
      </c>
      <c r="C1599" s="1">
        <v>853</v>
      </c>
      <c r="D1599" s="1" t="s">
        <v>11</v>
      </c>
      <c r="E1599" s="1" t="s">
        <v>21</v>
      </c>
      <c r="F1599" s="1">
        <f t="shared" si="56"/>
        <v>756</v>
      </c>
      <c r="G1599" s="5">
        <f t="shared" si="55"/>
        <v>1.1283068783068784</v>
      </c>
    </row>
    <row r="1600" spans="1:7" ht="13">
      <c r="A1600" s="4" t="s">
        <v>117</v>
      </c>
      <c r="B1600" s="1">
        <v>7.7</v>
      </c>
      <c r="C1600" s="1">
        <v>936</v>
      </c>
      <c r="D1600" s="1" t="s">
        <v>11</v>
      </c>
      <c r="E1600" s="1" t="s">
        <v>49</v>
      </c>
      <c r="F1600" s="1">
        <f t="shared" si="56"/>
        <v>770</v>
      </c>
      <c r="G1600" s="5">
        <f t="shared" si="55"/>
        <v>1.2155844155844155</v>
      </c>
    </row>
    <row r="1601" spans="1:7" ht="13">
      <c r="A1601" s="4" t="s">
        <v>117</v>
      </c>
      <c r="B1601" s="1">
        <v>4</v>
      </c>
      <c r="C1601" s="1">
        <v>478</v>
      </c>
      <c r="D1601" s="1" t="s">
        <v>43</v>
      </c>
      <c r="E1601" s="1" t="s">
        <v>15</v>
      </c>
      <c r="F1601" s="1">
        <f t="shared" si="56"/>
        <v>400</v>
      </c>
      <c r="G1601" s="5">
        <f t="shared" si="55"/>
        <v>1.1950000000000001</v>
      </c>
    </row>
    <row r="1602" spans="1:7" ht="13">
      <c r="A1602" s="4" t="s">
        <v>117</v>
      </c>
      <c r="B1602" s="1">
        <v>5.4</v>
      </c>
      <c r="C1602" s="1">
        <v>714</v>
      </c>
      <c r="D1602" s="1" t="s">
        <v>33</v>
      </c>
      <c r="E1602" s="1" t="s">
        <v>25</v>
      </c>
      <c r="F1602" s="1">
        <f t="shared" si="56"/>
        <v>540</v>
      </c>
      <c r="G1602" s="5">
        <f t="shared" ref="G1602:G1665" si="57">C1602/F1602</f>
        <v>1.3222222222222222</v>
      </c>
    </row>
    <row r="1603" spans="1:7" ht="13">
      <c r="A1603" s="4" t="s">
        <v>117</v>
      </c>
      <c r="B1603" s="1">
        <v>6</v>
      </c>
      <c r="C1603" s="1">
        <v>666.07</v>
      </c>
      <c r="D1603" s="1" t="s">
        <v>33</v>
      </c>
      <c r="E1603" s="1" t="s">
        <v>15</v>
      </c>
      <c r="F1603" s="1">
        <f t="shared" ref="F1603:F1666" si="58">B1603*100</f>
        <v>600</v>
      </c>
      <c r="G1603" s="5">
        <f t="shared" si="57"/>
        <v>1.1101166666666666</v>
      </c>
    </row>
    <row r="1604" spans="1:7" ht="13">
      <c r="A1604" s="4" t="s">
        <v>117</v>
      </c>
      <c r="B1604" s="1">
        <v>12.04</v>
      </c>
      <c r="C1604" s="1">
        <v>1450</v>
      </c>
      <c r="D1604" s="1" t="s">
        <v>11</v>
      </c>
      <c r="E1604" s="1" t="s">
        <v>8</v>
      </c>
      <c r="F1604" s="1">
        <f t="shared" si="58"/>
        <v>1204</v>
      </c>
      <c r="G1604" s="5">
        <f t="shared" si="57"/>
        <v>1.2043189368770764</v>
      </c>
    </row>
    <row r="1605" spans="1:7" ht="13">
      <c r="A1605" s="4" t="s">
        <v>117</v>
      </c>
      <c r="B1605" s="1">
        <v>20</v>
      </c>
      <c r="C1605" s="1">
        <v>900</v>
      </c>
      <c r="D1605" s="1" t="s">
        <v>11</v>
      </c>
      <c r="E1605" s="1" t="s">
        <v>7</v>
      </c>
      <c r="F1605" s="1">
        <f t="shared" si="58"/>
        <v>2000</v>
      </c>
      <c r="G1605" s="5">
        <f t="shared" si="57"/>
        <v>0.45</v>
      </c>
    </row>
    <row r="1606" spans="1:7" ht="13">
      <c r="A1606" s="4" t="s">
        <v>117</v>
      </c>
      <c r="B1606" s="1">
        <v>9</v>
      </c>
      <c r="C1606" s="1">
        <v>1209</v>
      </c>
      <c r="D1606" s="1" t="s">
        <v>11</v>
      </c>
      <c r="E1606" s="1" t="s">
        <v>12</v>
      </c>
      <c r="F1606" s="1">
        <f t="shared" si="58"/>
        <v>900</v>
      </c>
      <c r="G1606" s="5">
        <f t="shared" si="57"/>
        <v>1.3433333333333333</v>
      </c>
    </row>
    <row r="1607" spans="1:7" ht="13">
      <c r="A1607" s="4" t="s">
        <v>117</v>
      </c>
      <c r="B1607" s="1">
        <v>6.4</v>
      </c>
      <c r="C1607" s="1">
        <v>835</v>
      </c>
      <c r="D1607" s="1" t="s">
        <v>45</v>
      </c>
      <c r="E1607" s="1" t="s">
        <v>8</v>
      </c>
      <c r="F1607" s="1">
        <f t="shared" si="58"/>
        <v>640</v>
      </c>
      <c r="G1607" s="5">
        <f t="shared" si="57"/>
        <v>1.3046875</v>
      </c>
    </row>
    <row r="1608" spans="1:7" ht="13">
      <c r="A1608" s="4" t="s">
        <v>117</v>
      </c>
      <c r="B1608" s="1">
        <v>6.24</v>
      </c>
      <c r="C1608" s="1">
        <v>980.8</v>
      </c>
      <c r="D1608" s="1" t="s">
        <v>11</v>
      </c>
      <c r="E1608" s="1" t="s">
        <v>17</v>
      </c>
      <c r="F1608" s="1">
        <f t="shared" si="58"/>
        <v>624</v>
      </c>
      <c r="G1608" s="5">
        <f t="shared" si="57"/>
        <v>1.5717948717948718</v>
      </c>
    </row>
    <row r="1609" spans="1:7" ht="13">
      <c r="A1609" s="4" t="s">
        <v>117</v>
      </c>
      <c r="B1609" s="1">
        <v>5.74</v>
      </c>
      <c r="C1609" s="1">
        <v>628</v>
      </c>
      <c r="D1609" s="1" t="s">
        <v>11</v>
      </c>
      <c r="E1609" s="1" t="s">
        <v>15</v>
      </c>
      <c r="F1609" s="1">
        <f t="shared" si="58"/>
        <v>574</v>
      </c>
      <c r="G1609" s="5">
        <f t="shared" si="57"/>
        <v>1.0940766550522647</v>
      </c>
    </row>
    <row r="1610" spans="1:7" ht="13">
      <c r="A1610" s="4" t="s">
        <v>117</v>
      </c>
      <c r="B1610" s="1">
        <v>4</v>
      </c>
      <c r="C1610" s="1">
        <v>479</v>
      </c>
      <c r="D1610" s="1" t="s">
        <v>11</v>
      </c>
      <c r="E1610" s="1" t="s">
        <v>8</v>
      </c>
      <c r="F1610" s="1">
        <f t="shared" si="58"/>
        <v>400</v>
      </c>
      <c r="G1610" s="5">
        <f t="shared" si="57"/>
        <v>1.1975</v>
      </c>
    </row>
    <row r="1611" spans="1:7" ht="13">
      <c r="A1611" s="4" t="s">
        <v>117</v>
      </c>
      <c r="B1611" s="1">
        <v>6.72</v>
      </c>
      <c r="C1611" s="1">
        <v>814</v>
      </c>
      <c r="D1611" s="1" t="s">
        <v>33</v>
      </c>
      <c r="E1611" s="1" t="s">
        <v>27</v>
      </c>
      <c r="F1611" s="1">
        <f t="shared" si="58"/>
        <v>672</v>
      </c>
      <c r="G1611" s="5">
        <f t="shared" si="57"/>
        <v>1.2113095238095237</v>
      </c>
    </row>
    <row r="1612" spans="1:7" ht="13">
      <c r="A1612" s="4" t="s">
        <v>117</v>
      </c>
      <c r="B1612" s="1">
        <v>5.39</v>
      </c>
      <c r="C1612" s="1">
        <v>843</v>
      </c>
      <c r="D1612" s="1" t="s">
        <v>11</v>
      </c>
      <c r="E1612" s="1" t="s">
        <v>26</v>
      </c>
      <c r="F1612" s="1">
        <f t="shared" si="58"/>
        <v>539</v>
      </c>
      <c r="G1612" s="5">
        <f t="shared" si="57"/>
        <v>1.5640074211502784</v>
      </c>
    </row>
    <row r="1613" spans="1:7" ht="13">
      <c r="A1613" s="4" t="s">
        <v>117</v>
      </c>
      <c r="B1613" s="1">
        <v>7.74</v>
      </c>
      <c r="C1613" s="1">
        <v>958</v>
      </c>
      <c r="D1613" s="1" t="s">
        <v>33</v>
      </c>
      <c r="E1613" s="1" t="s">
        <v>16</v>
      </c>
      <c r="F1613" s="1">
        <f t="shared" si="58"/>
        <v>774</v>
      </c>
      <c r="G1613" s="5">
        <f t="shared" si="57"/>
        <v>1.2377260981912144</v>
      </c>
    </row>
    <row r="1614" spans="1:7" ht="13">
      <c r="A1614" s="4" t="s">
        <v>117</v>
      </c>
      <c r="B1614" s="1">
        <v>8.6</v>
      </c>
      <c r="C1614" s="1">
        <v>966</v>
      </c>
      <c r="D1614" s="1" t="s">
        <v>40</v>
      </c>
      <c r="E1614" s="1" t="s">
        <v>68</v>
      </c>
      <c r="F1614" s="1">
        <f t="shared" si="58"/>
        <v>860</v>
      </c>
      <c r="G1614" s="5">
        <f t="shared" si="57"/>
        <v>1.1232558139534883</v>
      </c>
    </row>
    <row r="1615" spans="1:7" ht="13">
      <c r="A1615" s="4" t="s">
        <v>117</v>
      </c>
      <c r="B1615" s="1">
        <v>6</v>
      </c>
      <c r="C1615" s="1">
        <v>754</v>
      </c>
      <c r="D1615" s="1" t="s">
        <v>11</v>
      </c>
      <c r="E1615" s="1" t="s">
        <v>12</v>
      </c>
      <c r="F1615" s="1">
        <f t="shared" si="58"/>
        <v>600</v>
      </c>
      <c r="G1615" s="5">
        <f t="shared" si="57"/>
        <v>1.2566666666666666</v>
      </c>
    </row>
    <row r="1616" spans="1:7" ht="13">
      <c r="A1616" s="4" t="s">
        <v>117</v>
      </c>
      <c r="B1616" s="1">
        <v>7.74</v>
      </c>
      <c r="C1616" s="1">
        <v>884</v>
      </c>
      <c r="D1616" s="1" t="s">
        <v>37</v>
      </c>
      <c r="E1616" s="1" t="s">
        <v>16</v>
      </c>
      <c r="F1616" s="1">
        <f t="shared" si="58"/>
        <v>774</v>
      </c>
      <c r="G1616" s="5">
        <f t="shared" si="57"/>
        <v>1.1421188630490957</v>
      </c>
    </row>
    <row r="1617" spans="1:7" ht="13">
      <c r="A1617" s="4" t="s">
        <v>117</v>
      </c>
      <c r="B1617" s="1">
        <v>8.8000000000000007</v>
      </c>
      <c r="C1617" s="1">
        <v>874</v>
      </c>
      <c r="D1617" s="1" t="s">
        <v>47</v>
      </c>
      <c r="E1617" s="1" t="s">
        <v>30</v>
      </c>
      <c r="F1617" s="1">
        <f t="shared" si="58"/>
        <v>880.00000000000011</v>
      </c>
      <c r="G1617" s="5">
        <f t="shared" si="57"/>
        <v>0.99318181818181805</v>
      </c>
    </row>
    <row r="1618" spans="1:7" ht="13">
      <c r="A1618" s="4" t="s">
        <v>117</v>
      </c>
      <c r="B1618" s="1">
        <v>6.5</v>
      </c>
      <c r="C1618" s="1">
        <v>747</v>
      </c>
      <c r="D1618" s="1" t="s">
        <v>39</v>
      </c>
      <c r="E1618" s="1" t="s">
        <v>30</v>
      </c>
      <c r="F1618" s="1">
        <f t="shared" si="58"/>
        <v>650</v>
      </c>
      <c r="G1618" s="5">
        <f t="shared" si="57"/>
        <v>1.1492307692307693</v>
      </c>
    </row>
    <row r="1619" spans="1:7" ht="13">
      <c r="A1619" s="4" t="s">
        <v>117</v>
      </c>
      <c r="B1619" s="1">
        <v>6.04</v>
      </c>
      <c r="C1619" s="1">
        <v>862</v>
      </c>
      <c r="D1619" s="1" t="s">
        <v>99</v>
      </c>
      <c r="E1619" s="1" t="s">
        <v>8</v>
      </c>
      <c r="F1619" s="1">
        <f t="shared" si="58"/>
        <v>604</v>
      </c>
      <c r="G1619" s="5">
        <f t="shared" si="57"/>
        <v>1.4271523178807948</v>
      </c>
    </row>
    <row r="1620" spans="1:7" ht="13">
      <c r="A1620" s="4" t="s">
        <v>117</v>
      </c>
      <c r="B1620" s="1">
        <v>4.3</v>
      </c>
      <c r="C1620" s="1">
        <v>538</v>
      </c>
      <c r="D1620" s="1" t="s">
        <v>39</v>
      </c>
      <c r="E1620" s="1" t="s">
        <v>16</v>
      </c>
      <c r="F1620" s="1">
        <f t="shared" si="58"/>
        <v>430</v>
      </c>
      <c r="G1620" s="5">
        <f t="shared" si="57"/>
        <v>1.2511627906976743</v>
      </c>
    </row>
    <row r="1621" spans="1:7" ht="13">
      <c r="A1621" s="4" t="s">
        <v>117</v>
      </c>
      <c r="B1621" s="1">
        <v>5</v>
      </c>
      <c r="C1621" s="1">
        <v>656</v>
      </c>
      <c r="D1621" s="1" t="s">
        <v>34</v>
      </c>
      <c r="E1621" s="1" t="s">
        <v>30</v>
      </c>
      <c r="F1621" s="1">
        <f t="shared" si="58"/>
        <v>500</v>
      </c>
      <c r="G1621" s="5">
        <f t="shared" si="57"/>
        <v>1.3120000000000001</v>
      </c>
    </row>
    <row r="1622" spans="1:7" ht="13">
      <c r="A1622" s="4" t="s">
        <v>117</v>
      </c>
      <c r="B1622" s="1">
        <v>10.3</v>
      </c>
      <c r="C1622" s="1">
        <v>1230</v>
      </c>
      <c r="D1622" s="1" t="s">
        <v>40</v>
      </c>
      <c r="E1622" s="1" t="s">
        <v>17</v>
      </c>
      <c r="F1622" s="1">
        <f t="shared" si="58"/>
        <v>1030</v>
      </c>
      <c r="G1622" s="5">
        <f t="shared" si="57"/>
        <v>1.1941747572815533</v>
      </c>
    </row>
    <row r="1623" spans="1:7" ht="13">
      <c r="A1623" s="4" t="s">
        <v>117</v>
      </c>
      <c r="B1623" s="1">
        <v>6.4</v>
      </c>
      <c r="C1623" s="1">
        <v>784.7</v>
      </c>
      <c r="D1623" s="1" t="s">
        <v>33</v>
      </c>
      <c r="E1623" s="1" t="s">
        <v>15</v>
      </c>
      <c r="F1623" s="1">
        <f t="shared" si="58"/>
        <v>640</v>
      </c>
      <c r="G1623" s="5">
        <f t="shared" si="57"/>
        <v>1.22609375</v>
      </c>
    </row>
    <row r="1624" spans="1:7" ht="13">
      <c r="A1624" s="4" t="s">
        <v>117</v>
      </c>
      <c r="B1624" s="1">
        <v>7.8</v>
      </c>
      <c r="C1624" s="1">
        <v>1008</v>
      </c>
      <c r="D1624" s="1" t="s">
        <v>47</v>
      </c>
      <c r="E1624" s="1" t="s">
        <v>8</v>
      </c>
      <c r="F1624" s="1">
        <f t="shared" si="58"/>
        <v>780</v>
      </c>
      <c r="G1624" s="5">
        <f t="shared" si="57"/>
        <v>1.2923076923076924</v>
      </c>
    </row>
    <row r="1625" spans="1:7" ht="13">
      <c r="A1625" s="4" t="s">
        <v>117</v>
      </c>
      <c r="B1625" s="1">
        <v>5.12</v>
      </c>
      <c r="C1625" s="1">
        <v>608</v>
      </c>
      <c r="D1625" s="1" t="s">
        <v>39</v>
      </c>
      <c r="E1625" s="1" t="s">
        <v>15</v>
      </c>
      <c r="F1625" s="1">
        <f t="shared" si="58"/>
        <v>512</v>
      </c>
      <c r="G1625" s="5">
        <f t="shared" si="57"/>
        <v>1.1875</v>
      </c>
    </row>
    <row r="1626" spans="1:7" ht="13">
      <c r="A1626" s="4" t="s">
        <v>117</v>
      </c>
      <c r="B1626" s="1">
        <v>7.74</v>
      </c>
      <c r="C1626" s="1">
        <v>987</v>
      </c>
      <c r="D1626" s="1" t="s">
        <v>11</v>
      </c>
      <c r="E1626" s="1" t="s">
        <v>29</v>
      </c>
      <c r="F1626" s="1">
        <f t="shared" si="58"/>
        <v>774</v>
      </c>
      <c r="G1626" s="5">
        <f t="shared" si="57"/>
        <v>1.2751937984496124</v>
      </c>
    </row>
    <row r="1627" spans="1:7" ht="13">
      <c r="A1627" s="4" t="s">
        <v>117</v>
      </c>
      <c r="B1627" s="1">
        <v>6.96</v>
      </c>
      <c r="C1627" s="1">
        <v>842</v>
      </c>
      <c r="D1627" s="1" t="s">
        <v>45</v>
      </c>
      <c r="E1627" s="1" t="s">
        <v>24</v>
      </c>
      <c r="F1627" s="1">
        <f t="shared" si="58"/>
        <v>696</v>
      </c>
      <c r="G1627" s="5">
        <f t="shared" si="57"/>
        <v>1.2097701149425288</v>
      </c>
    </row>
    <row r="1628" spans="1:7" ht="13">
      <c r="A1628" s="4" t="s">
        <v>117</v>
      </c>
      <c r="B1628" s="1">
        <v>7.56</v>
      </c>
      <c r="C1628" s="1">
        <v>941</v>
      </c>
      <c r="D1628" s="1" t="s">
        <v>44</v>
      </c>
      <c r="E1628" s="1" t="s">
        <v>10</v>
      </c>
      <c r="F1628" s="1">
        <f t="shared" si="58"/>
        <v>756</v>
      </c>
      <c r="G1628" s="5">
        <f t="shared" si="57"/>
        <v>1.2447089947089947</v>
      </c>
    </row>
    <row r="1629" spans="1:7" ht="13">
      <c r="A1629" s="4" t="s">
        <v>117</v>
      </c>
      <c r="B1629" s="1">
        <v>8.17</v>
      </c>
      <c r="C1629" s="1">
        <v>963</v>
      </c>
      <c r="D1629" s="1" t="s">
        <v>44</v>
      </c>
      <c r="E1629" s="1" t="s">
        <v>26</v>
      </c>
      <c r="F1629" s="1">
        <f t="shared" si="58"/>
        <v>817</v>
      </c>
      <c r="G1629" s="5">
        <f t="shared" si="57"/>
        <v>1.1787025703794369</v>
      </c>
    </row>
    <row r="1630" spans="1:7" ht="13">
      <c r="A1630" s="4" t="s">
        <v>117</v>
      </c>
      <c r="B1630" s="1">
        <v>5.28</v>
      </c>
      <c r="C1630" s="1">
        <v>424</v>
      </c>
      <c r="D1630" s="1" t="s">
        <v>39</v>
      </c>
      <c r="E1630" s="1" t="s">
        <v>62</v>
      </c>
      <c r="F1630" s="1">
        <f t="shared" si="58"/>
        <v>528</v>
      </c>
      <c r="G1630" s="5">
        <f t="shared" si="57"/>
        <v>0.80303030303030298</v>
      </c>
    </row>
    <row r="1631" spans="1:7" ht="13">
      <c r="A1631" s="4" t="s">
        <v>117</v>
      </c>
      <c r="B1631" s="1">
        <v>6.02</v>
      </c>
      <c r="C1631" s="1">
        <v>782</v>
      </c>
      <c r="D1631" s="1" t="s">
        <v>43</v>
      </c>
      <c r="E1631" s="1" t="s">
        <v>8</v>
      </c>
      <c r="F1631" s="1">
        <f t="shared" si="58"/>
        <v>602</v>
      </c>
      <c r="G1631" s="5">
        <f t="shared" si="57"/>
        <v>1.2990033222591362</v>
      </c>
    </row>
    <row r="1632" spans="1:7" ht="13">
      <c r="A1632" s="4" t="s">
        <v>117</v>
      </c>
      <c r="B1632" s="1">
        <v>8.8000000000000007</v>
      </c>
      <c r="C1632" s="1">
        <v>1031</v>
      </c>
      <c r="D1632" s="1" t="s">
        <v>11</v>
      </c>
      <c r="E1632" s="1" t="s">
        <v>49</v>
      </c>
      <c r="F1632" s="1">
        <f t="shared" si="58"/>
        <v>880.00000000000011</v>
      </c>
      <c r="G1632" s="5">
        <f t="shared" si="57"/>
        <v>1.1715909090909089</v>
      </c>
    </row>
    <row r="1633" spans="1:7" ht="13">
      <c r="A1633" s="4" t="s">
        <v>117</v>
      </c>
      <c r="B1633" s="1">
        <v>7.8</v>
      </c>
      <c r="C1633" s="1">
        <v>987</v>
      </c>
      <c r="D1633" s="1" t="s">
        <v>11</v>
      </c>
      <c r="E1633" s="1" t="s">
        <v>9</v>
      </c>
      <c r="F1633" s="1">
        <f t="shared" si="58"/>
        <v>780</v>
      </c>
      <c r="G1633" s="5">
        <f t="shared" si="57"/>
        <v>1.2653846153846153</v>
      </c>
    </row>
    <row r="1634" spans="1:7" ht="13">
      <c r="A1634" s="4" t="s">
        <v>117</v>
      </c>
      <c r="B1634" s="1">
        <v>6.45</v>
      </c>
      <c r="C1634" s="1">
        <v>769</v>
      </c>
      <c r="D1634" s="1" t="s">
        <v>11</v>
      </c>
      <c r="E1634" s="1" t="s">
        <v>30</v>
      </c>
      <c r="F1634" s="1">
        <f t="shared" si="58"/>
        <v>645</v>
      </c>
      <c r="G1634" s="5">
        <f t="shared" si="57"/>
        <v>1.1922480620155038</v>
      </c>
    </row>
    <row r="1635" spans="1:7" ht="13">
      <c r="A1635" s="4" t="s">
        <v>117</v>
      </c>
      <c r="B1635" s="1">
        <v>6.88</v>
      </c>
      <c r="C1635" s="1">
        <v>892</v>
      </c>
      <c r="D1635" s="1" t="s">
        <v>33</v>
      </c>
      <c r="E1635" s="1" t="s">
        <v>20</v>
      </c>
      <c r="F1635" s="1">
        <f t="shared" si="58"/>
        <v>688</v>
      </c>
      <c r="G1635" s="5">
        <f t="shared" si="57"/>
        <v>1.2965116279069768</v>
      </c>
    </row>
    <row r="1636" spans="1:7" ht="13">
      <c r="A1636" s="4" t="s">
        <v>117</v>
      </c>
      <c r="B1636" s="1">
        <v>8.6999999999999993</v>
      </c>
      <c r="C1636" s="1">
        <v>1043</v>
      </c>
      <c r="D1636" s="1" t="s">
        <v>11</v>
      </c>
      <c r="E1636" s="1" t="s">
        <v>20</v>
      </c>
      <c r="F1636" s="1">
        <f t="shared" si="58"/>
        <v>869.99999999999989</v>
      </c>
      <c r="G1636" s="5">
        <f t="shared" si="57"/>
        <v>1.1988505747126439</v>
      </c>
    </row>
    <row r="1637" spans="1:7" ht="13">
      <c r="A1637" s="4" t="s">
        <v>117</v>
      </c>
      <c r="B1637" s="1">
        <v>7.4</v>
      </c>
      <c r="C1637" s="1">
        <v>908.42</v>
      </c>
      <c r="D1637" s="1" t="s">
        <v>91</v>
      </c>
      <c r="E1637" s="1" t="s">
        <v>24</v>
      </c>
      <c r="F1637" s="1">
        <f t="shared" si="58"/>
        <v>740</v>
      </c>
      <c r="G1637" s="5">
        <f t="shared" si="57"/>
        <v>1.2275945945945945</v>
      </c>
    </row>
    <row r="1638" spans="1:7" ht="13">
      <c r="A1638" s="4" t="s">
        <v>117</v>
      </c>
      <c r="B1638" s="1">
        <v>6.7</v>
      </c>
      <c r="C1638" s="1">
        <v>793</v>
      </c>
      <c r="D1638" s="1" t="s">
        <v>33</v>
      </c>
      <c r="E1638" s="1" t="s">
        <v>21</v>
      </c>
      <c r="F1638" s="1">
        <f t="shared" si="58"/>
        <v>670</v>
      </c>
      <c r="G1638" s="5">
        <f t="shared" si="57"/>
        <v>1.1835820895522389</v>
      </c>
    </row>
    <row r="1639" spans="1:7" ht="13">
      <c r="A1639" s="4" t="s">
        <v>117</v>
      </c>
      <c r="B1639" s="1">
        <v>7.7</v>
      </c>
      <c r="C1639" s="1">
        <v>1058</v>
      </c>
      <c r="D1639" s="1" t="s">
        <v>34</v>
      </c>
      <c r="E1639" s="1" t="s">
        <v>10</v>
      </c>
      <c r="F1639" s="1">
        <f t="shared" si="58"/>
        <v>770</v>
      </c>
      <c r="G1639" s="5">
        <f t="shared" si="57"/>
        <v>1.3740259740259739</v>
      </c>
    </row>
    <row r="1640" spans="1:7" ht="13">
      <c r="A1640" s="4" t="s">
        <v>117</v>
      </c>
      <c r="B1640" s="1">
        <v>7.74</v>
      </c>
      <c r="C1640" s="1">
        <v>970</v>
      </c>
      <c r="D1640" s="1" t="s">
        <v>11</v>
      </c>
      <c r="E1640" s="1" t="s">
        <v>9</v>
      </c>
      <c r="F1640" s="1">
        <f t="shared" si="58"/>
        <v>774</v>
      </c>
      <c r="G1640" s="5">
        <f t="shared" si="57"/>
        <v>1.2532299741602067</v>
      </c>
    </row>
    <row r="1641" spans="1:7" ht="13">
      <c r="A1641" s="4" t="s">
        <v>117</v>
      </c>
      <c r="B1641" s="1">
        <v>5.81</v>
      </c>
      <c r="C1641" s="1">
        <v>795</v>
      </c>
      <c r="D1641" s="1" t="s">
        <v>38</v>
      </c>
      <c r="E1641" s="1" t="s">
        <v>8</v>
      </c>
      <c r="F1641" s="1">
        <f t="shared" si="58"/>
        <v>581</v>
      </c>
      <c r="G1641" s="5">
        <f t="shared" si="57"/>
        <v>1.3683304647160068</v>
      </c>
    </row>
    <row r="1642" spans="1:7" ht="13">
      <c r="A1642" s="4" t="s">
        <v>117</v>
      </c>
      <c r="B1642" s="1">
        <v>7.5</v>
      </c>
      <c r="C1642" s="1">
        <v>936</v>
      </c>
      <c r="D1642" s="1" t="s">
        <v>11</v>
      </c>
      <c r="E1642" s="1" t="s">
        <v>15</v>
      </c>
      <c r="F1642" s="1">
        <f t="shared" si="58"/>
        <v>750</v>
      </c>
      <c r="G1642" s="5">
        <f t="shared" si="57"/>
        <v>1.248</v>
      </c>
    </row>
    <row r="1643" spans="1:7" ht="13">
      <c r="A1643" s="4" t="s">
        <v>117</v>
      </c>
      <c r="B1643" s="1">
        <v>8.75</v>
      </c>
      <c r="C1643" s="1">
        <v>1087</v>
      </c>
      <c r="D1643" s="1" t="s">
        <v>38</v>
      </c>
      <c r="E1643" s="1" t="s">
        <v>31</v>
      </c>
      <c r="F1643" s="1">
        <f t="shared" si="58"/>
        <v>875</v>
      </c>
      <c r="G1643" s="5">
        <f t="shared" si="57"/>
        <v>1.2422857142857142</v>
      </c>
    </row>
    <row r="1644" spans="1:7" ht="13">
      <c r="A1644" s="4" t="s">
        <v>117</v>
      </c>
      <c r="B1644" s="1">
        <v>6</v>
      </c>
      <c r="C1644" s="1">
        <v>695</v>
      </c>
      <c r="D1644" s="1" t="s">
        <v>11</v>
      </c>
      <c r="E1644" s="1" t="s">
        <v>14</v>
      </c>
      <c r="F1644" s="1">
        <f t="shared" si="58"/>
        <v>600</v>
      </c>
      <c r="G1644" s="5">
        <f t="shared" si="57"/>
        <v>1.1583333333333334</v>
      </c>
    </row>
    <row r="1645" spans="1:7" ht="13">
      <c r="A1645" s="4" t="s">
        <v>117</v>
      </c>
      <c r="B1645" s="1">
        <v>5.2</v>
      </c>
      <c r="C1645" s="1">
        <v>600</v>
      </c>
      <c r="D1645" s="1" t="s">
        <v>60</v>
      </c>
      <c r="E1645" s="1" t="s">
        <v>24</v>
      </c>
      <c r="F1645" s="1">
        <f t="shared" si="58"/>
        <v>520</v>
      </c>
      <c r="G1645" s="5">
        <f t="shared" si="57"/>
        <v>1.1538461538461537</v>
      </c>
    </row>
    <row r="1646" spans="1:7" ht="13">
      <c r="A1646" s="4" t="s">
        <v>117</v>
      </c>
      <c r="B1646" s="1">
        <v>5.6</v>
      </c>
      <c r="C1646" s="1">
        <v>700</v>
      </c>
      <c r="D1646" s="1" t="s">
        <v>54</v>
      </c>
      <c r="E1646" s="1" t="s">
        <v>22</v>
      </c>
      <c r="F1646" s="1">
        <f t="shared" si="58"/>
        <v>560</v>
      </c>
      <c r="G1646" s="5">
        <f t="shared" si="57"/>
        <v>1.25</v>
      </c>
    </row>
    <row r="1647" spans="1:7" ht="13">
      <c r="A1647" s="4" t="s">
        <v>117</v>
      </c>
      <c r="B1647" s="1">
        <v>7.29</v>
      </c>
      <c r="C1647" s="1">
        <v>795</v>
      </c>
      <c r="D1647" s="1" t="s">
        <v>11</v>
      </c>
      <c r="E1647" s="1" t="s">
        <v>18</v>
      </c>
      <c r="F1647" s="1">
        <f t="shared" si="58"/>
        <v>729</v>
      </c>
      <c r="G1647" s="5">
        <f t="shared" si="57"/>
        <v>1.0905349794238683</v>
      </c>
    </row>
    <row r="1648" spans="1:7" ht="13">
      <c r="A1648" s="4" t="s">
        <v>117</v>
      </c>
      <c r="B1648" s="1">
        <v>7.9</v>
      </c>
      <c r="C1648" s="1">
        <v>938</v>
      </c>
      <c r="D1648" s="1" t="s">
        <v>33</v>
      </c>
      <c r="E1648" s="1" t="s">
        <v>16</v>
      </c>
      <c r="F1648" s="1">
        <f t="shared" si="58"/>
        <v>790</v>
      </c>
      <c r="G1648" s="5">
        <f t="shared" si="57"/>
        <v>1.1873417721518988</v>
      </c>
    </row>
    <row r="1649" spans="1:7" ht="13">
      <c r="A1649" s="4" t="s">
        <v>117</v>
      </c>
      <c r="B1649" s="1">
        <v>9.57</v>
      </c>
      <c r="C1649" s="1">
        <v>1020</v>
      </c>
      <c r="D1649" s="1" t="s">
        <v>37</v>
      </c>
      <c r="E1649" s="1" t="s">
        <v>7</v>
      </c>
      <c r="F1649" s="1">
        <f t="shared" si="58"/>
        <v>957</v>
      </c>
      <c r="G1649" s="5">
        <f t="shared" si="57"/>
        <v>1.0658307210031348</v>
      </c>
    </row>
    <row r="1650" spans="1:7" ht="13">
      <c r="A1650" s="4" t="s">
        <v>117</v>
      </c>
      <c r="B1650" s="1">
        <v>5</v>
      </c>
      <c r="C1650" s="1">
        <v>850</v>
      </c>
      <c r="D1650" s="1" t="s">
        <v>11</v>
      </c>
      <c r="E1650" s="1" t="s">
        <v>28</v>
      </c>
      <c r="F1650" s="1">
        <f t="shared" si="58"/>
        <v>500</v>
      </c>
      <c r="G1650" s="5">
        <f t="shared" si="57"/>
        <v>1.7</v>
      </c>
    </row>
    <row r="1651" spans="1:7" ht="13">
      <c r="A1651" s="4" t="s">
        <v>117</v>
      </c>
      <c r="B1651" s="1">
        <v>4</v>
      </c>
      <c r="C1651" s="1">
        <v>537</v>
      </c>
      <c r="D1651" s="1" t="s">
        <v>11</v>
      </c>
      <c r="E1651" s="1" t="s">
        <v>10</v>
      </c>
      <c r="F1651" s="1">
        <f t="shared" si="58"/>
        <v>400</v>
      </c>
      <c r="G1651" s="5">
        <f t="shared" si="57"/>
        <v>1.3425</v>
      </c>
    </row>
    <row r="1652" spans="1:7" ht="13">
      <c r="A1652" s="4" t="s">
        <v>117</v>
      </c>
      <c r="B1652" s="1">
        <v>6.88</v>
      </c>
      <c r="C1652" s="1">
        <v>898</v>
      </c>
      <c r="D1652" s="1" t="s">
        <v>43</v>
      </c>
      <c r="E1652" s="1" t="s">
        <v>16</v>
      </c>
      <c r="F1652" s="1">
        <f t="shared" si="58"/>
        <v>688</v>
      </c>
      <c r="G1652" s="5">
        <f t="shared" si="57"/>
        <v>1.305232558139535</v>
      </c>
    </row>
    <row r="1653" spans="1:7" ht="13">
      <c r="A1653" s="4" t="s">
        <v>117</v>
      </c>
      <c r="B1653" s="1">
        <v>4.0999999999999996</v>
      </c>
      <c r="C1653" s="1">
        <v>617</v>
      </c>
      <c r="D1653" s="1" t="s">
        <v>35</v>
      </c>
      <c r="E1653" s="1" t="s">
        <v>32</v>
      </c>
      <c r="F1653" s="1">
        <f t="shared" si="58"/>
        <v>409.99999999999994</v>
      </c>
      <c r="G1653" s="5">
        <f t="shared" si="57"/>
        <v>1.504878048780488</v>
      </c>
    </row>
    <row r="1654" spans="1:7" ht="13">
      <c r="A1654" s="4" t="s">
        <v>117</v>
      </c>
      <c r="B1654" s="1">
        <v>9</v>
      </c>
      <c r="C1654" s="1">
        <v>1050</v>
      </c>
      <c r="D1654" s="1" t="s">
        <v>39</v>
      </c>
      <c r="E1654" s="1" t="s">
        <v>49</v>
      </c>
      <c r="F1654" s="1">
        <f t="shared" si="58"/>
        <v>900</v>
      </c>
      <c r="G1654" s="5">
        <f t="shared" si="57"/>
        <v>1.1666666666666667</v>
      </c>
    </row>
    <row r="1655" spans="1:7" ht="13">
      <c r="A1655" s="4" t="s">
        <v>117</v>
      </c>
      <c r="B1655" s="1">
        <v>4.5</v>
      </c>
      <c r="C1655" s="1">
        <v>626</v>
      </c>
      <c r="D1655" s="1" t="s">
        <v>38</v>
      </c>
      <c r="E1655" s="1" t="s">
        <v>9</v>
      </c>
      <c r="F1655" s="1">
        <f t="shared" si="58"/>
        <v>450</v>
      </c>
      <c r="G1655" s="5">
        <f t="shared" si="57"/>
        <v>1.3911111111111112</v>
      </c>
    </row>
    <row r="1656" spans="1:7" ht="13">
      <c r="A1656" s="4" t="s">
        <v>117</v>
      </c>
      <c r="B1656" s="1">
        <v>4.2</v>
      </c>
      <c r="C1656" s="1">
        <v>512</v>
      </c>
      <c r="D1656" s="1" t="s">
        <v>38</v>
      </c>
      <c r="E1656" s="1" t="s">
        <v>15</v>
      </c>
      <c r="F1656" s="1">
        <f t="shared" si="58"/>
        <v>420</v>
      </c>
      <c r="G1656" s="5">
        <f t="shared" si="57"/>
        <v>1.2190476190476192</v>
      </c>
    </row>
    <row r="1657" spans="1:7" ht="13">
      <c r="A1657" s="4" t="s">
        <v>117</v>
      </c>
      <c r="B1657" s="1">
        <v>7</v>
      </c>
      <c r="C1657" s="1">
        <v>810</v>
      </c>
      <c r="D1657" s="1" t="s">
        <v>33</v>
      </c>
      <c r="E1657" s="1" t="s">
        <v>25</v>
      </c>
      <c r="F1657" s="1">
        <f t="shared" si="58"/>
        <v>700</v>
      </c>
      <c r="G1657" s="5">
        <f t="shared" si="57"/>
        <v>1.1571428571428573</v>
      </c>
    </row>
    <row r="1658" spans="1:7" ht="13">
      <c r="A1658" s="4" t="s">
        <v>117</v>
      </c>
      <c r="B1658" s="1">
        <v>5.18</v>
      </c>
      <c r="C1658" s="1">
        <v>672</v>
      </c>
      <c r="D1658" s="1" t="s">
        <v>11</v>
      </c>
      <c r="E1658" s="1" t="s">
        <v>16</v>
      </c>
      <c r="F1658" s="1">
        <f t="shared" si="58"/>
        <v>518</v>
      </c>
      <c r="G1658" s="5">
        <f t="shared" si="57"/>
        <v>1.2972972972972974</v>
      </c>
    </row>
    <row r="1659" spans="1:7" ht="13">
      <c r="A1659" s="4" t="s">
        <v>117</v>
      </c>
      <c r="B1659" s="1">
        <v>6.25</v>
      </c>
      <c r="C1659" s="1">
        <v>482</v>
      </c>
      <c r="D1659" s="1" t="s">
        <v>11</v>
      </c>
      <c r="E1659" s="1" t="s">
        <v>32</v>
      </c>
      <c r="F1659" s="1">
        <f t="shared" si="58"/>
        <v>625</v>
      </c>
      <c r="G1659" s="5">
        <f t="shared" si="57"/>
        <v>0.7712</v>
      </c>
    </row>
    <row r="1660" spans="1:7" ht="13">
      <c r="A1660" s="4" t="s">
        <v>117</v>
      </c>
      <c r="B1660" s="1">
        <v>7.56</v>
      </c>
      <c r="C1660" s="1">
        <v>808</v>
      </c>
      <c r="D1660" s="1" t="s">
        <v>33</v>
      </c>
      <c r="E1660" s="1" t="s">
        <v>15</v>
      </c>
      <c r="F1660" s="1">
        <f t="shared" si="58"/>
        <v>756</v>
      </c>
      <c r="G1660" s="5">
        <f t="shared" si="57"/>
        <v>1.0687830687830688</v>
      </c>
    </row>
    <row r="1661" spans="1:7" ht="13">
      <c r="A1661" s="4" t="s">
        <v>117</v>
      </c>
      <c r="B1661" s="1">
        <v>9.4</v>
      </c>
      <c r="C1661" s="1">
        <v>499</v>
      </c>
      <c r="D1661" s="1" t="s">
        <v>33</v>
      </c>
      <c r="E1661" s="1" t="s">
        <v>8</v>
      </c>
      <c r="F1661" s="1">
        <f t="shared" si="58"/>
        <v>940</v>
      </c>
      <c r="G1661" s="5">
        <f t="shared" si="57"/>
        <v>0.5308510638297872</v>
      </c>
    </row>
    <row r="1662" spans="1:7" ht="13">
      <c r="A1662" s="4" t="s">
        <v>117</v>
      </c>
      <c r="B1662" s="1">
        <v>6.5</v>
      </c>
      <c r="C1662" s="1">
        <v>807</v>
      </c>
      <c r="D1662" s="1" t="s">
        <v>11</v>
      </c>
      <c r="E1662" s="1" t="s">
        <v>17</v>
      </c>
      <c r="F1662" s="1">
        <f t="shared" si="58"/>
        <v>650</v>
      </c>
      <c r="G1662" s="5">
        <f t="shared" si="57"/>
        <v>1.2415384615384615</v>
      </c>
    </row>
    <row r="1663" spans="1:7" ht="13">
      <c r="A1663" s="4" t="s">
        <v>117</v>
      </c>
      <c r="B1663" s="1">
        <v>7.74</v>
      </c>
      <c r="C1663" s="1">
        <v>996</v>
      </c>
      <c r="D1663" s="1" t="s">
        <v>33</v>
      </c>
      <c r="E1663" s="1" t="s">
        <v>9</v>
      </c>
      <c r="F1663" s="1">
        <f t="shared" si="58"/>
        <v>774</v>
      </c>
      <c r="G1663" s="5">
        <f t="shared" si="57"/>
        <v>1.2868217054263567</v>
      </c>
    </row>
    <row r="1664" spans="1:7" ht="13">
      <c r="A1664" s="4" t="s">
        <v>117</v>
      </c>
      <c r="B1664" s="1">
        <v>5.88</v>
      </c>
      <c r="C1664" s="1">
        <v>703</v>
      </c>
      <c r="D1664" s="1" t="s">
        <v>11</v>
      </c>
      <c r="E1664" s="1" t="s">
        <v>15</v>
      </c>
      <c r="F1664" s="1">
        <f t="shared" si="58"/>
        <v>588</v>
      </c>
      <c r="G1664" s="5">
        <f t="shared" si="57"/>
        <v>1.1955782312925169</v>
      </c>
    </row>
    <row r="1665" spans="1:7" ht="13">
      <c r="A1665" s="4" t="s">
        <v>117</v>
      </c>
      <c r="B1665" s="1">
        <v>5.12</v>
      </c>
      <c r="C1665" s="1">
        <v>617</v>
      </c>
      <c r="D1665" s="1" t="s">
        <v>11</v>
      </c>
      <c r="E1665" s="1" t="s">
        <v>16</v>
      </c>
      <c r="F1665" s="1">
        <f t="shared" si="58"/>
        <v>512</v>
      </c>
      <c r="G1665" s="5">
        <f t="shared" si="57"/>
        <v>1.205078125</v>
      </c>
    </row>
    <row r="1666" spans="1:7" ht="13">
      <c r="A1666" s="4" t="s">
        <v>117</v>
      </c>
      <c r="B1666" s="1">
        <v>7.56</v>
      </c>
      <c r="C1666" s="1">
        <v>912</v>
      </c>
      <c r="D1666" s="1" t="s">
        <v>11</v>
      </c>
      <c r="E1666" s="1" t="s">
        <v>25</v>
      </c>
      <c r="F1666" s="1">
        <f t="shared" si="58"/>
        <v>756</v>
      </c>
      <c r="G1666" s="5">
        <f t="shared" ref="G1666:G1729" si="59">C1666/F1666</f>
        <v>1.2063492063492063</v>
      </c>
    </row>
    <row r="1667" spans="1:7" ht="13">
      <c r="A1667" s="4" t="s">
        <v>117</v>
      </c>
      <c r="B1667" s="1">
        <v>4.7300000000000004</v>
      </c>
      <c r="C1667" s="1">
        <v>648</v>
      </c>
      <c r="D1667" s="1" t="s">
        <v>33</v>
      </c>
      <c r="E1667" s="1" t="s">
        <v>8</v>
      </c>
      <c r="F1667" s="1">
        <f t="shared" ref="F1667:F1730" si="60">B1667*100</f>
        <v>473.00000000000006</v>
      </c>
      <c r="G1667" s="5">
        <f t="shared" si="59"/>
        <v>1.3699788583509511</v>
      </c>
    </row>
    <row r="1668" spans="1:7" ht="13">
      <c r="A1668" s="4" t="s">
        <v>117</v>
      </c>
      <c r="B1668" s="1">
        <v>5.88</v>
      </c>
      <c r="C1668" s="1">
        <v>617</v>
      </c>
      <c r="D1668" s="1" t="s">
        <v>39</v>
      </c>
      <c r="E1668" s="1" t="s">
        <v>19</v>
      </c>
      <c r="F1668" s="1">
        <f t="shared" si="60"/>
        <v>588</v>
      </c>
      <c r="G1668" s="5">
        <f t="shared" si="59"/>
        <v>1.0493197278911566</v>
      </c>
    </row>
    <row r="1669" spans="1:7" ht="13">
      <c r="A1669" s="4" t="s">
        <v>117</v>
      </c>
      <c r="B1669" s="1">
        <v>5.46</v>
      </c>
      <c r="C1669" s="1">
        <v>673</v>
      </c>
      <c r="D1669" s="1" t="s">
        <v>43</v>
      </c>
      <c r="E1669" s="1" t="s">
        <v>15</v>
      </c>
      <c r="F1669" s="1">
        <f t="shared" si="60"/>
        <v>546</v>
      </c>
      <c r="G1669" s="5">
        <f t="shared" si="59"/>
        <v>1.2326007326007327</v>
      </c>
    </row>
    <row r="1670" spans="1:7" ht="13">
      <c r="A1670" s="4" t="s">
        <v>117</v>
      </c>
      <c r="B1670" s="1">
        <v>6.09</v>
      </c>
      <c r="C1670" s="1">
        <v>737</v>
      </c>
      <c r="D1670" s="1" t="s">
        <v>11</v>
      </c>
      <c r="E1670" s="1" t="s">
        <v>26</v>
      </c>
      <c r="F1670" s="1">
        <f t="shared" si="60"/>
        <v>609</v>
      </c>
      <c r="G1670" s="5">
        <f t="shared" si="59"/>
        <v>1.2101806239737274</v>
      </c>
    </row>
    <row r="1671" spans="1:7" ht="13">
      <c r="A1671" s="4" t="s">
        <v>117</v>
      </c>
      <c r="B1671" s="1">
        <v>7.29</v>
      </c>
      <c r="C1671" s="1">
        <v>914</v>
      </c>
      <c r="D1671" s="1" t="s">
        <v>11</v>
      </c>
      <c r="E1671" s="1" t="s">
        <v>7</v>
      </c>
      <c r="F1671" s="1">
        <f t="shared" si="60"/>
        <v>729</v>
      </c>
      <c r="G1671" s="5">
        <f t="shared" si="59"/>
        <v>1.2537722908093278</v>
      </c>
    </row>
    <row r="1672" spans="1:7" ht="13">
      <c r="A1672" s="4" t="s">
        <v>117</v>
      </c>
      <c r="B1672" s="1">
        <v>5.8</v>
      </c>
      <c r="C1672" s="1">
        <v>738</v>
      </c>
      <c r="D1672" s="1" t="s">
        <v>39</v>
      </c>
      <c r="E1672" s="1" t="s">
        <v>49</v>
      </c>
      <c r="F1672" s="1">
        <f t="shared" si="60"/>
        <v>580</v>
      </c>
      <c r="G1672" s="5">
        <f t="shared" si="59"/>
        <v>1.2724137931034483</v>
      </c>
    </row>
    <row r="1673" spans="1:7" ht="13">
      <c r="A1673" s="4" t="s">
        <v>117</v>
      </c>
      <c r="B1673" s="1">
        <v>6.72</v>
      </c>
      <c r="C1673" s="1">
        <v>813</v>
      </c>
      <c r="D1673" s="1" t="s">
        <v>11</v>
      </c>
      <c r="E1673" s="1" t="s">
        <v>15</v>
      </c>
      <c r="F1673" s="1">
        <f t="shared" si="60"/>
        <v>672</v>
      </c>
      <c r="G1673" s="5">
        <f t="shared" si="59"/>
        <v>1.2098214285714286</v>
      </c>
    </row>
    <row r="1674" spans="1:7" ht="13">
      <c r="A1674" s="4" t="s">
        <v>117</v>
      </c>
      <c r="B1674" s="1">
        <v>6.96</v>
      </c>
      <c r="C1674" s="1">
        <v>886</v>
      </c>
      <c r="D1674" s="1" t="s">
        <v>38</v>
      </c>
      <c r="E1674" s="1" t="s">
        <v>8</v>
      </c>
      <c r="F1674" s="1">
        <f t="shared" si="60"/>
        <v>696</v>
      </c>
      <c r="G1674" s="5">
        <f t="shared" si="59"/>
        <v>1.2729885057471264</v>
      </c>
    </row>
    <row r="1675" spans="1:7" ht="13">
      <c r="A1675" s="4" t="s">
        <v>117</v>
      </c>
      <c r="B1675" s="1">
        <v>4.4000000000000004</v>
      </c>
      <c r="C1675" s="1">
        <v>415</v>
      </c>
      <c r="D1675" s="1" t="s">
        <v>42</v>
      </c>
      <c r="E1675" s="1" t="s">
        <v>22</v>
      </c>
      <c r="F1675" s="1">
        <f t="shared" si="60"/>
        <v>440.00000000000006</v>
      </c>
      <c r="G1675" s="5">
        <f t="shared" si="59"/>
        <v>0.94318181818181801</v>
      </c>
    </row>
    <row r="1676" spans="1:7" ht="13">
      <c r="A1676" s="4" t="s">
        <v>117</v>
      </c>
      <c r="B1676" s="1">
        <v>4.92</v>
      </c>
      <c r="C1676" s="1">
        <v>613</v>
      </c>
      <c r="D1676" s="1" t="s">
        <v>43</v>
      </c>
      <c r="E1676" s="1" t="s">
        <v>10</v>
      </c>
      <c r="F1676" s="1">
        <f t="shared" si="60"/>
        <v>492</v>
      </c>
      <c r="G1676" s="5">
        <f t="shared" si="59"/>
        <v>1.2459349593495934</v>
      </c>
    </row>
    <row r="1677" spans="1:7" ht="13">
      <c r="A1677" s="4" t="s">
        <v>117</v>
      </c>
      <c r="B1677" s="1">
        <v>6.375</v>
      </c>
      <c r="C1677" s="1">
        <v>784</v>
      </c>
      <c r="D1677" s="1" t="s">
        <v>11</v>
      </c>
      <c r="E1677" s="1" t="s">
        <v>12</v>
      </c>
      <c r="F1677" s="1">
        <f t="shared" si="60"/>
        <v>637.5</v>
      </c>
      <c r="G1677" s="5">
        <f t="shared" si="59"/>
        <v>1.2298039215686274</v>
      </c>
    </row>
    <row r="1678" spans="1:7" ht="13">
      <c r="A1678" s="4" t="s">
        <v>117</v>
      </c>
      <c r="B1678" s="1">
        <v>6.88</v>
      </c>
      <c r="C1678" s="1">
        <v>871</v>
      </c>
      <c r="D1678" s="1" t="s">
        <v>38</v>
      </c>
      <c r="E1678" s="1" t="s">
        <v>7</v>
      </c>
      <c r="F1678" s="1">
        <f t="shared" si="60"/>
        <v>688</v>
      </c>
      <c r="G1678" s="5">
        <f t="shared" si="59"/>
        <v>1.2659883720930232</v>
      </c>
    </row>
    <row r="1679" spans="1:7" ht="13">
      <c r="A1679" s="4" t="s">
        <v>117</v>
      </c>
      <c r="B1679" s="1">
        <v>4.3</v>
      </c>
      <c r="C1679" s="1">
        <v>508</v>
      </c>
      <c r="D1679" s="1" t="s">
        <v>35</v>
      </c>
      <c r="E1679" s="1" t="s">
        <v>10</v>
      </c>
      <c r="F1679" s="1">
        <f t="shared" si="60"/>
        <v>430</v>
      </c>
      <c r="G1679" s="5">
        <f t="shared" si="59"/>
        <v>1.1813953488372093</v>
      </c>
    </row>
    <row r="1680" spans="1:7" ht="13">
      <c r="A1680" s="4" t="s">
        <v>117</v>
      </c>
      <c r="B1680" s="1">
        <v>6.9</v>
      </c>
      <c r="C1680" s="1">
        <v>880</v>
      </c>
      <c r="D1680" s="1" t="s">
        <v>42</v>
      </c>
      <c r="E1680" s="1" t="s">
        <v>17</v>
      </c>
      <c r="F1680" s="1">
        <f t="shared" si="60"/>
        <v>690</v>
      </c>
      <c r="G1680" s="5">
        <f t="shared" si="59"/>
        <v>1.2753623188405796</v>
      </c>
    </row>
    <row r="1681" spans="1:7" ht="13">
      <c r="A1681" s="4" t="s">
        <v>117</v>
      </c>
      <c r="B1681" s="1">
        <v>6.96</v>
      </c>
      <c r="C1681" s="1">
        <v>1000</v>
      </c>
      <c r="D1681" s="1" t="s">
        <v>11</v>
      </c>
      <c r="E1681" s="1" t="s">
        <v>8</v>
      </c>
      <c r="F1681" s="1">
        <f t="shared" si="60"/>
        <v>696</v>
      </c>
      <c r="G1681" s="5">
        <f t="shared" si="59"/>
        <v>1.4367816091954022</v>
      </c>
    </row>
    <row r="1682" spans="1:7" ht="13">
      <c r="A1682" s="4" t="s">
        <v>117</v>
      </c>
      <c r="B1682" s="1">
        <v>5</v>
      </c>
      <c r="C1682" s="1">
        <v>600</v>
      </c>
      <c r="D1682" s="1" t="s">
        <v>11</v>
      </c>
      <c r="E1682" s="1" t="s">
        <v>14</v>
      </c>
      <c r="F1682" s="1">
        <f t="shared" si="60"/>
        <v>500</v>
      </c>
      <c r="G1682" s="5">
        <f t="shared" si="59"/>
        <v>1.2</v>
      </c>
    </row>
    <row r="1683" spans="1:7" ht="13">
      <c r="A1683" s="4" t="s">
        <v>117</v>
      </c>
      <c r="B1683" s="1">
        <v>6</v>
      </c>
      <c r="C1683" s="1">
        <v>806.2</v>
      </c>
      <c r="D1683" s="1" t="s">
        <v>11</v>
      </c>
      <c r="E1683" s="1" t="s">
        <v>22</v>
      </c>
      <c r="F1683" s="1">
        <f t="shared" si="60"/>
        <v>600</v>
      </c>
      <c r="G1683" s="5">
        <f t="shared" si="59"/>
        <v>1.3436666666666668</v>
      </c>
    </row>
    <row r="1684" spans="1:7" ht="13">
      <c r="A1684" s="4" t="s">
        <v>117</v>
      </c>
      <c r="B1684" s="1">
        <v>3.448</v>
      </c>
      <c r="C1684" s="1">
        <v>449</v>
      </c>
      <c r="D1684" s="1" t="s">
        <v>11</v>
      </c>
      <c r="E1684" s="1" t="s">
        <v>15</v>
      </c>
      <c r="F1684" s="1">
        <f t="shared" si="60"/>
        <v>344.8</v>
      </c>
      <c r="G1684" s="5">
        <f t="shared" si="59"/>
        <v>1.3022041763341068</v>
      </c>
    </row>
    <row r="1685" spans="1:7" ht="13">
      <c r="A1685" s="4" t="s">
        <v>117</v>
      </c>
      <c r="B1685" s="1">
        <v>8.1</v>
      </c>
      <c r="C1685" s="1">
        <v>1124</v>
      </c>
      <c r="D1685" s="1" t="s">
        <v>11</v>
      </c>
      <c r="E1685" s="1" t="s">
        <v>8</v>
      </c>
      <c r="F1685" s="1">
        <f t="shared" si="60"/>
        <v>810</v>
      </c>
      <c r="G1685" s="5">
        <f t="shared" si="59"/>
        <v>1.3876543209876544</v>
      </c>
    </row>
    <row r="1686" spans="1:7" ht="13">
      <c r="A1686" s="4" t="s">
        <v>117</v>
      </c>
      <c r="B1686" s="1">
        <v>7.9</v>
      </c>
      <c r="C1686" s="1">
        <v>987</v>
      </c>
      <c r="D1686" s="1" t="s">
        <v>11</v>
      </c>
      <c r="E1686" s="1" t="s">
        <v>27</v>
      </c>
      <c r="F1686" s="1">
        <f t="shared" si="60"/>
        <v>790</v>
      </c>
      <c r="G1686" s="5">
        <f t="shared" si="59"/>
        <v>1.2493670886075949</v>
      </c>
    </row>
    <row r="1687" spans="1:7" ht="13">
      <c r="A1687" s="4" t="s">
        <v>117</v>
      </c>
      <c r="B1687" s="1">
        <v>5.2</v>
      </c>
      <c r="C1687" s="1">
        <v>673</v>
      </c>
      <c r="D1687" s="1" t="s">
        <v>42</v>
      </c>
      <c r="E1687" s="1" t="s">
        <v>30</v>
      </c>
      <c r="F1687" s="1">
        <f t="shared" si="60"/>
        <v>520</v>
      </c>
      <c r="G1687" s="5">
        <f t="shared" si="59"/>
        <v>1.2942307692307693</v>
      </c>
    </row>
    <row r="1688" spans="1:7" ht="13">
      <c r="A1688" s="4" t="s">
        <v>117</v>
      </c>
      <c r="B1688" s="1">
        <v>6.3</v>
      </c>
      <c r="C1688" s="1">
        <v>702</v>
      </c>
      <c r="D1688" s="1" t="s">
        <v>43</v>
      </c>
      <c r="E1688" s="1" t="s">
        <v>29</v>
      </c>
      <c r="F1688" s="1">
        <f t="shared" si="60"/>
        <v>630</v>
      </c>
      <c r="G1688" s="5">
        <f t="shared" si="59"/>
        <v>1.1142857142857143</v>
      </c>
    </row>
    <row r="1689" spans="1:7" ht="13">
      <c r="A1689" s="4" t="s">
        <v>117</v>
      </c>
      <c r="B1689" s="1">
        <v>8.64</v>
      </c>
      <c r="C1689" s="1">
        <v>1060</v>
      </c>
      <c r="D1689" s="1" t="s">
        <v>11</v>
      </c>
      <c r="E1689" s="1" t="s">
        <v>9</v>
      </c>
      <c r="F1689" s="1">
        <f t="shared" si="60"/>
        <v>864</v>
      </c>
      <c r="G1689" s="5">
        <f t="shared" si="59"/>
        <v>1.2268518518518519</v>
      </c>
    </row>
    <row r="1690" spans="1:7" ht="13">
      <c r="A1690" s="4" t="s">
        <v>117</v>
      </c>
      <c r="B1690" s="1">
        <v>6.5</v>
      </c>
      <c r="C1690" s="1">
        <v>745</v>
      </c>
      <c r="D1690" s="1" t="s">
        <v>11</v>
      </c>
      <c r="E1690" s="1" t="s">
        <v>18</v>
      </c>
      <c r="F1690" s="1">
        <f t="shared" si="60"/>
        <v>650</v>
      </c>
      <c r="G1690" s="5">
        <f t="shared" si="59"/>
        <v>1.1461538461538461</v>
      </c>
    </row>
    <row r="1691" spans="1:7" ht="13">
      <c r="A1691" s="4" t="s">
        <v>117</v>
      </c>
      <c r="B1691" s="1">
        <v>9.1300000000000008</v>
      </c>
      <c r="C1691" s="1">
        <v>1170</v>
      </c>
      <c r="D1691" s="1" t="s">
        <v>11</v>
      </c>
      <c r="E1691" s="1" t="s">
        <v>23</v>
      </c>
      <c r="F1691" s="1">
        <f t="shared" si="60"/>
        <v>913.00000000000011</v>
      </c>
      <c r="G1691" s="5">
        <f t="shared" si="59"/>
        <v>1.2814895947426066</v>
      </c>
    </row>
    <row r="1692" spans="1:7" ht="13">
      <c r="A1692" s="4" t="s">
        <v>117</v>
      </c>
      <c r="B1692" s="1">
        <v>4.92</v>
      </c>
      <c r="C1692" s="1">
        <v>568</v>
      </c>
      <c r="D1692" s="1" t="s">
        <v>33</v>
      </c>
      <c r="E1692" s="1" t="s">
        <v>26</v>
      </c>
      <c r="F1692" s="1">
        <f t="shared" si="60"/>
        <v>492</v>
      </c>
      <c r="G1692" s="5">
        <f t="shared" si="59"/>
        <v>1.1544715447154472</v>
      </c>
    </row>
    <row r="1693" spans="1:7" ht="13">
      <c r="A1693" s="4" t="s">
        <v>117</v>
      </c>
      <c r="B1693" s="1">
        <v>8.4</v>
      </c>
      <c r="C1693" s="1">
        <v>1050</v>
      </c>
      <c r="D1693" s="1" t="s">
        <v>33</v>
      </c>
      <c r="E1693" s="1" t="s">
        <v>25</v>
      </c>
      <c r="F1693" s="1">
        <f t="shared" si="60"/>
        <v>840</v>
      </c>
      <c r="G1693" s="5">
        <f t="shared" si="59"/>
        <v>1.25</v>
      </c>
    </row>
    <row r="1694" spans="1:7" ht="13">
      <c r="A1694" s="4" t="s">
        <v>117</v>
      </c>
      <c r="B1694" s="1">
        <v>7.3949999999999996</v>
      </c>
      <c r="C1694" s="1">
        <v>921</v>
      </c>
      <c r="D1694" s="1" t="s">
        <v>42</v>
      </c>
      <c r="E1694" s="1" t="s">
        <v>25</v>
      </c>
      <c r="F1694" s="1">
        <f t="shared" si="60"/>
        <v>739.5</v>
      </c>
      <c r="G1694" s="5">
        <f t="shared" si="59"/>
        <v>1.2454361054766734</v>
      </c>
    </row>
    <row r="1695" spans="1:7" ht="13">
      <c r="A1695" s="4" t="s">
        <v>117</v>
      </c>
      <c r="B1695" s="1">
        <v>7.7</v>
      </c>
      <c r="C1695" s="1">
        <v>892</v>
      </c>
      <c r="D1695" s="1" t="s">
        <v>42</v>
      </c>
      <c r="E1695" s="1" t="s">
        <v>49</v>
      </c>
      <c r="F1695" s="1">
        <f t="shared" si="60"/>
        <v>770</v>
      </c>
      <c r="G1695" s="5">
        <f t="shared" si="59"/>
        <v>1.1584415584415584</v>
      </c>
    </row>
    <row r="1696" spans="1:7" ht="13">
      <c r="A1696" s="4" t="s">
        <v>117</v>
      </c>
      <c r="B1696" s="1">
        <v>6.96</v>
      </c>
      <c r="C1696" s="1">
        <v>785</v>
      </c>
      <c r="D1696" s="1" t="s">
        <v>33</v>
      </c>
      <c r="E1696" s="1" t="s">
        <v>15</v>
      </c>
      <c r="F1696" s="1">
        <f t="shared" si="60"/>
        <v>696</v>
      </c>
      <c r="G1696" s="5">
        <f t="shared" si="59"/>
        <v>1.1278735632183907</v>
      </c>
    </row>
    <row r="1697" spans="1:7" ht="13">
      <c r="A1697" s="4" t="s">
        <v>117</v>
      </c>
      <c r="B1697" s="1">
        <v>2.87</v>
      </c>
      <c r="C1697" s="1">
        <v>419</v>
      </c>
      <c r="D1697" s="1" t="s">
        <v>11</v>
      </c>
      <c r="E1697" s="1" t="s">
        <v>8</v>
      </c>
      <c r="F1697" s="1">
        <f t="shared" si="60"/>
        <v>287</v>
      </c>
      <c r="G1697" s="5">
        <f t="shared" si="59"/>
        <v>1.4599303135888502</v>
      </c>
    </row>
    <row r="1698" spans="1:7" ht="13">
      <c r="A1698" s="4" t="s">
        <v>117</v>
      </c>
      <c r="B1698" s="1">
        <v>4.9000000000000004</v>
      </c>
      <c r="C1698" s="1">
        <v>467</v>
      </c>
      <c r="D1698" s="1" t="s">
        <v>11</v>
      </c>
      <c r="E1698" s="1" t="s">
        <v>18</v>
      </c>
      <c r="F1698" s="1">
        <f t="shared" si="60"/>
        <v>490.00000000000006</v>
      </c>
      <c r="G1698" s="5">
        <f t="shared" si="59"/>
        <v>0.9530612244897958</v>
      </c>
    </row>
    <row r="1699" spans="1:7" ht="13">
      <c r="A1699" s="4" t="s">
        <v>117</v>
      </c>
      <c r="B1699" s="1">
        <v>6.7</v>
      </c>
      <c r="C1699" s="1">
        <v>793</v>
      </c>
      <c r="D1699" s="1" t="s">
        <v>58</v>
      </c>
      <c r="E1699" s="1" t="s">
        <v>22</v>
      </c>
      <c r="F1699" s="1">
        <f t="shared" si="60"/>
        <v>670</v>
      </c>
      <c r="G1699" s="5">
        <f t="shared" si="59"/>
        <v>1.1835820895522389</v>
      </c>
    </row>
    <row r="1700" spans="1:7" ht="13">
      <c r="A1700" s="4" t="s">
        <v>117</v>
      </c>
      <c r="B1700" s="1">
        <v>7.74</v>
      </c>
      <c r="C1700" s="1">
        <v>828</v>
      </c>
      <c r="D1700" s="1" t="s">
        <v>33</v>
      </c>
      <c r="E1700" s="1" t="s">
        <v>26</v>
      </c>
      <c r="F1700" s="1">
        <f t="shared" si="60"/>
        <v>774</v>
      </c>
      <c r="G1700" s="5">
        <f t="shared" si="59"/>
        <v>1.069767441860465</v>
      </c>
    </row>
    <row r="1701" spans="1:7" ht="13">
      <c r="A1701" s="4" t="s">
        <v>117</v>
      </c>
      <c r="B1701" s="1">
        <v>4.05</v>
      </c>
      <c r="C1701" s="1">
        <v>484</v>
      </c>
      <c r="D1701" s="1" t="s">
        <v>38</v>
      </c>
      <c r="E1701" s="1" t="s">
        <v>30</v>
      </c>
      <c r="F1701" s="1">
        <f t="shared" si="60"/>
        <v>405</v>
      </c>
      <c r="G1701" s="5">
        <f t="shared" si="59"/>
        <v>1.1950617283950618</v>
      </c>
    </row>
    <row r="1702" spans="1:7" ht="13">
      <c r="A1702" s="4" t="s">
        <v>117</v>
      </c>
      <c r="B1702" s="1">
        <v>5.16</v>
      </c>
      <c r="C1702" s="1">
        <v>641</v>
      </c>
      <c r="D1702" s="1" t="s">
        <v>42</v>
      </c>
      <c r="E1702" s="1" t="s">
        <v>22</v>
      </c>
      <c r="F1702" s="1">
        <f t="shared" si="60"/>
        <v>516</v>
      </c>
      <c r="G1702" s="5">
        <f t="shared" si="59"/>
        <v>1.2422480620155039</v>
      </c>
    </row>
    <row r="1703" spans="1:7" ht="13">
      <c r="A1703" s="4" t="s">
        <v>117</v>
      </c>
      <c r="B1703" s="1">
        <v>7.5</v>
      </c>
      <c r="C1703" s="1">
        <v>850</v>
      </c>
      <c r="D1703" s="1" t="s">
        <v>79</v>
      </c>
      <c r="E1703" s="1" t="s">
        <v>22</v>
      </c>
      <c r="F1703" s="1">
        <f t="shared" si="60"/>
        <v>750</v>
      </c>
      <c r="G1703" s="5">
        <f t="shared" si="59"/>
        <v>1.1333333333333333</v>
      </c>
    </row>
    <row r="1704" spans="1:7" ht="13">
      <c r="A1704" s="4" t="s">
        <v>117</v>
      </c>
      <c r="B1704" s="1">
        <v>4.3</v>
      </c>
      <c r="C1704" s="1">
        <v>555</v>
      </c>
      <c r="D1704" s="1" t="s">
        <v>39</v>
      </c>
      <c r="E1704" s="1" t="s">
        <v>15</v>
      </c>
      <c r="F1704" s="1">
        <f t="shared" si="60"/>
        <v>430</v>
      </c>
      <c r="G1704" s="5">
        <f t="shared" si="59"/>
        <v>1.2906976744186047</v>
      </c>
    </row>
    <row r="1705" spans="1:7" ht="13">
      <c r="A1705" s="4" t="s">
        <v>117</v>
      </c>
      <c r="B1705" s="1">
        <v>4.3</v>
      </c>
      <c r="C1705" s="1">
        <v>427</v>
      </c>
      <c r="D1705" s="1" t="s">
        <v>11</v>
      </c>
      <c r="E1705" s="1" t="s">
        <v>16</v>
      </c>
      <c r="F1705" s="1">
        <f t="shared" si="60"/>
        <v>430</v>
      </c>
      <c r="G1705" s="5">
        <f t="shared" si="59"/>
        <v>0.99302325581395345</v>
      </c>
    </row>
    <row r="1706" spans="1:7" ht="13">
      <c r="A1706" s="4" t="s">
        <v>117</v>
      </c>
      <c r="B1706" s="1">
        <v>5.6</v>
      </c>
      <c r="C1706" s="1">
        <v>763</v>
      </c>
      <c r="D1706" s="1" t="s">
        <v>33</v>
      </c>
      <c r="E1706" s="1" t="s">
        <v>12</v>
      </c>
      <c r="F1706" s="1">
        <f t="shared" si="60"/>
        <v>560</v>
      </c>
      <c r="G1706" s="5">
        <f t="shared" si="59"/>
        <v>1.3625</v>
      </c>
    </row>
    <row r="1707" spans="1:7" ht="13">
      <c r="A1707" s="4" t="s">
        <v>117</v>
      </c>
      <c r="B1707" s="1">
        <v>6</v>
      </c>
      <c r="C1707" s="1">
        <v>807</v>
      </c>
      <c r="D1707" s="1" t="s">
        <v>11</v>
      </c>
      <c r="E1707" s="1" t="s">
        <v>7</v>
      </c>
      <c r="F1707" s="1">
        <f t="shared" si="60"/>
        <v>600</v>
      </c>
      <c r="G1707" s="5">
        <f t="shared" si="59"/>
        <v>1.345</v>
      </c>
    </row>
    <row r="1708" spans="1:7" ht="13">
      <c r="A1708" s="4" t="s">
        <v>117</v>
      </c>
      <c r="B1708" s="1">
        <v>4.3</v>
      </c>
      <c r="C1708" s="1">
        <v>639</v>
      </c>
      <c r="D1708" s="1" t="s">
        <v>47</v>
      </c>
      <c r="E1708" s="1" t="s">
        <v>8</v>
      </c>
      <c r="F1708" s="1">
        <f t="shared" si="60"/>
        <v>430</v>
      </c>
      <c r="G1708" s="5">
        <f t="shared" si="59"/>
        <v>1.4860465116279069</v>
      </c>
    </row>
    <row r="1709" spans="1:7" ht="13">
      <c r="A1709" s="4" t="s">
        <v>117</v>
      </c>
      <c r="B1709" s="1">
        <v>6.72</v>
      </c>
      <c r="C1709" s="1">
        <v>967</v>
      </c>
      <c r="D1709" s="1" t="s">
        <v>43</v>
      </c>
      <c r="E1709" s="1" t="s">
        <v>20</v>
      </c>
      <c r="F1709" s="1">
        <f t="shared" si="60"/>
        <v>672</v>
      </c>
      <c r="G1709" s="5">
        <f t="shared" si="59"/>
        <v>1.4389880952380953</v>
      </c>
    </row>
    <row r="1710" spans="1:7" ht="13">
      <c r="A1710" s="4" t="s">
        <v>117</v>
      </c>
      <c r="B1710" s="1">
        <v>5.3949999999999996</v>
      </c>
      <c r="C1710" s="1">
        <v>600</v>
      </c>
      <c r="D1710" s="1" t="s">
        <v>44</v>
      </c>
      <c r="E1710" s="1" t="s">
        <v>15</v>
      </c>
      <c r="F1710" s="1">
        <f t="shared" si="60"/>
        <v>539.5</v>
      </c>
      <c r="G1710" s="5">
        <f t="shared" si="59"/>
        <v>1.1121408711770158</v>
      </c>
    </row>
    <row r="1711" spans="1:7" ht="13">
      <c r="A1711" s="4" t="s">
        <v>117</v>
      </c>
      <c r="B1711" s="1">
        <v>5.2</v>
      </c>
      <c r="C1711" s="1">
        <v>605</v>
      </c>
      <c r="D1711" s="1" t="s">
        <v>44</v>
      </c>
      <c r="E1711" s="1" t="s">
        <v>15</v>
      </c>
      <c r="F1711" s="1">
        <f t="shared" si="60"/>
        <v>520</v>
      </c>
      <c r="G1711" s="5">
        <f t="shared" si="59"/>
        <v>1.1634615384615385</v>
      </c>
    </row>
    <row r="1712" spans="1:7" ht="13">
      <c r="A1712" s="4" t="s">
        <v>117</v>
      </c>
      <c r="B1712" s="1">
        <v>6.7</v>
      </c>
      <c r="C1712" s="1">
        <v>875</v>
      </c>
      <c r="D1712" s="1" t="s">
        <v>11</v>
      </c>
      <c r="E1712" s="1" t="s">
        <v>16</v>
      </c>
      <c r="F1712" s="1">
        <f t="shared" si="60"/>
        <v>670</v>
      </c>
      <c r="G1712" s="5">
        <f t="shared" si="59"/>
        <v>1.3059701492537314</v>
      </c>
    </row>
    <row r="1713" spans="1:7" ht="13">
      <c r="A1713" s="4" t="s">
        <v>117</v>
      </c>
      <c r="B1713" s="1">
        <v>9.4600000000000009</v>
      </c>
      <c r="C1713" s="1">
        <v>1029</v>
      </c>
      <c r="D1713" s="1" t="s">
        <v>11</v>
      </c>
      <c r="E1713" s="1" t="s">
        <v>25</v>
      </c>
      <c r="F1713" s="1">
        <f t="shared" si="60"/>
        <v>946.00000000000011</v>
      </c>
      <c r="G1713" s="5">
        <f t="shared" si="59"/>
        <v>1.0877378435517968</v>
      </c>
    </row>
    <row r="1714" spans="1:7" ht="13">
      <c r="A1714" s="4" t="s">
        <v>117</v>
      </c>
      <c r="B1714" s="1">
        <v>7.7</v>
      </c>
      <c r="C1714" s="1">
        <v>1020</v>
      </c>
      <c r="D1714" s="1" t="s">
        <v>53</v>
      </c>
      <c r="E1714" s="1" t="s">
        <v>17</v>
      </c>
      <c r="F1714" s="1">
        <f t="shared" si="60"/>
        <v>770</v>
      </c>
      <c r="G1714" s="5">
        <f t="shared" si="59"/>
        <v>1.3246753246753247</v>
      </c>
    </row>
    <row r="1715" spans="1:7" ht="13">
      <c r="A1715" s="4" t="s">
        <v>117</v>
      </c>
      <c r="B1715" s="1">
        <v>5.5</v>
      </c>
      <c r="C1715" s="1">
        <v>803</v>
      </c>
      <c r="D1715" s="1" t="s">
        <v>35</v>
      </c>
      <c r="E1715" s="1" t="s">
        <v>8</v>
      </c>
      <c r="F1715" s="1">
        <f t="shared" si="60"/>
        <v>550</v>
      </c>
      <c r="G1715" s="5">
        <f t="shared" si="59"/>
        <v>1.46</v>
      </c>
    </row>
    <row r="1716" spans="1:7" ht="13">
      <c r="A1716" s="4" t="s">
        <v>117</v>
      </c>
      <c r="B1716" s="1">
        <v>6.96</v>
      </c>
      <c r="C1716" s="1">
        <v>841</v>
      </c>
      <c r="D1716" s="1" t="s">
        <v>11</v>
      </c>
      <c r="E1716" s="1" t="s">
        <v>31</v>
      </c>
      <c r="F1716" s="1">
        <f t="shared" si="60"/>
        <v>696</v>
      </c>
      <c r="G1716" s="5">
        <f t="shared" si="59"/>
        <v>1.2083333333333333</v>
      </c>
    </row>
    <row r="1717" spans="1:7" ht="13">
      <c r="A1717" s="4" t="s">
        <v>117</v>
      </c>
      <c r="B1717" s="1">
        <v>3.87</v>
      </c>
      <c r="C1717" s="1">
        <v>480</v>
      </c>
      <c r="D1717" s="1" t="s">
        <v>67</v>
      </c>
      <c r="E1717" s="1" t="s">
        <v>8</v>
      </c>
      <c r="F1717" s="1">
        <f t="shared" si="60"/>
        <v>387</v>
      </c>
      <c r="G1717" s="5">
        <f t="shared" si="59"/>
        <v>1.2403100775193798</v>
      </c>
    </row>
    <row r="1718" spans="1:7" ht="13">
      <c r="A1718" s="4" t="s">
        <v>117</v>
      </c>
      <c r="B1718" s="1">
        <v>7.56</v>
      </c>
      <c r="C1718" s="1">
        <v>1038</v>
      </c>
      <c r="D1718" s="1" t="s">
        <v>11</v>
      </c>
      <c r="E1718" s="1" t="s">
        <v>9</v>
      </c>
      <c r="F1718" s="1">
        <f t="shared" si="60"/>
        <v>756</v>
      </c>
      <c r="G1718" s="5">
        <f t="shared" si="59"/>
        <v>1.373015873015873</v>
      </c>
    </row>
    <row r="1719" spans="1:7" ht="13">
      <c r="A1719" s="4" t="s">
        <v>117</v>
      </c>
      <c r="B1719" s="1">
        <v>6.96</v>
      </c>
      <c r="C1719" s="1">
        <v>765</v>
      </c>
      <c r="D1719" s="1" t="s">
        <v>33</v>
      </c>
      <c r="E1719" s="1" t="s">
        <v>25</v>
      </c>
      <c r="F1719" s="1">
        <f t="shared" si="60"/>
        <v>696</v>
      </c>
      <c r="G1719" s="5">
        <f t="shared" si="59"/>
        <v>1.0991379310344827</v>
      </c>
    </row>
    <row r="1720" spans="1:7" ht="13">
      <c r="A1720" s="4" t="s">
        <v>117</v>
      </c>
      <c r="B1720" s="1">
        <v>9.5</v>
      </c>
      <c r="C1720" s="1">
        <v>1160</v>
      </c>
      <c r="D1720" s="1" t="s">
        <v>11</v>
      </c>
      <c r="E1720" s="1" t="s">
        <v>31</v>
      </c>
      <c r="F1720" s="1">
        <f t="shared" si="60"/>
        <v>950</v>
      </c>
      <c r="G1720" s="5">
        <f t="shared" si="59"/>
        <v>1.2210526315789474</v>
      </c>
    </row>
    <row r="1721" spans="1:7" ht="13">
      <c r="A1721" s="4" t="s">
        <v>117</v>
      </c>
      <c r="B1721" s="1">
        <v>6.7</v>
      </c>
      <c r="C1721" s="1">
        <v>740</v>
      </c>
      <c r="D1721" s="1" t="s">
        <v>11</v>
      </c>
      <c r="E1721" s="1" t="s">
        <v>30</v>
      </c>
      <c r="F1721" s="1">
        <f t="shared" si="60"/>
        <v>670</v>
      </c>
      <c r="G1721" s="5">
        <f t="shared" si="59"/>
        <v>1.1044776119402986</v>
      </c>
    </row>
    <row r="1722" spans="1:7" ht="13">
      <c r="A1722" s="4" t="s">
        <v>117</v>
      </c>
      <c r="B1722" s="1">
        <v>5.0999999999999996</v>
      </c>
      <c r="C1722" s="1">
        <v>626.5</v>
      </c>
      <c r="D1722" s="1" t="s">
        <v>11</v>
      </c>
      <c r="E1722" s="1" t="s">
        <v>21</v>
      </c>
      <c r="F1722" s="1">
        <f t="shared" si="60"/>
        <v>509.99999999999994</v>
      </c>
      <c r="G1722" s="5">
        <f t="shared" si="59"/>
        <v>1.2284313725490197</v>
      </c>
    </row>
    <row r="1723" spans="1:7" ht="13">
      <c r="A1723" s="4" t="s">
        <v>117</v>
      </c>
      <c r="B1723" s="1">
        <v>5.4</v>
      </c>
      <c r="C1723" s="1">
        <v>653</v>
      </c>
      <c r="D1723" s="1" t="s">
        <v>35</v>
      </c>
      <c r="E1723" s="1" t="s">
        <v>8</v>
      </c>
      <c r="F1723" s="1">
        <f t="shared" si="60"/>
        <v>540</v>
      </c>
      <c r="G1723" s="5">
        <f t="shared" si="59"/>
        <v>1.2092592592592593</v>
      </c>
    </row>
    <row r="1724" spans="1:7" ht="13">
      <c r="A1724" s="4" t="s">
        <v>117</v>
      </c>
      <c r="B1724" s="1">
        <v>3.85</v>
      </c>
      <c r="C1724" s="1">
        <v>467</v>
      </c>
      <c r="D1724" s="1" t="s">
        <v>11</v>
      </c>
      <c r="E1724" s="1" t="s">
        <v>20</v>
      </c>
      <c r="F1724" s="1">
        <f t="shared" si="60"/>
        <v>385</v>
      </c>
      <c r="G1724" s="5">
        <f t="shared" si="59"/>
        <v>1.2129870129870131</v>
      </c>
    </row>
    <row r="1725" spans="1:7" ht="13">
      <c r="A1725" s="4" t="s">
        <v>117</v>
      </c>
      <c r="B1725" s="1">
        <v>7.86</v>
      </c>
      <c r="C1725" s="1">
        <v>909</v>
      </c>
      <c r="D1725" s="1" t="s">
        <v>33</v>
      </c>
      <c r="E1725" s="1" t="s">
        <v>24</v>
      </c>
      <c r="F1725" s="1">
        <f t="shared" si="60"/>
        <v>786</v>
      </c>
      <c r="G1725" s="5">
        <f t="shared" si="59"/>
        <v>1.1564885496183206</v>
      </c>
    </row>
    <row r="1726" spans="1:7" ht="13">
      <c r="A1726" s="4" t="s">
        <v>117</v>
      </c>
      <c r="B1726" s="1">
        <v>7.56</v>
      </c>
      <c r="C1726" s="1">
        <v>907</v>
      </c>
      <c r="D1726" s="1" t="s">
        <v>65</v>
      </c>
      <c r="E1726" s="1" t="s">
        <v>17</v>
      </c>
      <c r="F1726" s="1">
        <f t="shared" si="60"/>
        <v>756</v>
      </c>
      <c r="G1726" s="5">
        <f t="shared" si="59"/>
        <v>1.1997354497354498</v>
      </c>
    </row>
    <row r="1727" spans="1:7" ht="13">
      <c r="A1727" s="4" t="s">
        <v>117</v>
      </c>
      <c r="B1727" s="1">
        <v>7</v>
      </c>
      <c r="C1727" s="1">
        <v>920</v>
      </c>
      <c r="D1727" s="1" t="s">
        <v>11</v>
      </c>
      <c r="E1727" s="1" t="s">
        <v>10</v>
      </c>
      <c r="F1727" s="1">
        <f t="shared" si="60"/>
        <v>700</v>
      </c>
      <c r="G1727" s="5">
        <f t="shared" si="59"/>
        <v>1.3142857142857143</v>
      </c>
    </row>
    <row r="1728" spans="1:7" ht="13">
      <c r="A1728" s="4" t="s">
        <v>117</v>
      </c>
      <c r="B1728" s="1">
        <v>7.14</v>
      </c>
      <c r="C1728" s="1">
        <v>924</v>
      </c>
      <c r="D1728" s="1" t="s">
        <v>42</v>
      </c>
      <c r="E1728" s="1" t="s">
        <v>10</v>
      </c>
      <c r="F1728" s="1">
        <f t="shared" si="60"/>
        <v>714</v>
      </c>
      <c r="G1728" s="5">
        <f t="shared" si="59"/>
        <v>1.2941176470588236</v>
      </c>
    </row>
    <row r="1729" spans="1:7" ht="13">
      <c r="A1729" s="4" t="s">
        <v>117</v>
      </c>
      <c r="B1729" s="1">
        <v>9.57</v>
      </c>
      <c r="C1729" s="1">
        <v>1070</v>
      </c>
      <c r="D1729" s="1" t="s">
        <v>42</v>
      </c>
      <c r="E1729" s="1" t="s">
        <v>22</v>
      </c>
      <c r="F1729" s="1">
        <f t="shared" si="60"/>
        <v>957</v>
      </c>
      <c r="G1729" s="5">
        <f t="shared" si="59"/>
        <v>1.1180773249738767</v>
      </c>
    </row>
    <row r="1730" spans="1:7" ht="13">
      <c r="A1730" s="4" t="s">
        <v>117</v>
      </c>
      <c r="B1730" s="1">
        <v>5</v>
      </c>
      <c r="C1730" s="1">
        <v>507</v>
      </c>
      <c r="D1730" s="1" t="s">
        <v>50</v>
      </c>
      <c r="E1730" s="1" t="s">
        <v>7</v>
      </c>
      <c r="F1730" s="1">
        <f t="shared" si="60"/>
        <v>500</v>
      </c>
      <c r="G1730" s="5">
        <f t="shared" ref="G1730:G1793" si="61">C1730/F1730</f>
        <v>1.014</v>
      </c>
    </row>
    <row r="1731" spans="1:7" ht="13">
      <c r="A1731" s="4" t="s">
        <v>117</v>
      </c>
      <c r="B1731" s="1">
        <v>6.8</v>
      </c>
      <c r="C1731" s="1">
        <v>683</v>
      </c>
      <c r="D1731" s="1" t="s">
        <v>100</v>
      </c>
      <c r="E1731" s="1" t="s">
        <v>29</v>
      </c>
      <c r="F1731" s="1">
        <f t="shared" ref="F1731:F1794" si="62">B1731*100</f>
        <v>680</v>
      </c>
      <c r="G1731" s="5">
        <f t="shared" si="61"/>
        <v>1.0044117647058823</v>
      </c>
    </row>
    <row r="1732" spans="1:7" ht="13">
      <c r="A1732" s="4" t="s">
        <v>117</v>
      </c>
      <c r="B1732" s="1">
        <v>4.5</v>
      </c>
      <c r="C1732" s="1">
        <v>539.6</v>
      </c>
      <c r="D1732" s="1" t="s">
        <v>43</v>
      </c>
      <c r="E1732" s="1" t="s">
        <v>15</v>
      </c>
      <c r="F1732" s="1">
        <f t="shared" si="62"/>
        <v>450</v>
      </c>
      <c r="G1732" s="5">
        <f t="shared" si="61"/>
        <v>1.1991111111111112</v>
      </c>
    </row>
    <row r="1733" spans="1:7" ht="13">
      <c r="A1733" s="4" t="s">
        <v>117</v>
      </c>
      <c r="B1733" s="1">
        <v>5.74</v>
      </c>
      <c r="C1733" s="1">
        <v>707</v>
      </c>
      <c r="D1733" s="1" t="s">
        <v>42</v>
      </c>
      <c r="E1733" s="1" t="s">
        <v>32</v>
      </c>
      <c r="F1733" s="1">
        <f t="shared" si="62"/>
        <v>574</v>
      </c>
      <c r="G1733" s="5">
        <f t="shared" si="61"/>
        <v>1.2317073170731707</v>
      </c>
    </row>
    <row r="1734" spans="1:7" ht="13">
      <c r="A1734" s="4" t="s">
        <v>117</v>
      </c>
      <c r="B1734" s="1">
        <v>9.1999999999999993</v>
      </c>
      <c r="C1734" s="1">
        <v>1102</v>
      </c>
      <c r="D1734" s="1" t="s">
        <v>43</v>
      </c>
      <c r="E1734" s="1" t="s">
        <v>14</v>
      </c>
      <c r="F1734" s="1">
        <f t="shared" si="62"/>
        <v>919.99999999999989</v>
      </c>
      <c r="G1734" s="5">
        <f t="shared" si="61"/>
        <v>1.1978260869565218</v>
      </c>
    </row>
    <row r="1735" spans="1:7" ht="13">
      <c r="A1735" s="4" t="s">
        <v>117</v>
      </c>
      <c r="B1735" s="1">
        <v>4.5999999999999996</v>
      </c>
      <c r="C1735" s="1">
        <v>565</v>
      </c>
      <c r="D1735" s="1" t="s">
        <v>11</v>
      </c>
      <c r="E1735" s="1" t="s">
        <v>9</v>
      </c>
      <c r="F1735" s="1">
        <f t="shared" si="62"/>
        <v>459.99999999999994</v>
      </c>
      <c r="G1735" s="5">
        <f t="shared" si="61"/>
        <v>1.2282608695652175</v>
      </c>
    </row>
    <row r="1736" spans="1:7" ht="13">
      <c r="A1736" s="4" t="s">
        <v>117</v>
      </c>
      <c r="B1736" s="1">
        <v>7.8</v>
      </c>
      <c r="C1736" s="1">
        <v>769</v>
      </c>
      <c r="D1736" s="1" t="s">
        <v>60</v>
      </c>
      <c r="E1736" s="1" t="s">
        <v>15</v>
      </c>
      <c r="F1736" s="1">
        <f t="shared" si="62"/>
        <v>780</v>
      </c>
      <c r="G1736" s="5">
        <f t="shared" si="61"/>
        <v>0.98589743589743595</v>
      </c>
    </row>
    <row r="1737" spans="1:7" ht="13">
      <c r="A1737" s="4" t="s">
        <v>117</v>
      </c>
      <c r="B1737" s="1">
        <v>7.8</v>
      </c>
      <c r="C1737" s="1">
        <v>1000</v>
      </c>
      <c r="D1737" s="1" t="s">
        <v>33</v>
      </c>
      <c r="E1737" s="1" t="s">
        <v>8</v>
      </c>
      <c r="F1737" s="1">
        <f t="shared" si="62"/>
        <v>780</v>
      </c>
      <c r="G1737" s="5">
        <f t="shared" si="61"/>
        <v>1.2820512820512822</v>
      </c>
    </row>
    <row r="1738" spans="1:7" ht="13">
      <c r="A1738" s="4" t="s">
        <v>117</v>
      </c>
      <c r="B1738" s="1">
        <v>6.3</v>
      </c>
      <c r="C1738" s="1">
        <v>680</v>
      </c>
      <c r="D1738" s="1" t="s">
        <v>40</v>
      </c>
      <c r="E1738" s="1" t="s">
        <v>18</v>
      </c>
      <c r="F1738" s="1">
        <f t="shared" si="62"/>
        <v>630</v>
      </c>
      <c r="G1738" s="5">
        <f t="shared" si="61"/>
        <v>1.0793650793650793</v>
      </c>
    </row>
    <row r="1739" spans="1:7" ht="13">
      <c r="A1739" s="4" t="s">
        <v>117</v>
      </c>
      <c r="B1739" s="1">
        <v>6.7</v>
      </c>
      <c r="C1739" s="1">
        <v>836</v>
      </c>
      <c r="D1739" s="1" t="s">
        <v>43</v>
      </c>
      <c r="E1739" s="1" t="s">
        <v>49</v>
      </c>
      <c r="F1739" s="1">
        <f t="shared" si="62"/>
        <v>670</v>
      </c>
      <c r="G1739" s="5">
        <f t="shared" si="61"/>
        <v>1.2477611940298508</v>
      </c>
    </row>
    <row r="1740" spans="1:7" ht="13">
      <c r="A1740" s="4" t="s">
        <v>117</v>
      </c>
      <c r="B1740" s="1">
        <v>4.5599999999999996</v>
      </c>
      <c r="C1740" s="1">
        <v>602</v>
      </c>
      <c r="D1740" s="1" t="s">
        <v>33</v>
      </c>
      <c r="E1740" s="1" t="s">
        <v>17</v>
      </c>
      <c r="F1740" s="1">
        <f t="shared" si="62"/>
        <v>455.99999999999994</v>
      </c>
      <c r="G1740" s="5">
        <f t="shared" si="61"/>
        <v>1.3201754385964914</v>
      </c>
    </row>
    <row r="1741" spans="1:7" ht="13">
      <c r="A1741" s="4" t="s">
        <v>117</v>
      </c>
      <c r="B1741" s="1">
        <v>5</v>
      </c>
      <c r="C1741" s="1">
        <v>718</v>
      </c>
      <c r="D1741" s="1" t="s">
        <v>55</v>
      </c>
      <c r="E1741" s="1" t="s">
        <v>21</v>
      </c>
      <c r="F1741" s="1">
        <f t="shared" si="62"/>
        <v>500</v>
      </c>
      <c r="G1741" s="5">
        <f t="shared" si="61"/>
        <v>1.4359999999999999</v>
      </c>
    </row>
    <row r="1742" spans="1:7" ht="13">
      <c r="A1742" s="4" t="s">
        <v>117</v>
      </c>
      <c r="B1742" s="1">
        <v>6.1</v>
      </c>
      <c r="C1742" s="1">
        <v>672</v>
      </c>
      <c r="D1742" s="1" t="s">
        <v>48</v>
      </c>
      <c r="E1742" s="1" t="s">
        <v>23</v>
      </c>
      <c r="F1742" s="1">
        <f t="shared" si="62"/>
        <v>610</v>
      </c>
      <c r="G1742" s="5">
        <f t="shared" si="61"/>
        <v>1.1016393442622952</v>
      </c>
    </row>
    <row r="1743" spans="1:7" ht="13">
      <c r="A1743" s="4" t="s">
        <v>117</v>
      </c>
      <c r="B1743" s="1">
        <v>4.8</v>
      </c>
      <c r="C1743" s="1">
        <v>562</v>
      </c>
      <c r="D1743" s="1" t="s">
        <v>39</v>
      </c>
      <c r="E1743" s="1" t="s">
        <v>16</v>
      </c>
      <c r="F1743" s="1">
        <f t="shared" si="62"/>
        <v>480</v>
      </c>
      <c r="G1743" s="5">
        <f t="shared" si="61"/>
        <v>1.1708333333333334</v>
      </c>
    </row>
    <row r="1744" spans="1:7" ht="13">
      <c r="A1744" s="4" t="s">
        <v>117</v>
      </c>
      <c r="B1744" s="1">
        <v>5.16</v>
      </c>
      <c r="C1744" s="1">
        <v>632</v>
      </c>
      <c r="D1744" s="1" t="s">
        <v>48</v>
      </c>
      <c r="E1744" s="1" t="s">
        <v>30</v>
      </c>
      <c r="F1744" s="1">
        <f t="shared" si="62"/>
        <v>516</v>
      </c>
      <c r="G1744" s="5">
        <f t="shared" si="61"/>
        <v>1.2248062015503876</v>
      </c>
    </row>
    <row r="1745" spans="1:7" ht="13">
      <c r="A1745" s="4" t="s">
        <v>117</v>
      </c>
      <c r="B1745" s="1">
        <v>6.15</v>
      </c>
      <c r="C1745" s="1">
        <v>789</v>
      </c>
      <c r="D1745" s="1" t="s">
        <v>11</v>
      </c>
      <c r="E1745" s="1" t="s">
        <v>15</v>
      </c>
      <c r="F1745" s="1">
        <f t="shared" si="62"/>
        <v>615</v>
      </c>
      <c r="G1745" s="5">
        <f t="shared" si="61"/>
        <v>1.2829268292682927</v>
      </c>
    </row>
    <row r="1746" spans="1:7" ht="13">
      <c r="A1746" s="4" t="s">
        <v>117</v>
      </c>
      <c r="B1746" s="1">
        <v>4.46</v>
      </c>
      <c r="C1746" s="1">
        <v>530</v>
      </c>
      <c r="D1746" s="1" t="s">
        <v>43</v>
      </c>
      <c r="E1746" s="1" t="s">
        <v>15</v>
      </c>
      <c r="F1746" s="1">
        <f t="shared" si="62"/>
        <v>446</v>
      </c>
      <c r="G1746" s="5">
        <f t="shared" si="61"/>
        <v>1.188340807174888</v>
      </c>
    </row>
    <row r="1747" spans="1:7" ht="13">
      <c r="A1747" s="4" t="s">
        <v>117</v>
      </c>
      <c r="B1747" s="1">
        <v>6</v>
      </c>
      <c r="C1747" s="1">
        <v>839</v>
      </c>
      <c r="D1747" s="1" t="s">
        <v>53</v>
      </c>
      <c r="E1747" s="1" t="s">
        <v>8</v>
      </c>
      <c r="F1747" s="1">
        <f t="shared" si="62"/>
        <v>600</v>
      </c>
      <c r="G1747" s="5">
        <f t="shared" si="61"/>
        <v>1.3983333333333334</v>
      </c>
    </row>
    <row r="1748" spans="1:7" ht="13">
      <c r="A1748" s="4" t="s">
        <v>117</v>
      </c>
      <c r="B1748" s="1">
        <v>3.48</v>
      </c>
      <c r="C1748" s="1">
        <v>449</v>
      </c>
      <c r="D1748" s="1" t="s">
        <v>38</v>
      </c>
      <c r="E1748" s="1" t="s">
        <v>7</v>
      </c>
      <c r="F1748" s="1">
        <f t="shared" si="62"/>
        <v>348</v>
      </c>
      <c r="G1748" s="5">
        <f t="shared" si="61"/>
        <v>1.2902298850574712</v>
      </c>
    </row>
    <row r="1749" spans="1:7" ht="13">
      <c r="A1749" s="4" t="s">
        <v>117</v>
      </c>
      <c r="B1749" s="1">
        <v>6.88</v>
      </c>
      <c r="C1749" s="1">
        <v>932</v>
      </c>
      <c r="D1749" s="1" t="s">
        <v>11</v>
      </c>
      <c r="E1749" s="1" t="s">
        <v>15</v>
      </c>
      <c r="F1749" s="1">
        <f t="shared" si="62"/>
        <v>688</v>
      </c>
      <c r="G1749" s="5">
        <f t="shared" si="61"/>
        <v>1.3546511627906976</v>
      </c>
    </row>
    <row r="1750" spans="1:7" ht="13">
      <c r="A1750" s="4" t="s">
        <v>117</v>
      </c>
      <c r="B1750" s="1">
        <v>3</v>
      </c>
      <c r="C1750" s="1">
        <v>330</v>
      </c>
      <c r="D1750" s="1" t="s">
        <v>11</v>
      </c>
      <c r="E1750" s="1" t="s">
        <v>10</v>
      </c>
      <c r="F1750" s="1">
        <f t="shared" si="62"/>
        <v>300</v>
      </c>
      <c r="G1750" s="5">
        <f t="shared" si="61"/>
        <v>1.1000000000000001</v>
      </c>
    </row>
    <row r="1751" spans="1:7" ht="13">
      <c r="A1751" s="4" t="s">
        <v>117</v>
      </c>
      <c r="B1751" s="1">
        <v>4.3499999999999996</v>
      </c>
      <c r="C1751" s="1">
        <v>349</v>
      </c>
      <c r="D1751" s="1" t="s">
        <v>11</v>
      </c>
      <c r="E1751" s="1" t="s">
        <v>15</v>
      </c>
      <c r="F1751" s="1">
        <f t="shared" si="62"/>
        <v>434.99999999999994</v>
      </c>
      <c r="G1751" s="5">
        <f t="shared" si="61"/>
        <v>0.80229885057471273</v>
      </c>
    </row>
    <row r="1752" spans="1:7" ht="13">
      <c r="A1752" s="4" t="s">
        <v>117</v>
      </c>
      <c r="B1752" s="1">
        <v>5.8</v>
      </c>
      <c r="C1752" s="1">
        <v>687</v>
      </c>
      <c r="D1752" s="1" t="s">
        <v>39</v>
      </c>
      <c r="E1752" s="1" t="s">
        <v>10</v>
      </c>
      <c r="F1752" s="1">
        <f t="shared" si="62"/>
        <v>580</v>
      </c>
      <c r="G1752" s="5">
        <f t="shared" si="61"/>
        <v>1.1844827586206896</v>
      </c>
    </row>
    <row r="1753" spans="1:7" ht="13">
      <c r="A1753" s="4" t="s">
        <v>117</v>
      </c>
      <c r="B1753" s="1">
        <v>5.81</v>
      </c>
      <c r="C1753" s="1">
        <v>751</v>
      </c>
      <c r="D1753" s="1" t="s">
        <v>38</v>
      </c>
      <c r="E1753" s="1" t="s">
        <v>8</v>
      </c>
      <c r="F1753" s="1">
        <f t="shared" si="62"/>
        <v>581</v>
      </c>
      <c r="G1753" s="5">
        <f t="shared" si="61"/>
        <v>1.2925989672977625</v>
      </c>
    </row>
    <row r="1754" spans="1:7" ht="13">
      <c r="A1754" s="4" t="s">
        <v>117</v>
      </c>
      <c r="B1754" s="1">
        <v>8.6999999999999993</v>
      </c>
      <c r="C1754" s="1">
        <v>1120</v>
      </c>
      <c r="D1754" s="1" t="s">
        <v>45</v>
      </c>
      <c r="E1754" s="1" t="s">
        <v>20</v>
      </c>
      <c r="F1754" s="1">
        <f t="shared" si="62"/>
        <v>869.99999999999989</v>
      </c>
      <c r="G1754" s="5">
        <f t="shared" si="61"/>
        <v>1.2873563218390807</v>
      </c>
    </row>
    <row r="1755" spans="1:7" ht="13">
      <c r="A1755" s="4" t="s">
        <v>117</v>
      </c>
      <c r="B1755" s="1">
        <v>6.09</v>
      </c>
      <c r="C1755" s="1">
        <v>826</v>
      </c>
      <c r="D1755" s="1" t="s">
        <v>44</v>
      </c>
      <c r="E1755" s="1" t="s">
        <v>20</v>
      </c>
      <c r="F1755" s="1">
        <f t="shared" si="62"/>
        <v>609</v>
      </c>
      <c r="G1755" s="5">
        <f t="shared" si="61"/>
        <v>1.3563218390804597</v>
      </c>
    </row>
    <row r="1756" spans="1:7" ht="13">
      <c r="A1756" s="4" t="s">
        <v>117</v>
      </c>
      <c r="B1756" s="1">
        <v>6.5</v>
      </c>
      <c r="C1756" s="1">
        <v>811</v>
      </c>
      <c r="D1756" s="1" t="s">
        <v>101</v>
      </c>
      <c r="E1756" s="1" t="s">
        <v>20</v>
      </c>
      <c r="F1756" s="1">
        <f t="shared" si="62"/>
        <v>650</v>
      </c>
      <c r="G1756" s="5">
        <f t="shared" si="61"/>
        <v>1.2476923076923077</v>
      </c>
    </row>
    <row r="1757" spans="1:7" ht="13">
      <c r="A1757" s="4" t="s">
        <v>117</v>
      </c>
      <c r="B1757" s="1">
        <v>20</v>
      </c>
      <c r="C1757" s="1">
        <v>1740</v>
      </c>
      <c r="D1757" s="1" t="s">
        <v>33</v>
      </c>
      <c r="E1757" s="1" t="s">
        <v>20</v>
      </c>
      <c r="F1757" s="1">
        <f t="shared" si="62"/>
        <v>2000</v>
      </c>
      <c r="G1757" s="5">
        <f t="shared" si="61"/>
        <v>0.87</v>
      </c>
    </row>
    <row r="1758" spans="1:7" ht="13">
      <c r="A1758" s="4" t="s">
        <v>117</v>
      </c>
      <c r="B1758" s="1">
        <v>4.2</v>
      </c>
      <c r="C1758" s="1">
        <v>557</v>
      </c>
      <c r="D1758" s="1" t="s">
        <v>57</v>
      </c>
      <c r="E1758" s="1" t="s">
        <v>26</v>
      </c>
      <c r="F1758" s="1">
        <f t="shared" si="62"/>
        <v>420</v>
      </c>
      <c r="G1758" s="5">
        <f t="shared" si="61"/>
        <v>1.3261904761904761</v>
      </c>
    </row>
    <row r="1759" spans="1:7" ht="13">
      <c r="A1759" s="4" t="s">
        <v>117</v>
      </c>
      <c r="B1759" s="1">
        <v>9.1300000000000008</v>
      </c>
      <c r="C1759" s="1">
        <v>1.01</v>
      </c>
      <c r="D1759" s="1" t="s">
        <v>11</v>
      </c>
      <c r="E1759" s="1" t="s">
        <v>19</v>
      </c>
      <c r="F1759" s="1">
        <f t="shared" si="62"/>
        <v>913.00000000000011</v>
      </c>
      <c r="G1759" s="5">
        <f t="shared" si="61"/>
        <v>1.1062431544359254E-3</v>
      </c>
    </row>
    <row r="1760" spans="1:7" ht="13">
      <c r="A1760" s="4" t="s">
        <v>117</v>
      </c>
      <c r="B1760" s="1">
        <v>7.74</v>
      </c>
      <c r="C1760" s="1">
        <v>972</v>
      </c>
      <c r="D1760" s="1" t="s">
        <v>11</v>
      </c>
      <c r="E1760" s="1" t="s">
        <v>23</v>
      </c>
      <c r="F1760" s="1">
        <f t="shared" si="62"/>
        <v>774</v>
      </c>
      <c r="G1760" s="5">
        <f t="shared" si="61"/>
        <v>1.2558139534883721</v>
      </c>
    </row>
    <row r="1761" spans="1:7" ht="13">
      <c r="A1761" s="4" t="s">
        <v>117</v>
      </c>
      <c r="B1761" s="1">
        <v>7.29</v>
      </c>
      <c r="C1761" s="1">
        <v>958</v>
      </c>
      <c r="D1761" s="1" t="s">
        <v>33</v>
      </c>
      <c r="E1761" s="1" t="s">
        <v>17</v>
      </c>
      <c r="F1761" s="1">
        <f t="shared" si="62"/>
        <v>729</v>
      </c>
      <c r="G1761" s="5">
        <f t="shared" si="61"/>
        <v>1.3141289437585735</v>
      </c>
    </row>
    <row r="1762" spans="1:7" ht="13">
      <c r="A1762" s="4" t="s">
        <v>117</v>
      </c>
      <c r="B1762" s="1">
        <v>5.0999999999999996</v>
      </c>
      <c r="C1762" s="1">
        <v>592</v>
      </c>
      <c r="D1762" s="1" t="s">
        <v>33</v>
      </c>
      <c r="E1762" s="1" t="s">
        <v>15</v>
      </c>
      <c r="F1762" s="1">
        <f t="shared" si="62"/>
        <v>509.99999999999994</v>
      </c>
      <c r="G1762" s="5">
        <f t="shared" si="61"/>
        <v>1.1607843137254903</v>
      </c>
    </row>
    <row r="1763" spans="1:7" ht="13">
      <c r="A1763" s="4" t="s">
        <v>117</v>
      </c>
      <c r="B1763" s="1">
        <v>8.4</v>
      </c>
      <c r="C1763" s="1">
        <v>1067</v>
      </c>
      <c r="D1763" s="1" t="s">
        <v>33</v>
      </c>
      <c r="E1763" s="1" t="s">
        <v>22</v>
      </c>
      <c r="F1763" s="1">
        <f t="shared" si="62"/>
        <v>840</v>
      </c>
      <c r="G1763" s="5">
        <f t="shared" si="61"/>
        <v>1.2702380952380952</v>
      </c>
    </row>
    <row r="1764" spans="1:7" ht="13">
      <c r="A1764" s="4" t="s">
        <v>117</v>
      </c>
      <c r="B1764" s="1">
        <v>6.7</v>
      </c>
      <c r="C1764" s="1">
        <v>909</v>
      </c>
      <c r="D1764" s="1" t="s">
        <v>11</v>
      </c>
      <c r="E1764" s="1" t="s">
        <v>8</v>
      </c>
      <c r="F1764" s="1">
        <f t="shared" si="62"/>
        <v>670</v>
      </c>
      <c r="G1764" s="5">
        <f t="shared" si="61"/>
        <v>1.3567164179104478</v>
      </c>
    </row>
    <row r="1765" spans="1:7" ht="13">
      <c r="A1765" s="4" t="s">
        <v>117</v>
      </c>
      <c r="B1765" s="1">
        <v>8.6999999999999993</v>
      </c>
      <c r="C1765" s="1">
        <v>1049</v>
      </c>
      <c r="D1765" s="1" t="s">
        <v>11</v>
      </c>
      <c r="E1765" s="1" t="s">
        <v>26</v>
      </c>
      <c r="F1765" s="1">
        <f t="shared" si="62"/>
        <v>869.99999999999989</v>
      </c>
      <c r="G1765" s="5">
        <f t="shared" si="61"/>
        <v>1.2057471264367818</v>
      </c>
    </row>
    <row r="1766" spans="1:7" ht="13">
      <c r="A1766" s="4" t="s">
        <v>117</v>
      </c>
      <c r="B1766" s="1">
        <v>9.3000000000000007</v>
      </c>
      <c r="C1766" s="1">
        <v>1126</v>
      </c>
      <c r="D1766" s="1" t="s">
        <v>45</v>
      </c>
      <c r="E1766" s="1" t="s">
        <v>10</v>
      </c>
      <c r="F1766" s="1">
        <f t="shared" si="62"/>
        <v>930.00000000000011</v>
      </c>
      <c r="G1766" s="5">
        <f t="shared" si="61"/>
        <v>1.210752688172043</v>
      </c>
    </row>
    <row r="1767" spans="1:7" ht="13">
      <c r="A1767" s="4" t="s">
        <v>117</v>
      </c>
      <c r="B1767" s="1">
        <v>7.44</v>
      </c>
      <c r="C1767" s="1">
        <v>756</v>
      </c>
      <c r="D1767" s="1" t="s">
        <v>35</v>
      </c>
      <c r="E1767" s="1" t="s">
        <v>18</v>
      </c>
      <c r="F1767" s="1">
        <f t="shared" si="62"/>
        <v>744</v>
      </c>
      <c r="G1767" s="5">
        <f t="shared" si="61"/>
        <v>1.0161290322580645</v>
      </c>
    </row>
    <row r="1768" spans="1:7" ht="13">
      <c r="A1768" s="4" t="s">
        <v>117</v>
      </c>
      <c r="B1768" s="1">
        <v>7.56</v>
      </c>
      <c r="C1768" s="1">
        <v>1000</v>
      </c>
      <c r="D1768" s="1" t="s">
        <v>11</v>
      </c>
      <c r="E1768" s="1" t="s">
        <v>7</v>
      </c>
      <c r="F1768" s="1">
        <f t="shared" si="62"/>
        <v>756</v>
      </c>
      <c r="G1768" s="5">
        <f t="shared" si="61"/>
        <v>1.3227513227513228</v>
      </c>
    </row>
    <row r="1769" spans="1:7" ht="13">
      <c r="A1769" s="4" t="s">
        <v>117</v>
      </c>
      <c r="B1769" s="1">
        <v>5.22</v>
      </c>
      <c r="C1769" s="1">
        <v>592</v>
      </c>
      <c r="D1769" s="1" t="s">
        <v>11</v>
      </c>
      <c r="E1769" s="1" t="s">
        <v>31</v>
      </c>
      <c r="F1769" s="1">
        <f t="shared" si="62"/>
        <v>522</v>
      </c>
      <c r="G1769" s="5">
        <f t="shared" si="61"/>
        <v>1.1340996168582376</v>
      </c>
    </row>
    <row r="1770" spans="1:7" ht="13">
      <c r="A1770" s="4" t="s">
        <v>117</v>
      </c>
      <c r="B1770" s="1">
        <v>6.1</v>
      </c>
      <c r="C1770" s="1">
        <v>780</v>
      </c>
      <c r="D1770" s="1" t="s">
        <v>11</v>
      </c>
      <c r="E1770" s="1" t="s">
        <v>15</v>
      </c>
      <c r="F1770" s="1">
        <f t="shared" si="62"/>
        <v>610</v>
      </c>
      <c r="G1770" s="5">
        <f t="shared" si="61"/>
        <v>1.278688524590164</v>
      </c>
    </row>
    <row r="1771" spans="1:7" ht="13">
      <c r="A1771" s="4" t="s">
        <v>117</v>
      </c>
      <c r="B1771" s="1">
        <v>8.6</v>
      </c>
      <c r="C1771" s="1">
        <v>1040</v>
      </c>
      <c r="D1771" s="1" t="s">
        <v>33</v>
      </c>
      <c r="E1771" s="1" t="s">
        <v>26</v>
      </c>
      <c r="F1771" s="1">
        <f t="shared" si="62"/>
        <v>860</v>
      </c>
      <c r="G1771" s="5">
        <f t="shared" si="61"/>
        <v>1.2093023255813953</v>
      </c>
    </row>
    <row r="1772" spans="1:7" ht="13">
      <c r="A1772" s="4" t="s">
        <v>117</v>
      </c>
      <c r="B1772" s="1">
        <v>4.3499999999999996</v>
      </c>
      <c r="C1772" s="1">
        <v>717</v>
      </c>
      <c r="D1772" s="1" t="s">
        <v>43</v>
      </c>
      <c r="E1772" s="1" t="s">
        <v>30</v>
      </c>
      <c r="F1772" s="1">
        <f t="shared" si="62"/>
        <v>434.99999999999994</v>
      </c>
      <c r="G1772" s="5">
        <f t="shared" si="61"/>
        <v>1.6482758620689657</v>
      </c>
    </row>
    <row r="1773" spans="1:7" ht="13">
      <c r="A1773" s="4" t="s">
        <v>117</v>
      </c>
      <c r="B1773" s="1">
        <v>4.9800000000000004</v>
      </c>
      <c r="C1773" s="1">
        <v>561</v>
      </c>
      <c r="D1773" s="1" t="s">
        <v>11</v>
      </c>
      <c r="E1773" s="1" t="s">
        <v>25</v>
      </c>
      <c r="F1773" s="1">
        <f t="shared" si="62"/>
        <v>498.00000000000006</v>
      </c>
      <c r="G1773" s="5">
        <f t="shared" si="61"/>
        <v>1.1265060240963853</v>
      </c>
    </row>
    <row r="1774" spans="1:7" ht="13">
      <c r="A1774" s="4" t="s">
        <v>117</v>
      </c>
      <c r="B1774" s="1">
        <v>5.2</v>
      </c>
      <c r="C1774" s="1">
        <v>610</v>
      </c>
      <c r="D1774" s="1" t="s">
        <v>45</v>
      </c>
      <c r="E1774" s="1" t="s">
        <v>15</v>
      </c>
      <c r="F1774" s="1">
        <f t="shared" si="62"/>
        <v>520</v>
      </c>
      <c r="G1774" s="5">
        <f t="shared" si="61"/>
        <v>1.1730769230769231</v>
      </c>
    </row>
    <row r="1775" spans="1:7" ht="13">
      <c r="A1775" s="4" t="s">
        <v>117</v>
      </c>
      <c r="B1775" s="1">
        <v>9.57</v>
      </c>
      <c r="C1775" s="1">
        <v>1045</v>
      </c>
      <c r="D1775" s="1" t="s">
        <v>11</v>
      </c>
      <c r="E1775" s="1" t="s">
        <v>10</v>
      </c>
      <c r="F1775" s="1">
        <f t="shared" si="62"/>
        <v>957</v>
      </c>
      <c r="G1775" s="5">
        <f t="shared" si="61"/>
        <v>1.0919540229885059</v>
      </c>
    </row>
    <row r="1776" spans="1:7" ht="13">
      <c r="A1776" s="4" t="s">
        <v>117</v>
      </c>
      <c r="B1776" s="1">
        <v>6.02</v>
      </c>
      <c r="C1776" s="1">
        <v>792</v>
      </c>
      <c r="D1776" s="1" t="s">
        <v>42</v>
      </c>
      <c r="E1776" s="1" t="s">
        <v>14</v>
      </c>
      <c r="F1776" s="1">
        <f t="shared" si="62"/>
        <v>602</v>
      </c>
      <c r="G1776" s="5">
        <f t="shared" si="61"/>
        <v>1.3156146179401993</v>
      </c>
    </row>
    <row r="1777" spans="1:7" ht="13">
      <c r="A1777" s="4" t="s">
        <v>117</v>
      </c>
      <c r="B1777" s="1">
        <v>6.9</v>
      </c>
      <c r="C1777" s="1">
        <v>913</v>
      </c>
      <c r="D1777" s="1" t="s">
        <v>39</v>
      </c>
      <c r="E1777" s="1" t="s">
        <v>16</v>
      </c>
      <c r="F1777" s="1">
        <f t="shared" si="62"/>
        <v>690</v>
      </c>
      <c r="G1777" s="5">
        <f t="shared" si="61"/>
        <v>1.3231884057971015</v>
      </c>
    </row>
    <row r="1778" spans="1:7" ht="13">
      <c r="A1778" s="4" t="s">
        <v>117</v>
      </c>
      <c r="B1778" s="1">
        <v>7.8</v>
      </c>
      <c r="C1778" s="1">
        <v>935</v>
      </c>
      <c r="D1778" s="1" t="s">
        <v>40</v>
      </c>
      <c r="E1778" s="1" t="s">
        <v>15</v>
      </c>
      <c r="F1778" s="1">
        <f t="shared" si="62"/>
        <v>780</v>
      </c>
      <c r="G1778" s="5">
        <f t="shared" si="61"/>
        <v>1.1987179487179487</v>
      </c>
    </row>
    <row r="1779" spans="1:7" ht="13">
      <c r="A1779" s="4" t="s">
        <v>117</v>
      </c>
      <c r="B1779" s="1">
        <v>6</v>
      </c>
      <c r="C1779" s="1">
        <v>593</v>
      </c>
      <c r="D1779" s="1" t="s">
        <v>40</v>
      </c>
      <c r="E1779" s="1" t="s">
        <v>8</v>
      </c>
      <c r="F1779" s="1">
        <f t="shared" si="62"/>
        <v>600</v>
      </c>
      <c r="G1779" s="5">
        <f t="shared" si="61"/>
        <v>0.98833333333333329</v>
      </c>
    </row>
    <row r="1780" spans="1:7" ht="13">
      <c r="A1780" s="4" t="s">
        <v>117</v>
      </c>
      <c r="B1780" s="1">
        <v>6.96</v>
      </c>
      <c r="C1780" s="1">
        <v>880</v>
      </c>
      <c r="D1780" s="1" t="s">
        <v>38</v>
      </c>
      <c r="E1780" s="1" t="s">
        <v>16</v>
      </c>
      <c r="F1780" s="1">
        <f t="shared" si="62"/>
        <v>696</v>
      </c>
      <c r="G1780" s="5">
        <f t="shared" si="61"/>
        <v>1.264367816091954</v>
      </c>
    </row>
    <row r="1781" spans="1:7" ht="13">
      <c r="A1781" s="4" t="s">
        <v>117</v>
      </c>
      <c r="B1781" s="1">
        <v>7.4</v>
      </c>
      <c r="C1781" s="1">
        <v>948</v>
      </c>
      <c r="D1781" s="1" t="s">
        <v>11</v>
      </c>
      <c r="E1781" s="1" t="s">
        <v>10</v>
      </c>
      <c r="F1781" s="1">
        <f t="shared" si="62"/>
        <v>740</v>
      </c>
      <c r="G1781" s="5">
        <f t="shared" si="61"/>
        <v>1.2810810810810811</v>
      </c>
    </row>
    <row r="1782" spans="1:7" ht="13">
      <c r="A1782" s="4" t="s">
        <v>117</v>
      </c>
      <c r="B1782" s="1">
        <v>7.29</v>
      </c>
      <c r="C1782" s="1">
        <v>843</v>
      </c>
      <c r="D1782" s="1" t="s">
        <v>11</v>
      </c>
      <c r="E1782" s="1" t="s">
        <v>27</v>
      </c>
      <c r="F1782" s="1">
        <f t="shared" si="62"/>
        <v>729</v>
      </c>
      <c r="G1782" s="5">
        <f t="shared" si="61"/>
        <v>1.1563786008230452</v>
      </c>
    </row>
    <row r="1783" spans="1:7" ht="13">
      <c r="A1783" s="4" t="s">
        <v>117</v>
      </c>
      <c r="B1783" s="1">
        <v>7.7</v>
      </c>
      <c r="C1783" s="1">
        <v>979</v>
      </c>
      <c r="D1783" s="1" t="s">
        <v>33</v>
      </c>
      <c r="E1783" s="1" t="s">
        <v>16</v>
      </c>
      <c r="F1783" s="1">
        <f t="shared" si="62"/>
        <v>770</v>
      </c>
      <c r="G1783" s="5">
        <f t="shared" si="61"/>
        <v>1.2714285714285714</v>
      </c>
    </row>
    <row r="1784" spans="1:7" ht="13">
      <c r="A1784" s="4" t="s">
        <v>117</v>
      </c>
      <c r="B1784" s="1">
        <v>5.0999999999999996</v>
      </c>
      <c r="C1784" s="1">
        <v>612</v>
      </c>
      <c r="D1784" s="1" t="s">
        <v>40</v>
      </c>
      <c r="E1784" s="1" t="s">
        <v>15</v>
      </c>
      <c r="F1784" s="1">
        <f t="shared" si="62"/>
        <v>509.99999999999994</v>
      </c>
      <c r="G1784" s="5">
        <f t="shared" si="61"/>
        <v>1.2000000000000002</v>
      </c>
    </row>
    <row r="1785" spans="1:7" ht="13">
      <c r="A1785" s="4" t="s">
        <v>117</v>
      </c>
      <c r="B1785" s="1">
        <v>7.2</v>
      </c>
      <c r="C1785" s="1">
        <v>805</v>
      </c>
      <c r="D1785" s="1" t="s">
        <v>33</v>
      </c>
      <c r="E1785" s="1" t="s">
        <v>12</v>
      </c>
      <c r="F1785" s="1">
        <f t="shared" si="62"/>
        <v>720</v>
      </c>
      <c r="G1785" s="5">
        <f t="shared" si="61"/>
        <v>1.1180555555555556</v>
      </c>
    </row>
    <row r="1786" spans="1:7" ht="13">
      <c r="A1786" s="4" t="s">
        <v>117</v>
      </c>
      <c r="B1786" s="1">
        <v>6.1</v>
      </c>
      <c r="C1786" s="1">
        <v>740</v>
      </c>
      <c r="D1786" s="1" t="s">
        <v>33</v>
      </c>
      <c r="E1786" s="1" t="s">
        <v>9</v>
      </c>
      <c r="F1786" s="1">
        <f t="shared" si="62"/>
        <v>610</v>
      </c>
      <c r="G1786" s="5">
        <f t="shared" si="61"/>
        <v>1.2131147540983607</v>
      </c>
    </row>
    <row r="1787" spans="1:7" ht="13">
      <c r="A1787" s="4" t="s">
        <v>117</v>
      </c>
      <c r="B1787" s="1">
        <v>6.23</v>
      </c>
      <c r="C1787" s="1">
        <v>429</v>
      </c>
      <c r="D1787" s="1" t="s">
        <v>11</v>
      </c>
      <c r="E1787" s="1" t="s">
        <v>17</v>
      </c>
      <c r="F1787" s="1">
        <f t="shared" si="62"/>
        <v>623</v>
      </c>
      <c r="G1787" s="5">
        <f t="shared" si="61"/>
        <v>0.6886035313001605</v>
      </c>
    </row>
    <row r="1788" spans="1:7" ht="13">
      <c r="A1788" s="4" t="s">
        <v>117</v>
      </c>
      <c r="B1788" s="1">
        <v>5.22</v>
      </c>
      <c r="C1788" s="1">
        <v>698</v>
      </c>
      <c r="D1788" s="1" t="s">
        <v>43</v>
      </c>
      <c r="E1788" s="1" t="s">
        <v>8</v>
      </c>
      <c r="F1788" s="1">
        <f t="shared" si="62"/>
        <v>522</v>
      </c>
      <c r="G1788" s="5">
        <f t="shared" si="61"/>
        <v>1.3371647509578544</v>
      </c>
    </row>
    <row r="1789" spans="1:7" ht="13">
      <c r="A1789" s="4" t="s">
        <v>117</v>
      </c>
      <c r="B1789" s="1">
        <v>6.02</v>
      </c>
      <c r="C1789" s="1">
        <v>779</v>
      </c>
      <c r="D1789" s="1" t="s">
        <v>38</v>
      </c>
      <c r="E1789" s="1" t="s">
        <v>8</v>
      </c>
      <c r="F1789" s="1">
        <f t="shared" si="62"/>
        <v>602</v>
      </c>
      <c r="G1789" s="5">
        <f t="shared" si="61"/>
        <v>1.2940199335548173</v>
      </c>
    </row>
    <row r="1790" spans="1:7" ht="13">
      <c r="A1790" s="4" t="s">
        <v>117</v>
      </c>
      <c r="B1790" s="1">
        <v>8.2650000000000006</v>
      </c>
      <c r="C1790" s="1">
        <v>969</v>
      </c>
      <c r="D1790" s="1" t="s">
        <v>43</v>
      </c>
      <c r="E1790" s="1" t="s">
        <v>18</v>
      </c>
      <c r="F1790" s="1">
        <f t="shared" si="62"/>
        <v>826.5</v>
      </c>
      <c r="G1790" s="5">
        <f t="shared" si="61"/>
        <v>1.1724137931034482</v>
      </c>
    </row>
    <row r="1791" spans="1:7" ht="13">
      <c r="A1791" s="4" t="s">
        <v>117</v>
      </c>
      <c r="B1791" s="1">
        <v>6.4</v>
      </c>
      <c r="C1791" s="1">
        <v>853</v>
      </c>
      <c r="D1791" s="1" t="s">
        <v>11</v>
      </c>
      <c r="E1791" s="1" t="s">
        <v>8</v>
      </c>
      <c r="F1791" s="1">
        <f t="shared" si="62"/>
        <v>640</v>
      </c>
      <c r="G1791" s="5">
        <f t="shared" si="61"/>
        <v>1.3328125</v>
      </c>
    </row>
    <row r="1792" spans="1:7" ht="13">
      <c r="A1792" s="4" t="s">
        <v>117</v>
      </c>
      <c r="B1792" s="1">
        <v>7.5</v>
      </c>
      <c r="C1792" s="1">
        <v>940</v>
      </c>
      <c r="D1792" s="1" t="s">
        <v>39</v>
      </c>
      <c r="E1792" s="1" t="s">
        <v>9</v>
      </c>
      <c r="F1792" s="1">
        <f t="shared" si="62"/>
        <v>750</v>
      </c>
      <c r="G1792" s="5">
        <f t="shared" si="61"/>
        <v>1.2533333333333334</v>
      </c>
    </row>
    <row r="1793" spans="1:7" ht="13">
      <c r="A1793" s="4" t="s">
        <v>117</v>
      </c>
      <c r="B1793" s="1">
        <v>5.2</v>
      </c>
      <c r="C1793" s="1">
        <v>641</v>
      </c>
      <c r="D1793" s="1" t="s">
        <v>47</v>
      </c>
      <c r="E1793" s="1" t="s">
        <v>26</v>
      </c>
      <c r="F1793" s="1">
        <f t="shared" si="62"/>
        <v>520</v>
      </c>
      <c r="G1793" s="5">
        <f t="shared" si="61"/>
        <v>1.2326923076923078</v>
      </c>
    </row>
    <row r="1794" spans="1:7" ht="13">
      <c r="A1794" s="4" t="s">
        <v>117</v>
      </c>
      <c r="B1794" s="1">
        <v>7.7</v>
      </c>
      <c r="C1794" s="1">
        <v>864</v>
      </c>
      <c r="D1794" s="1" t="s">
        <v>37</v>
      </c>
      <c r="E1794" s="1" t="s">
        <v>26</v>
      </c>
      <c r="F1794" s="1">
        <f t="shared" si="62"/>
        <v>770</v>
      </c>
      <c r="G1794" s="5">
        <f t="shared" ref="G1794:G1857" si="63">C1794/F1794</f>
        <v>1.122077922077922</v>
      </c>
    </row>
    <row r="1795" spans="1:7" ht="13">
      <c r="A1795" s="4" t="s">
        <v>117</v>
      </c>
      <c r="B1795" s="1">
        <v>6.72</v>
      </c>
      <c r="C1795" s="1">
        <v>762</v>
      </c>
      <c r="D1795" s="1" t="s">
        <v>39</v>
      </c>
      <c r="E1795" s="1" t="s">
        <v>25</v>
      </c>
      <c r="F1795" s="1">
        <f t="shared" ref="F1795:F1858" si="64">B1795*100</f>
        <v>672</v>
      </c>
      <c r="G1795" s="5">
        <f t="shared" si="63"/>
        <v>1.1339285714285714</v>
      </c>
    </row>
    <row r="1796" spans="1:7" ht="13">
      <c r="A1796" s="4" t="s">
        <v>117</v>
      </c>
      <c r="B1796" s="1">
        <v>6.23</v>
      </c>
      <c r="C1796" s="1">
        <v>732</v>
      </c>
      <c r="D1796" s="1" t="s">
        <v>11</v>
      </c>
      <c r="E1796" s="1" t="s">
        <v>12</v>
      </c>
      <c r="F1796" s="1">
        <f t="shared" si="64"/>
        <v>623</v>
      </c>
      <c r="G1796" s="5">
        <f t="shared" si="63"/>
        <v>1.174959871589085</v>
      </c>
    </row>
    <row r="1797" spans="1:7" ht="13">
      <c r="A1797" s="4" t="s">
        <v>117</v>
      </c>
      <c r="B1797" s="1">
        <v>5.2</v>
      </c>
      <c r="C1797" s="1">
        <v>610</v>
      </c>
      <c r="D1797" s="1" t="s">
        <v>53</v>
      </c>
      <c r="E1797" s="1" t="s">
        <v>15</v>
      </c>
      <c r="F1797" s="1">
        <f t="shared" si="64"/>
        <v>520</v>
      </c>
      <c r="G1797" s="5">
        <f t="shared" si="63"/>
        <v>1.1730769230769231</v>
      </c>
    </row>
    <row r="1798" spans="1:7" ht="13">
      <c r="A1798" s="4" t="s">
        <v>117</v>
      </c>
      <c r="B1798" s="1">
        <v>9.57</v>
      </c>
      <c r="C1798" s="1">
        <v>1055</v>
      </c>
      <c r="D1798" s="1" t="s">
        <v>11</v>
      </c>
      <c r="E1798" s="1" t="s">
        <v>29</v>
      </c>
      <c r="F1798" s="1">
        <f t="shared" si="64"/>
        <v>957</v>
      </c>
      <c r="G1798" s="5">
        <f t="shared" si="63"/>
        <v>1.1024033437826541</v>
      </c>
    </row>
    <row r="1799" spans="1:7" ht="13">
      <c r="A1799" s="4" t="s">
        <v>117</v>
      </c>
      <c r="B1799" s="1">
        <v>7.6</v>
      </c>
      <c r="C1799" s="1">
        <v>851</v>
      </c>
      <c r="D1799" s="1" t="s">
        <v>33</v>
      </c>
      <c r="E1799" s="1" t="s">
        <v>17</v>
      </c>
      <c r="F1799" s="1">
        <f t="shared" si="64"/>
        <v>760</v>
      </c>
      <c r="G1799" s="5">
        <f t="shared" si="63"/>
        <v>1.1197368421052631</v>
      </c>
    </row>
    <row r="1800" spans="1:7" ht="13">
      <c r="A1800" s="4" t="s">
        <v>117</v>
      </c>
      <c r="B1800" s="1">
        <v>7.8</v>
      </c>
      <c r="C1800" s="1">
        <v>961</v>
      </c>
      <c r="D1800" s="1" t="s">
        <v>11</v>
      </c>
      <c r="E1800" s="1" t="s">
        <v>8</v>
      </c>
      <c r="F1800" s="1">
        <f t="shared" si="64"/>
        <v>780</v>
      </c>
      <c r="G1800" s="5">
        <f t="shared" si="63"/>
        <v>1.2320512820512821</v>
      </c>
    </row>
    <row r="1801" spans="1:7" ht="13">
      <c r="A1801" s="4" t="s">
        <v>117</v>
      </c>
      <c r="B1801" s="1">
        <v>2.4</v>
      </c>
      <c r="C1801" s="1">
        <v>409</v>
      </c>
      <c r="D1801" s="1" t="s">
        <v>43</v>
      </c>
      <c r="E1801" s="1" t="s">
        <v>9</v>
      </c>
      <c r="F1801" s="1">
        <f t="shared" si="64"/>
        <v>240</v>
      </c>
      <c r="G1801" s="5">
        <f t="shared" si="63"/>
        <v>1.7041666666666666</v>
      </c>
    </row>
    <row r="1802" spans="1:7" ht="13">
      <c r="A1802" s="4" t="s">
        <v>117</v>
      </c>
      <c r="B1802" s="1">
        <v>5.14</v>
      </c>
      <c r="C1802" s="1">
        <v>603</v>
      </c>
      <c r="D1802" s="1" t="s">
        <v>35</v>
      </c>
      <c r="E1802" s="1" t="s">
        <v>21</v>
      </c>
      <c r="F1802" s="1">
        <f t="shared" si="64"/>
        <v>514</v>
      </c>
      <c r="G1802" s="5">
        <f t="shared" si="63"/>
        <v>1.1731517509727627</v>
      </c>
    </row>
    <row r="1803" spans="1:7" ht="13">
      <c r="A1803" s="4" t="s">
        <v>117</v>
      </c>
      <c r="B1803" s="1">
        <v>7.74</v>
      </c>
      <c r="C1803" s="1">
        <v>948.43</v>
      </c>
      <c r="D1803" s="1" t="s">
        <v>37</v>
      </c>
      <c r="E1803" s="1" t="s">
        <v>7</v>
      </c>
      <c r="F1803" s="1">
        <f t="shared" si="64"/>
        <v>774</v>
      </c>
      <c r="G1803" s="5">
        <f t="shared" si="63"/>
        <v>1.2253617571059432</v>
      </c>
    </row>
    <row r="1804" spans="1:7" ht="13">
      <c r="A1804" s="4" t="s">
        <v>117</v>
      </c>
      <c r="B1804" s="1">
        <v>5.5</v>
      </c>
      <c r="C1804" s="1">
        <v>766</v>
      </c>
      <c r="D1804" s="1" t="s">
        <v>11</v>
      </c>
      <c r="E1804" s="1" t="s">
        <v>10</v>
      </c>
      <c r="F1804" s="1">
        <f t="shared" si="64"/>
        <v>550</v>
      </c>
      <c r="G1804" s="5">
        <f t="shared" si="63"/>
        <v>1.3927272727272728</v>
      </c>
    </row>
    <row r="1805" spans="1:7" ht="13">
      <c r="A1805" s="4" t="s">
        <v>117</v>
      </c>
      <c r="B1805" s="1">
        <v>7.7</v>
      </c>
      <c r="C1805" s="1">
        <v>938</v>
      </c>
      <c r="D1805" s="1" t="s">
        <v>40</v>
      </c>
      <c r="E1805" s="1" t="s">
        <v>23</v>
      </c>
      <c r="F1805" s="1">
        <f t="shared" si="64"/>
        <v>770</v>
      </c>
      <c r="G1805" s="5">
        <f t="shared" si="63"/>
        <v>1.2181818181818183</v>
      </c>
    </row>
    <row r="1806" spans="1:7" ht="13">
      <c r="A1806" s="4" t="s">
        <v>117</v>
      </c>
      <c r="B1806" s="1">
        <v>9</v>
      </c>
      <c r="C1806" s="1">
        <v>1086</v>
      </c>
      <c r="D1806" s="1" t="s">
        <v>33</v>
      </c>
      <c r="E1806" s="1" t="s">
        <v>25</v>
      </c>
      <c r="F1806" s="1">
        <f t="shared" si="64"/>
        <v>900</v>
      </c>
      <c r="G1806" s="5">
        <f t="shared" si="63"/>
        <v>1.2066666666666668</v>
      </c>
    </row>
    <row r="1807" spans="1:7" ht="13">
      <c r="A1807" s="4" t="s">
        <v>117</v>
      </c>
      <c r="B1807" s="1">
        <v>5</v>
      </c>
      <c r="C1807" s="1">
        <v>537</v>
      </c>
      <c r="D1807" s="1" t="s">
        <v>38</v>
      </c>
      <c r="E1807" s="1" t="s">
        <v>15</v>
      </c>
      <c r="F1807" s="1">
        <f t="shared" si="64"/>
        <v>500</v>
      </c>
      <c r="G1807" s="5">
        <f t="shared" si="63"/>
        <v>1.0740000000000001</v>
      </c>
    </row>
    <row r="1808" spans="1:7" ht="13">
      <c r="A1808" s="4" t="s">
        <v>117</v>
      </c>
      <c r="B1808" s="1">
        <v>5.2</v>
      </c>
      <c r="C1808" s="1">
        <v>646</v>
      </c>
      <c r="D1808" s="1" t="s">
        <v>11</v>
      </c>
      <c r="E1808" s="1" t="s">
        <v>8</v>
      </c>
      <c r="F1808" s="1">
        <f t="shared" si="64"/>
        <v>520</v>
      </c>
      <c r="G1808" s="5">
        <f t="shared" si="63"/>
        <v>1.2423076923076923</v>
      </c>
    </row>
    <row r="1809" spans="1:7" ht="13">
      <c r="A1809" s="4" t="s">
        <v>117</v>
      </c>
      <c r="B1809" s="1">
        <v>6.88</v>
      </c>
      <c r="C1809" s="1">
        <v>811</v>
      </c>
      <c r="D1809" s="1" t="s">
        <v>11</v>
      </c>
      <c r="E1809" s="1" t="s">
        <v>46</v>
      </c>
      <c r="F1809" s="1">
        <f t="shared" si="64"/>
        <v>688</v>
      </c>
      <c r="G1809" s="5">
        <f t="shared" si="63"/>
        <v>1.1787790697674418</v>
      </c>
    </row>
    <row r="1810" spans="1:7" ht="13">
      <c r="A1810" s="4" t="s">
        <v>117</v>
      </c>
      <c r="B1810" s="1">
        <v>4.7</v>
      </c>
      <c r="C1810" s="1">
        <v>600</v>
      </c>
      <c r="D1810" s="1" t="s">
        <v>11</v>
      </c>
      <c r="E1810" s="1" t="s">
        <v>16</v>
      </c>
      <c r="F1810" s="1">
        <f t="shared" si="64"/>
        <v>470</v>
      </c>
      <c r="G1810" s="5">
        <f t="shared" si="63"/>
        <v>1.2765957446808511</v>
      </c>
    </row>
    <row r="1811" spans="1:7" ht="13">
      <c r="A1811" s="4" t="s">
        <v>124</v>
      </c>
      <c r="B1811" s="1">
        <v>6.88</v>
      </c>
      <c r="C1811" s="1">
        <v>840</v>
      </c>
      <c r="D1811" s="1" t="s">
        <v>11</v>
      </c>
      <c r="E1811" s="1" t="s">
        <v>8</v>
      </c>
      <c r="F1811" s="1">
        <f t="shared" si="64"/>
        <v>688</v>
      </c>
      <c r="G1811" s="5">
        <f t="shared" si="63"/>
        <v>1.2209302325581395</v>
      </c>
    </row>
    <row r="1812" spans="1:7" ht="13">
      <c r="A1812" s="4" t="s">
        <v>124</v>
      </c>
      <c r="B1812" s="1">
        <v>6</v>
      </c>
      <c r="C1812" s="1">
        <v>726</v>
      </c>
      <c r="D1812" s="1" t="s">
        <v>11</v>
      </c>
      <c r="E1812" s="1" t="s">
        <v>8</v>
      </c>
      <c r="F1812" s="1">
        <f t="shared" si="64"/>
        <v>600</v>
      </c>
      <c r="G1812" s="5">
        <f t="shared" si="63"/>
        <v>1.21</v>
      </c>
    </row>
    <row r="1813" spans="1:7" ht="13">
      <c r="A1813" s="4" t="s">
        <v>118</v>
      </c>
      <c r="B1813" s="1">
        <v>6.09</v>
      </c>
      <c r="C1813" s="1">
        <v>719</v>
      </c>
      <c r="D1813" s="1" t="s">
        <v>47</v>
      </c>
      <c r="E1813" s="1" t="s">
        <v>24</v>
      </c>
      <c r="F1813" s="1">
        <f t="shared" si="64"/>
        <v>609</v>
      </c>
      <c r="G1813" s="5">
        <f t="shared" si="63"/>
        <v>1.180623973727422</v>
      </c>
    </row>
    <row r="1814" spans="1:7" ht="13">
      <c r="A1814" s="4" t="s">
        <v>118</v>
      </c>
      <c r="B1814" s="1">
        <v>6.88</v>
      </c>
      <c r="C1814" s="1">
        <v>753</v>
      </c>
      <c r="D1814" s="1" t="s">
        <v>53</v>
      </c>
      <c r="E1814" s="1" t="s">
        <v>16</v>
      </c>
      <c r="F1814" s="1">
        <f t="shared" si="64"/>
        <v>688</v>
      </c>
      <c r="G1814" s="5">
        <f t="shared" si="63"/>
        <v>1.0944767441860466</v>
      </c>
    </row>
    <row r="1815" spans="1:7" ht="13">
      <c r="A1815" s="4" t="s">
        <v>118</v>
      </c>
      <c r="B1815" s="1">
        <v>8.1999999999999993</v>
      </c>
      <c r="C1815" s="1">
        <v>890</v>
      </c>
      <c r="D1815" s="1" t="s">
        <v>43</v>
      </c>
      <c r="E1815" s="1" t="s">
        <v>25</v>
      </c>
      <c r="F1815" s="1">
        <f t="shared" si="64"/>
        <v>819.99999999999989</v>
      </c>
      <c r="G1815" s="5">
        <f t="shared" si="63"/>
        <v>1.0853658536585367</v>
      </c>
    </row>
    <row r="1816" spans="1:7" ht="13">
      <c r="A1816" s="4" t="s">
        <v>118</v>
      </c>
      <c r="B1816" s="1">
        <v>8.64</v>
      </c>
      <c r="C1816" s="1">
        <v>1000</v>
      </c>
      <c r="D1816" s="1" t="s">
        <v>11</v>
      </c>
      <c r="E1816" s="1" t="s">
        <v>9</v>
      </c>
      <c r="F1816" s="1">
        <f t="shared" si="64"/>
        <v>864</v>
      </c>
      <c r="G1816" s="5">
        <f t="shared" si="63"/>
        <v>1.1574074074074074</v>
      </c>
    </row>
    <row r="1817" spans="1:7" ht="13">
      <c r="A1817" s="4" t="s">
        <v>118</v>
      </c>
      <c r="B1817" s="1">
        <v>9</v>
      </c>
      <c r="C1817" s="1">
        <v>986</v>
      </c>
      <c r="D1817" s="1" t="s">
        <v>11</v>
      </c>
      <c r="E1817" s="1" t="s">
        <v>10</v>
      </c>
      <c r="F1817" s="1">
        <f t="shared" si="64"/>
        <v>900</v>
      </c>
      <c r="G1817" s="5">
        <f t="shared" si="63"/>
        <v>1.0955555555555556</v>
      </c>
    </row>
    <row r="1818" spans="1:7" ht="13">
      <c r="A1818" s="4" t="s">
        <v>118</v>
      </c>
      <c r="B1818" s="1">
        <v>8</v>
      </c>
      <c r="C1818" s="1">
        <v>768</v>
      </c>
      <c r="D1818" s="1" t="s">
        <v>33</v>
      </c>
      <c r="E1818" s="1" t="s">
        <v>17</v>
      </c>
      <c r="F1818" s="1">
        <f t="shared" si="64"/>
        <v>800</v>
      </c>
      <c r="G1818" s="5">
        <f t="shared" si="63"/>
        <v>0.96</v>
      </c>
    </row>
    <row r="1819" spans="1:7" ht="13">
      <c r="A1819" s="4" t="s">
        <v>118</v>
      </c>
      <c r="B1819" s="1">
        <v>2.87</v>
      </c>
      <c r="C1819" s="1">
        <v>364</v>
      </c>
      <c r="D1819" s="1" t="s">
        <v>11</v>
      </c>
      <c r="E1819" s="1" t="s">
        <v>8</v>
      </c>
      <c r="F1819" s="1">
        <f t="shared" si="64"/>
        <v>287</v>
      </c>
      <c r="G1819" s="5">
        <f t="shared" si="63"/>
        <v>1.2682926829268293</v>
      </c>
    </row>
    <row r="1820" spans="1:7" ht="13">
      <c r="A1820" s="4" t="s">
        <v>118</v>
      </c>
      <c r="B1820" s="1">
        <v>7.4</v>
      </c>
      <c r="C1820" s="1">
        <v>845</v>
      </c>
      <c r="D1820" s="1" t="s">
        <v>52</v>
      </c>
      <c r="E1820" s="1" t="s">
        <v>10</v>
      </c>
      <c r="F1820" s="1">
        <f t="shared" si="64"/>
        <v>740</v>
      </c>
      <c r="G1820" s="5">
        <f t="shared" si="63"/>
        <v>1.1418918918918919</v>
      </c>
    </row>
    <row r="1821" spans="1:7" ht="13">
      <c r="A1821" s="4" t="s">
        <v>118</v>
      </c>
      <c r="B1821" s="1">
        <v>6.9</v>
      </c>
      <c r="C1821" s="1">
        <v>672.29</v>
      </c>
      <c r="D1821" s="1" t="s">
        <v>34</v>
      </c>
      <c r="E1821" s="1" t="s">
        <v>21</v>
      </c>
      <c r="F1821" s="1">
        <f t="shared" si="64"/>
        <v>690</v>
      </c>
      <c r="G1821" s="5">
        <f t="shared" si="63"/>
        <v>0.97433333333333327</v>
      </c>
    </row>
    <row r="1822" spans="1:7" ht="13">
      <c r="A1822" s="4" t="s">
        <v>118</v>
      </c>
      <c r="B1822" s="1">
        <v>8.8000000000000007</v>
      </c>
      <c r="C1822" s="1">
        <v>940</v>
      </c>
      <c r="D1822" s="1" t="s">
        <v>11</v>
      </c>
      <c r="E1822" s="1" t="s">
        <v>17</v>
      </c>
      <c r="F1822" s="1">
        <f t="shared" si="64"/>
        <v>880.00000000000011</v>
      </c>
      <c r="G1822" s="5">
        <f t="shared" si="63"/>
        <v>1.0681818181818181</v>
      </c>
    </row>
    <row r="1823" spans="1:7" ht="13">
      <c r="A1823" s="4" t="s">
        <v>118</v>
      </c>
      <c r="B1823" s="1">
        <v>5.2</v>
      </c>
      <c r="C1823" s="1">
        <v>682</v>
      </c>
      <c r="D1823" s="1" t="s">
        <v>39</v>
      </c>
      <c r="E1823" s="1" t="s">
        <v>9</v>
      </c>
      <c r="F1823" s="1">
        <f t="shared" si="64"/>
        <v>520</v>
      </c>
      <c r="G1823" s="5">
        <f t="shared" si="63"/>
        <v>1.3115384615384615</v>
      </c>
    </row>
    <row r="1824" spans="1:7" ht="13">
      <c r="A1824" s="4" t="s">
        <v>118</v>
      </c>
      <c r="B1824" s="1">
        <v>4.32</v>
      </c>
      <c r="C1824" s="1">
        <v>419</v>
      </c>
      <c r="D1824" s="1" t="s">
        <v>39</v>
      </c>
      <c r="E1824" s="1" t="s">
        <v>15</v>
      </c>
      <c r="F1824" s="1">
        <f t="shared" si="64"/>
        <v>432</v>
      </c>
      <c r="G1824" s="5">
        <f t="shared" si="63"/>
        <v>0.96990740740740744</v>
      </c>
    </row>
    <row r="1825" spans="1:7" ht="13">
      <c r="A1825" s="4" t="s">
        <v>118</v>
      </c>
      <c r="B1825" s="1">
        <v>8.6</v>
      </c>
      <c r="C1825" s="1">
        <v>909</v>
      </c>
      <c r="D1825" s="1" t="s">
        <v>11</v>
      </c>
      <c r="E1825" s="1" t="s">
        <v>68</v>
      </c>
      <c r="F1825" s="1">
        <f t="shared" si="64"/>
        <v>860</v>
      </c>
      <c r="G1825" s="5">
        <f t="shared" si="63"/>
        <v>1.0569767441860465</v>
      </c>
    </row>
    <row r="1826" spans="1:7" ht="13">
      <c r="A1826" s="4" t="s">
        <v>118</v>
      </c>
      <c r="B1826" s="1">
        <v>7.74</v>
      </c>
      <c r="C1826" s="1">
        <v>845</v>
      </c>
      <c r="D1826" s="1" t="s">
        <v>11</v>
      </c>
      <c r="E1826" s="1" t="s">
        <v>30</v>
      </c>
      <c r="F1826" s="1">
        <f t="shared" si="64"/>
        <v>774</v>
      </c>
      <c r="G1826" s="5">
        <f t="shared" si="63"/>
        <v>1.0917312661498708</v>
      </c>
    </row>
    <row r="1827" spans="1:7" ht="13">
      <c r="A1827" s="4" t="s">
        <v>118</v>
      </c>
      <c r="B1827" s="1">
        <v>10</v>
      </c>
      <c r="C1827" s="1">
        <v>1046</v>
      </c>
      <c r="D1827" s="1" t="s">
        <v>45</v>
      </c>
      <c r="E1827" s="1" t="s">
        <v>15</v>
      </c>
      <c r="F1827" s="1">
        <f t="shared" si="64"/>
        <v>1000</v>
      </c>
      <c r="G1827" s="5">
        <f t="shared" si="63"/>
        <v>1.046</v>
      </c>
    </row>
    <row r="1828" spans="1:7" ht="13">
      <c r="A1828" s="4" t="s">
        <v>118</v>
      </c>
      <c r="B1828" s="1">
        <v>7</v>
      </c>
      <c r="C1828" s="1">
        <v>837.96</v>
      </c>
      <c r="D1828" s="1" t="s">
        <v>33</v>
      </c>
      <c r="E1828" s="1" t="s">
        <v>25</v>
      </c>
      <c r="F1828" s="1">
        <f t="shared" si="64"/>
        <v>700</v>
      </c>
      <c r="G1828" s="5">
        <f t="shared" si="63"/>
        <v>1.1970857142857143</v>
      </c>
    </row>
    <row r="1829" spans="1:7" ht="13">
      <c r="A1829" s="4" t="s">
        <v>118</v>
      </c>
      <c r="B1829" s="1">
        <v>5.81</v>
      </c>
      <c r="C1829" s="1">
        <v>657</v>
      </c>
      <c r="D1829" s="1" t="s">
        <v>38</v>
      </c>
      <c r="E1829" s="1" t="s">
        <v>8</v>
      </c>
      <c r="F1829" s="1">
        <f t="shared" si="64"/>
        <v>581</v>
      </c>
      <c r="G1829" s="5">
        <f t="shared" si="63"/>
        <v>1.1308089500860585</v>
      </c>
    </row>
    <row r="1830" spans="1:7" ht="13">
      <c r="A1830" s="4" t="s">
        <v>118</v>
      </c>
      <c r="B1830" s="1">
        <v>8.1999999999999993</v>
      </c>
      <c r="C1830" s="1">
        <v>825</v>
      </c>
      <c r="D1830" s="1" t="s">
        <v>11</v>
      </c>
      <c r="E1830" s="1" t="s">
        <v>12</v>
      </c>
      <c r="F1830" s="1">
        <f t="shared" si="64"/>
        <v>819.99999999999989</v>
      </c>
      <c r="G1830" s="5">
        <f t="shared" si="63"/>
        <v>1.00609756097561</v>
      </c>
    </row>
    <row r="1831" spans="1:7" ht="13">
      <c r="A1831" s="4" t="s">
        <v>118</v>
      </c>
      <c r="B1831" s="1">
        <v>7.4</v>
      </c>
      <c r="C1831" s="1">
        <v>790</v>
      </c>
      <c r="D1831" s="1" t="s">
        <v>55</v>
      </c>
      <c r="E1831" s="1" t="s">
        <v>17</v>
      </c>
      <c r="F1831" s="1">
        <f t="shared" si="64"/>
        <v>740</v>
      </c>
      <c r="G1831" s="5">
        <f t="shared" si="63"/>
        <v>1.0675675675675675</v>
      </c>
    </row>
    <row r="1832" spans="1:7" ht="13">
      <c r="A1832" s="4" t="s">
        <v>118</v>
      </c>
      <c r="B1832" s="1">
        <v>6</v>
      </c>
      <c r="C1832" s="1">
        <v>497</v>
      </c>
      <c r="D1832" s="1" t="s">
        <v>33</v>
      </c>
      <c r="E1832" s="1" t="s">
        <v>15</v>
      </c>
      <c r="F1832" s="1">
        <f t="shared" si="64"/>
        <v>600</v>
      </c>
      <c r="G1832" s="5">
        <f t="shared" si="63"/>
        <v>0.82833333333333337</v>
      </c>
    </row>
    <row r="1833" spans="1:7" ht="13">
      <c r="A1833" s="4" t="s">
        <v>118</v>
      </c>
      <c r="B1833" s="1">
        <v>6.02</v>
      </c>
      <c r="C1833" s="1">
        <v>685</v>
      </c>
      <c r="D1833" s="1" t="s">
        <v>38</v>
      </c>
      <c r="E1833" s="1" t="s">
        <v>8</v>
      </c>
      <c r="F1833" s="1">
        <f t="shared" si="64"/>
        <v>602</v>
      </c>
      <c r="G1833" s="5">
        <f t="shared" si="63"/>
        <v>1.1378737541528239</v>
      </c>
    </row>
    <row r="1834" spans="1:7" ht="13">
      <c r="A1834" s="4" t="s">
        <v>118</v>
      </c>
      <c r="B1834" s="1">
        <v>7.76</v>
      </c>
      <c r="C1834" s="1">
        <v>914</v>
      </c>
      <c r="D1834" s="1" t="s">
        <v>11</v>
      </c>
      <c r="E1834" s="1" t="s">
        <v>16</v>
      </c>
      <c r="F1834" s="1">
        <f t="shared" si="64"/>
        <v>776</v>
      </c>
      <c r="G1834" s="5">
        <f t="shared" si="63"/>
        <v>1.1778350515463918</v>
      </c>
    </row>
    <row r="1835" spans="1:7" ht="13">
      <c r="A1835" s="4" t="s">
        <v>118</v>
      </c>
      <c r="B1835" s="1">
        <v>5.2</v>
      </c>
      <c r="C1835" s="1">
        <v>633</v>
      </c>
      <c r="D1835" s="1" t="s">
        <v>11</v>
      </c>
      <c r="E1835" s="1" t="s">
        <v>19</v>
      </c>
      <c r="F1835" s="1">
        <f t="shared" si="64"/>
        <v>520</v>
      </c>
      <c r="G1835" s="5">
        <f t="shared" si="63"/>
        <v>1.2173076923076922</v>
      </c>
    </row>
    <row r="1836" spans="1:7" ht="13">
      <c r="A1836" s="4" t="s">
        <v>118</v>
      </c>
      <c r="B1836" s="1">
        <v>7.29</v>
      </c>
      <c r="C1836" s="1">
        <v>749</v>
      </c>
      <c r="D1836" s="1" t="s">
        <v>11</v>
      </c>
      <c r="E1836" s="1" t="s">
        <v>27</v>
      </c>
      <c r="F1836" s="1">
        <f t="shared" si="64"/>
        <v>729</v>
      </c>
      <c r="G1836" s="5">
        <f t="shared" si="63"/>
        <v>1.0274348422496571</v>
      </c>
    </row>
    <row r="1837" spans="1:7" ht="13">
      <c r="A1837" s="4" t="s">
        <v>118</v>
      </c>
      <c r="B1837" s="1">
        <v>7.36</v>
      </c>
      <c r="C1837" s="1">
        <v>831</v>
      </c>
      <c r="D1837" s="1" t="s">
        <v>37</v>
      </c>
      <c r="E1837" s="1" t="s">
        <v>15</v>
      </c>
      <c r="F1837" s="1">
        <f t="shared" si="64"/>
        <v>736</v>
      </c>
      <c r="G1837" s="5">
        <f t="shared" si="63"/>
        <v>1.1290760869565217</v>
      </c>
    </row>
    <row r="1838" spans="1:7" ht="13">
      <c r="A1838" s="4" t="s">
        <v>118</v>
      </c>
      <c r="B1838" s="1">
        <v>6</v>
      </c>
      <c r="C1838" s="1">
        <v>701</v>
      </c>
      <c r="D1838" s="1" t="s">
        <v>53</v>
      </c>
      <c r="E1838" s="1" t="s">
        <v>22</v>
      </c>
      <c r="F1838" s="1">
        <f t="shared" si="64"/>
        <v>600</v>
      </c>
      <c r="G1838" s="5">
        <f t="shared" si="63"/>
        <v>1.1683333333333332</v>
      </c>
    </row>
    <row r="1839" spans="1:7" ht="13">
      <c r="A1839" s="4" t="s">
        <v>118</v>
      </c>
      <c r="B1839" s="1">
        <v>6</v>
      </c>
      <c r="C1839" s="1">
        <v>700</v>
      </c>
      <c r="D1839" s="1" t="s">
        <v>11</v>
      </c>
      <c r="E1839" s="1" t="s">
        <v>27</v>
      </c>
      <c r="F1839" s="1">
        <f t="shared" si="64"/>
        <v>600</v>
      </c>
      <c r="G1839" s="5">
        <f t="shared" si="63"/>
        <v>1.1666666666666667</v>
      </c>
    </row>
    <row r="1840" spans="1:7" ht="13">
      <c r="A1840" s="4" t="s">
        <v>118</v>
      </c>
      <c r="B1840" s="1">
        <v>8.8000000000000007</v>
      </c>
      <c r="C1840" s="1">
        <v>1000</v>
      </c>
      <c r="D1840" s="1" t="s">
        <v>53</v>
      </c>
      <c r="E1840" s="1" t="s">
        <v>8</v>
      </c>
      <c r="F1840" s="1">
        <f t="shared" si="64"/>
        <v>880.00000000000011</v>
      </c>
      <c r="G1840" s="5">
        <f t="shared" si="63"/>
        <v>1.1363636363636362</v>
      </c>
    </row>
    <row r="1841" spans="1:7" ht="13">
      <c r="A1841" s="4" t="s">
        <v>118</v>
      </c>
      <c r="B1841" s="1">
        <v>5.39</v>
      </c>
      <c r="C1841" s="1">
        <v>681</v>
      </c>
      <c r="D1841" s="1" t="s">
        <v>11</v>
      </c>
      <c r="E1841" s="1" t="s">
        <v>26</v>
      </c>
      <c r="F1841" s="1">
        <f t="shared" si="64"/>
        <v>539</v>
      </c>
      <c r="G1841" s="5">
        <f t="shared" si="63"/>
        <v>1.2634508348794062</v>
      </c>
    </row>
    <row r="1842" spans="1:7" ht="13">
      <c r="A1842" s="4" t="s">
        <v>118</v>
      </c>
      <c r="B1842" s="1">
        <v>8.6</v>
      </c>
      <c r="C1842" s="1">
        <v>850</v>
      </c>
      <c r="D1842" s="1" t="s">
        <v>53</v>
      </c>
      <c r="E1842" s="1" t="s">
        <v>17</v>
      </c>
      <c r="F1842" s="1">
        <f t="shared" si="64"/>
        <v>860</v>
      </c>
      <c r="G1842" s="5">
        <f t="shared" si="63"/>
        <v>0.98837209302325579</v>
      </c>
    </row>
    <row r="1843" spans="1:7" ht="13">
      <c r="A1843" s="4" t="s">
        <v>118</v>
      </c>
      <c r="B1843" s="1">
        <v>6</v>
      </c>
      <c r="C1843" s="1">
        <v>683</v>
      </c>
      <c r="D1843" s="1" t="s">
        <v>11</v>
      </c>
      <c r="E1843" s="1" t="s">
        <v>23</v>
      </c>
      <c r="F1843" s="1">
        <f t="shared" si="64"/>
        <v>600</v>
      </c>
      <c r="G1843" s="5">
        <f t="shared" si="63"/>
        <v>1.1383333333333334</v>
      </c>
    </row>
    <row r="1844" spans="1:7" ht="13">
      <c r="A1844" s="4" t="s">
        <v>118</v>
      </c>
      <c r="B1844" s="1">
        <v>6.9</v>
      </c>
      <c r="C1844" s="1">
        <v>766</v>
      </c>
      <c r="D1844" s="1" t="s">
        <v>33</v>
      </c>
      <c r="E1844" s="1" t="s">
        <v>16</v>
      </c>
      <c r="F1844" s="1">
        <f t="shared" si="64"/>
        <v>690</v>
      </c>
      <c r="G1844" s="5">
        <f t="shared" si="63"/>
        <v>1.1101449275362318</v>
      </c>
    </row>
    <row r="1845" spans="1:7" ht="13">
      <c r="A1845" s="4" t="s">
        <v>118</v>
      </c>
      <c r="B1845" s="1">
        <v>9.1999999999999993</v>
      </c>
      <c r="C1845" s="1">
        <v>955</v>
      </c>
      <c r="D1845" s="1" t="s">
        <v>37</v>
      </c>
      <c r="E1845" s="1" t="s">
        <v>18</v>
      </c>
      <c r="F1845" s="1">
        <f t="shared" si="64"/>
        <v>919.99999999999989</v>
      </c>
      <c r="G1845" s="5">
        <f t="shared" si="63"/>
        <v>1.0380434782608696</v>
      </c>
    </row>
    <row r="1846" spans="1:7" ht="13">
      <c r="A1846" s="4" t="s">
        <v>118</v>
      </c>
      <c r="B1846" s="1">
        <v>3.48</v>
      </c>
      <c r="C1846" s="1">
        <v>432</v>
      </c>
      <c r="D1846" s="1" t="s">
        <v>11</v>
      </c>
      <c r="E1846" s="1" t="s">
        <v>16</v>
      </c>
      <c r="F1846" s="1">
        <f t="shared" si="64"/>
        <v>348</v>
      </c>
      <c r="G1846" s="5">
        <f t="shared" si="63"/>
        <v>1.2413793103448276</v>
      </c>
    </row>
    <row r="1847" spans="1:7" ht="13">
      <c r="A1847" s="4" t="s">
        <v>118</v>
      </c>
      <c r="B1847" s="1">
        <v>9.1999999999999993</v>
      </c>
      <c r="C1847" s="1">
        <v>1005</v>
      </c>
      <c r="D1847" s="1" t="s">
        <v>43</v>
      </c>
      <c r="E1847" s="1" t="s">
        <v>14</v>
      </c>
      <c r="F1847" s="1">
        <f t="shared" si="64"/>
        <v>919.99999999999989</v>
      </c>
      <c r="G1847" s="5">
        <f t="shared" si="63"/>
        <v>1.0923913043478262</v>
      </c>
    </row>
    <row r="1848" spans="1:7" ht="13">
      <c r="A1848" s="4" t="s">
        <v>118</v>
      </c>
      <c r="B1848" s="1">
        <v>6.9</v>
      </c>
      <c r="C1848" s="1">
        <v>743</v>
      </c>
      <c r="D1848" s="1" t="s">
        <v>42</v>
      </c>
      <c r="E1848" s="1" t="s">
        <v>7</v>
      </c>
      <c r="F1848" s="1">
        <f t="shared" si="64"/>
        <v>690</v>
      </c>
      <c r="G1848" s="5">
        <f t="shared" si="63"/>
        <v>1.0768115942028986</v>
      </c>
    </row>
    <row r="1849" spans="1:7" ht="13">
      <c r="A1849" s="4" t="s">
        <v>118</v>
      </c>
      <c r="B1849" s="1">
        <v>5.3</v>
      </c>
      <c r="C1849" s="1">
        <v>601</v>
      </c>
      <c r="D1849" s="1" t="s">
        <v>11</v>
      </c>
      <c r="E1849" s="1" t="s">
        <v>21</v>
      </c>
      <c r="F1849" s="1">
        <f t="shared" si="64"/>
        <v>530</v>
      </c>
      <c r="G1849" s="5">
        <f t="shared" si="63"/>
        <v>1.1339622641509435</v>
      </c>
    </row>
    <row r="1850" spans="1:7" ht="13">
      <c r="A1850" s="4" t="s">
        <v>118</v>
      </c>
      <c r="B1850" s="1">
        <v>8</v>
      </c>
      <c r="C1850" s="1">
        <v>961</v>
      </c>
      <c r="D1850" s="1" t="s">
        <v>11</v>
      </c>
      <c r="E1850" s="1" t="s">
        <v>7</v>
      </c>
      <c r="F1850" s="1">
        <f t="shared" si="64"/>
        <v>800</v>
      </c>
      <c r="G1850" s="5">
        <f t="shared" si="63"/>
        <v>1.2012499999999999</v>
      </c>
    </row>
    <row r="1851" spans="1:7" ht="13">
      <c r="A1851" s="4" t="s">
        <v>118</v>
      </c>
      <c r="B1851" s="1">
        <v>4.2</v>
      </c>
      <c r="C1851" s="1">
        <v>445</v>
      </c>
      <c r="D1851" s="1" t="s">
        <v>64</v>
      </c>
      <c r="E1851" s="1" t="s">
        <v>22</v>
      </c>
      <c r="F1851" s="1">
        <f t="shared" si="64"/>
        <v>420</v>
      </c>
      <c r="G1851" s="5">
        <f t="shared" si="63"/>
        <v>1.0595238095238095</v>
      </c>
    </row>
    <row r="1852" spans="1:7" ht="13">
      <c r="A1852" s="4" t="s">
        <v>118</v>
      </c>
      <c r="B1852" s="1">
        <v>6.96</v>
      </c>
      <c r="C1852" s="1">
        <v>779</v>
      </c>
      <c r="D1852" s="1" t="s">
        <v>11</v>
      </c>
      <c r="E1852" s="1" t="s">
        <v>8</v>
      </c>
      <c r="F1852" s="1">
        <f t="shared" si="64"/>
        <v>696</v>
      </c>
      <c r="G1852" s="5">
        <f t="shared" si="63"/>
        <v>1.1192528735632183</v>
      </c>
    </row>
    <row r="1853" spans="1:7" ht="13">
      <c r="A1853" s="4" t="s">
        <v>118</v>
      </c>
      <c r="B1853" s="1">
        <v>8.6999999999999993</v>
      </c>
      <c r="C1853" s="1">
        <v>1007</v>
      </c>
      <c r="D1853" s="1" t="s">
        <v>11</v>
      </c>
      <c r="E1853" s="1" t="s">
        <v>24</v>
      </c>
      <c r="F1853" s="1">
        <f t="shared" si="64"/>
        <v>869.99999999999989</v>
      </c>
      <c r="G1853" s="5">
        <f t="shared" si="63"/>
        <v>1.1574712643678162</v>
      </c>
    </row>
    <row r="1854" spans="1:7" ht="13">
      <c r="A1854" s="4" t="s">
        <v>118</v>
      </c>
      <c r="B1854" s="1">
        <v>7.92</v>
      </c>
      <c r="C1854" s="1">
        <v>767</v>
      </c>
      <c r="D1854" s="1" t="s">
        <v>44</v>
      </c>
      <c r="E1854" s="1" t="s">
        <v>15</v>
      </c>
      <c r="F1854" s="1">
        <f t="shared" si="64"/>
        <v>792</v>
      </c>
      <c r="G1854" s="5">
        <f t="shared" si="63"/>
        <v>0.96843434343434343</v>
      </c>
    </row>
    <row r="1855" spans="1:7" ht="13">
      <c r="A1855" s="4" t="s">
        <v>118</v>
      </c>
      <c r="B1855" s="1">
        <v>7</v>
      </c>
      <c r="C1855" s="1">
        <v>705</v>
      </c>
      <c r="D1855" s="1" t="s">
        <v>40</v>
      </c>
      <c r="E1855" s="1" t="s">
        <v>17</v>
      </c>
      <c r="F1855" s="1">
        <f t="shared" si="64"/>
        <v>700</v>
      </c>
      <c r="G1855" s="5">
        <f t="shared" si="63"/>
        <v>1.0071428571428571</v>
      </c>
    </row>
    <row r="1856" spans="1:7" ht="13">
      <c r="A1856" s="4" t="s">
        <v>118</v>
      </c>
      <c r="B1856" s="1">
        <v>6.9</v>
      </c>
      <c r="C1856" s="1">
        <v>687</v>
      </c>
      <c r="D1856" s="1" t="s">
        <v>11</v>
      </c>
      <c r="E1856" s="1" t="s">
        <v>26</v>
      </c>
      <c r="F1856" s="1">
        <f t="shared" si="64"/>
        <v>690</v>
      </c>
      <c r="G1856" s="5">
        <f t="shared" si="63"/>
        <v>0.9956521739130435</v>
      </c>
    </row>
    <row r="1857" spans="1:7" ht="13">
      <c r="A1857" s="4" t="s">
        <v>118</v>
      </c>
      <c r="B1857" s="1">
        <v>7.83</v>
      </c>
      <c r="C1857" s="1">
        <v>899</v>
      </c>
      <c r="D1857" s="1" t="s">
        <v>35</v>
      </c>
      <c r="E1857" s="1" t="s">
        <v>23</v>
      </c>
      <c r="F1857" s="1">
        <f t="shared" si="64"/>
        <v>783</v>
      </c>
      <c r="G1857" s="5">
        <f t="shared" si="63"/>
        <v>1.1481481481481481</v>
      </c>
    </row>
    <row r="1858" spans="1:7" ht="13">
      <c r="A1858" s="4" t="s">
        <v>118</v>
      </c>
      <c r="B1858" s="1">
        <v>7.4</v>
      </c>
      <c r="C1858" s="1">
        <v>810</v>
      </c>
      <c r="D1858" s="1" t="s">
        <v>11</v>
      </c>
      <c r="E1858" s="1" t="s">
        <v>20</v>
      </c>
      <c r="F1858" s="1">
        <f t="shared" si="64"/>
        <v>740</v>
      </c>
      <c r="G1858" s="5">
        <f t="shared" ref="G1858:G1921" si="65">C1858/F1858</f>
        <v>1.0945945945945945</v>
      </c>
    </row>
    <row r="1859" spans="1:7" ht="13">
      <c r="A1859" s="4" t="s">
        <v>118</v>
      </c>
      <c r="B1859" s="1">
        <v>5.0999999999999996</v>
      </c>
      <c r="C1859" s="1">
        <v>753</v>
      </c>
      <c r="D1859" s="1" t="s">
        <v>42</v>
      </c>
      <c r="E1859" s="1" t="s">
        <v>21</v>
      </c>
      <c r="F1859" s="1">
        <f t="shared" ref="F1859:F1922" si="66">B1859*100</f>
        <v>509.99999999999994</v>
      </c>
      <c r="G1859" s="5">
        <f t="shared" si="65"/>
        <v>1.4764705882352942</v>
      </c>
    </row>
    <row r="1860" spans="1:7" ht="13">
      <c r="A1860" s="4" t="s">
        <v>118</v>
      </c>
      <c r="B1860" s="1">
        <v>7.74</v>
      </c>
      <c r="C1860" s="1">
        <v>825</v>
      </c>
      <c r="D1860" s="1" t="s">
        <v>70</v>
      </c>
      <c r="E1860" s="1" t="s">
        <v>23</v>
      </c>
      <c r="F1860" s="1">
        <f t="shared" si="66"/>
        <v>774</v>
      </c>
      <c r="G1860" s="5">
        <f t="shared" si="65"/>
        <v>1.0658914728682169</v>
      </c>
    </row>
    <row r="1861" spans="1:7" ht="13">
      <c r="A1861" s="4" t="s">
        <v>118</v>
      </c>
      <c r="B1861" s="1">
        <v>5</v>
      </c>
      <c r="C1861" s="1">
        <v>616</v>
      </c>
      <c r="D1861" s="1" t="s">
        <v>43</v>
      </c>
      <c r="E1861" s="1" t="s">
        <v>8</v>
      </c>
      <c r="F1861" s="1">
        <f t="shared" si="66"/>
        <v>500</v>
      </c>
      <c r="G1861" s="5">
        <f t="shared" si="65"/>
        <v>1.232</v>
      </c>
    </row>
    <row r="1862" spans="1:7" ht="13">
      <c r="A1862" s="4" t="s">
        <v>118</v>
      </c>
      <c r="B1862" s="1">
        <v>6.88</v>
      </c>
      <c r="C1862" s="1">
        <v>215</v>
      </c>
      <c r="D1862" s="1" t="s">
        <v>11</v>
      </c>
      <c r="E1862" s="1" t="s">
        <v>10</v>
      </c>
      <c r="F1862" s="1">
        <f t="shared" si="66"/>
        <v>688</v>
      </c>
      <c r="G1862" s="5">
        <f t="shared" si="65"/>
        <v>0.3125</v>
      </c>
    </row>
    <row r="1863" spans="1:7" ht="13">
      <c r="A1863" s="4" t="s">
        <v>118</v>
      </c>
      <c r="B1863" s="1">
        <v>8.6999999999999993</v>
      </c>
      <c r="C1863" s="1">
        <v>1017</v>
      </c>
      <c r="D1863" s="1" t="s">
        <v>11</v>
      </c>
      <c r="E1863" s="1" t="s">
        <v>10</v>
      </c>
      <c r="F1863" s="1">
        <f t="shared" si="66"/>
        <v>869.99999999999989</v>
      </c>
      <c r="G1863" s="5">
        <f t="shared" si="65"/>
        <v>1.1689655172413795</v>
      </c>
    </row>
    <row r="1864" spans="1:7" ht="13">
      <c r="A1864" s="4" t="s">
        <v>118</v>
      </c>
      <c r="B1864" s="1">
        <v>3.68</v>
      </c>
      <c r="C1864" s="1">
        <v>480</v>
      </c>
      <c r="D1864" s="1" t="s">
        <v>11</v>
      </c>
      <c r="E1864" s="1" t="s">
        <v>26</v>
      </c>
      <c r="F1864" s="1">
        <f t="shared" si="66"/>
        <v>368</v>
      </c>
      <c r="G1864" s="5">
        <f t="shared" si="65"/>
        <v>1.3043478260869565</v>
      </c>
    </row>
    <row r="1865" spans="1:7" ht="13">
      <c r="A1865" s="4" t="s">
        <v>118</v>
      </c>
      <c r="B1865" s="1">
        <v>7.56</v>
      </c>
      <c r="C1865" s="1">
        <v>924</v>
      </c>
      <c r="D1865" s="1" t="s">
        <v>11</v>
      </c>
      <c r="E1865" s="1" t="s">
        <v>7</v>
      </c>
      <c r="F1865" s="1">
        <f t="shared" si="66"/>
        <v>756</v>
      </c>
      <c r="G1865" s="5">
        <f t="shared" si="65"/>
        <v>1.2222222222222223</v>
      </c>
    </row>
    <row r="1866" spans="1:7" ht="13">
      <c r="A1866" s="4" t="s">
        <v>118</v>
      </c>
      <c r="B1866" s="1">
        <v>7.56</v>
      </c>
      <c r="C1866" s="1">
        <v>802</v>
      </c>
      <c r="D1866" s="1" t="s">
        <v>11</v>
      </c>
      <c r="E1866" s="1" t="s">
        <v>25</v>
      </c>
      <c r="F1866" s="1">
        <f t="shared" si="66"/>
        <v>756</v>
      </c>
      <c r="G1866" s="5">
        <f t="shared" si="65"/>
        <v>1.0608465608465609</v>
      </c>
    </row>
    <row r="1867" spans="1:7" ht="13">
      <c r="A1867" s="4" t="s">
        <v>118</v>
      </c>
      <c r="B1867" s="1">
        <v>6.96</v>
      </c>
      <c r="C1867" s="1">
        <v>756.96</v>
      </c>
      <c r="D1867" s="1" t="s">
        <v>38</v>
      </c>
      <c r="E1867" s="1" t="s">
        <v>15</v>
      </c>
      <c r="F1867" s="1">
        <f t="shared" si="66"/>
        <v>696</v>
      </c>
      <c r="G1867" s="5">
        <f t="shared" si="65"/>
        <v>1.0875862068965518</v>
      </c>
    </row>
    <row r="1868" spans="1:7" ht="13">
      <c r="A1868" s="4" t="s">
        <v>118</v>
      </c>
      <c r="B1868" s="1">
        <v>6.7</v>
      </c>
      <c r="C1868" s="1">
        <v>804</v>
      </c>
      <c r="D1868" s="1" t="s">
        <v>11</v>
      </c>
      <c r="E1868" s="1" t="s">
        <v>16</v>
      </c>
      <c r="F1868" s="1">
        <f t="shared" si="66"/>
        <v>670</v>
      </c>
      <c r="G1868" s="5">
        <f t="shared" si="65"/>
        <v>1.2</v>
      </c>
    </row>
    <row r="1869" spans="1:7" ht="13">
      <c r="A1869" s="4" t="s">
        <v>118</v>
      </c>
      <c r="B1869" s="1">
        <v>7.6</v>
      </c>
      <c r="C1869" s="1">
        <v>879</v>
      </c>
      <c r="D1869" s="1" t="s">
        <v>11</v>
      </c>
      <c r="E1869" s="1" t="s">
        <v>17</v>
      </c>
      <c r="F1869" s="1">
        <f t="shared" si="66"/>
        <v>760</v>
      </c>
      <c r="G1869" s="5">
        <f t="shared" si="65"/>
        <v>1.1565789473684212</v>
      </c>
    </row>
    <row r="1870" spans="1:7" ht="13">
      <c r="A1870" s="4" t="s">
        <v>118</v>
      </c>
      <c r="B1870" s="1">
        <v>7.7</v>
      </c>
      <c r="C1870" s="1">
        <v>831</v>
      </c>
      <c r="D1870" s="1" t="s">
        <v>11</v>
      </c>
      <c r="E1870" s="1" t="s">
        <v>49</v>
      </c>
      <c r="F1870" s="1">
        <f t="shared" si="66"/>
        <v>770</v>
      </c>
      <c r="G1870" s="5">
        <f t="shared" si="65"/>
        <v>1.0792207792207793</v>
      </c>
    </row>
    <row r="1871" spans="1:7" ht="13">
      <c r="A1871" s="4" t="s">
        <v>118</v>
      </c>
      <c r="B1871" s="1">
        <v>5.81</v>
      </c>
      <c r="C1871" s="1">
        <v>715</v>
      </c>
      <c r="D1871" s="1" t="s">
        <v>38</v>
      </c>
      <c r="E1871" s="1" t="s">
        <v>8</v>
      </c>
      <c r="F1871" s="1">
        <f t="shared" si="66"/>
        <v>581</v>
      </c>
      <c r="G1871" s="5">
        <f t="shared" si="65"/>
        <v>1.2306368330464716</v>
      </c>
    </row>
    <row r="1872" spans="1:7" ht="13">
      <c r="A1872" s="4" t="s">
        <v>118</v>
      </c>
      <c r="B1872" s="1">
        <v>7.7</v>
      </c>
      <c r="C1872" s="1">
        <v>842</v>
      </c>
      <c r="D1872" s="1" t="s">
        <v>39</v>
      </c>
      <c r="E1872" s="1" t="s">
        <v>16</v>
      </c>
      <c r="F1872" s="1">
        <f t="shared" si="66"/>
        <v>770</v>
      </c>
      <c r="G1872" s="5">
        <f t="shared" si="65"/>
        <v>1.0935064935064935</v>
      </c>
    </row>
    <row r="1873" spans="1:7" ht="13">
      <c r="A1873" s="4" t="s">
        <v>118</v>
      </c>
      <c r="B1873" s="1">
        <v>6.8</v>
      </c>
      <c r="C1873" s="1">
        <v>792</v>
      </c>
      <c r="D1873" s="1" t="s">
        <v>11</v>
      </c>
      <c r="E1873" s="1" t="s">
        <v>24</v>
      </c>
      <c r="F1873" s="1">
        <f t="shared" si="66"/>
        <v>680</v>
      </c>
      <c r="G1873" s="5">
        <f t="shared" si="65"/>
        <v>1.1647058823529413</v>
      </c>
    </row>
    <row r="1874" spans="1:7" ht="13">
      <c r="A1874" s="4" t="s">
        <v>118</v>
      </c>
      <c r="B1874" s="1">
        <v>6.88</v>
      </c>
      <c r="C1874" s="1">
        <v>825</v>
      </c>
      <c r="D1874" s="1" t="s">
        <v>43</v>
      </c>
      <c r="E1874" s="1" t="s">
        <v>8</v>
      </c>
      <c r="F1874" s="1">
        <f t="shared" si="66"/>
        <v>688</v>
      </c>
      <c r="G1874" s="5">
        <f t="shared" si="65"/>
        <v>1.1991279069767442</v>
      </c>
    </row>
    <row r="1875" spans="1:7" ht="13">
      <c r="A1875" s="4" t="s">
        <v>118</v>
      </c>
      <c r="B1875" s="1">
        <v>6.4</v>
      </c>
      <c r="C1875" s="1">
        <v>779</v>
      </c>
      <c r="D1875" s="1" t="s">
        <v>85</v>
      </c>
      <c r="E1875" s="1" t="s">
        <v>8</v>
      </c>
      <c r="F1875" s="1">
        <f t="shared" si="66"/>
        <v>640</v>
      </c>
      <c r="G1875" s="5">
        <f t="shared" si="65"/>
        <v>1.2171875000000001</v>
      </c>
    </row>
    <row r="1876" spans="1:7" ht="13">
      <c r="A1876" s="4" t="s">
        <v>118</v>
      </c>
      <c r="B1876" s="1">
        <v>7.74</v>
      </c>
      <c r="C1876" s="1">
        <v>873</v>
      </c>
      <c r="D1876" s="1" t="s">
        <v>33</v>
      </c>
      <c r="E1876" s="1" t="s">
        <v>16</v>
      </c>
      <c r="F1876" s="1">
        <f t="shared" si="66"/>
        <v>774</v>
      </c>
      <c r="G1876" s="5">
        <f t="shared" si="65"/>
        <v>1.1279069767441861</v>
      </c>
    </row>
    <row r="1877" spans="1:7" ht="13">
      <c r="A1877" s="4" t="s">
        <v>118</v>
      </c>
      <c r="B1877" s="1">
        <v>4.4000000000000004</v>
      </c>
      <c r="C1877" s="1">
        <v>525</v>
      </c>
      <c r="D1877" s="1" t="s">
        <v>11</v>
      </c>
      <c r="E1877" s="1" t="s">
        <v>12</v>
      </c>
      <c r="F1877" s="1">
        <f t="shared" si="66"/>
        <v>440.00000000000006</v>
      </c>
      <c r="G1877" s="5">
        <f t="shared" si="65"/>
        <v>1.1931818181818181</v>
      </c>
    </row>
    <row r="1878" spans="1:7" ht="13">
      <c r="A1878" s="4" t="s">
        <v>118</v>
      </c>
      <c r="B1878" s="1">
        <v>5</v>
      </c>
      <c r="C1878" s="1">
        <v>487</v>
      </c>
      <c r="D1878" s="1" t="s">
        <v>11</v>
      </c>
      <c r="E1878" s="1" t="s">
        <v>20</v>
      </c>
      <c r="F1878" s="1">
        <f t="shared" si="66"/>
        <v>500</v>
      </c>
      <c r="G1878" s="5">
        <f t="shared" si="65"/>
        <v>0.97399999999999998</v>
      </c>
    </row>
    <row r="1879" spans="1:7" ht="13">
      <c r="A1879" s="4" t="s">
        <v>118</v>
      </c>
      <c r="B1879" s="1">
        <v>5.3949999999999996</v>
      </c>
      <c r="C1879" s="1">
        <v>595</v>
      </c>
      <c r="D1879" s="1" t="s">
        <v>45</v>
      </c>
      <c r="E1879" s="1" t="s">
        <v>15</v>
      </c>
      <c r="F1879" s="1">
        <f t="shared" si="66"/>
        <v>539.5</v>
      </c>
      <c r="G1879" s="5">
        <f t="shared" si="65"/>
        <v>1.1028730305838739</v>
      </c>
    </row>
    <row r="1880" spans="1:7" ht="13">
      <c r="A1880" s="4" t="s">
        <v>118</v>
      </c>
      <c r="B1880" s="1">
        <v>7.43</v>
      </c>
      <c r="C1880" s="1">
        <v>845</v>
      </c>
      <c r="D1880" s="1" t="s">
        <v>11</v>
      </c>
      <c r="E1880" s="1" t="s">
        <v>32</v>
      </c>
      <c r="F1880" s="1">
        <f t="shared" si="66"/>
        <v>743</v>
      </c>
      <c r="G1880" s="5">
        <f t="shared" si="65"/>
        <v>1.1372812920592195</v>
      </c>
    </row>
    <row r="1881" spans="1:7" ht="13">
      <c r="A1881" s="4" t="s">
        <v>118</v>
      </c>
      <c r="B1881" s="1">
        <v>7.56</v>
      </c>
      <c r="C1881" s="1">
        <v>788</v>
      </c>
      <c r="D1881" s="1" t="s">
        <v>11</v>
      </c>
      <c r="E1881" s="1" t="s">
        <v>27</v>
      </c>
      <c r="F1881" s="1">
        <f t="shared" si="66"/>
        <v>756</v>
      </c>
      <c r="G1881" s="5">
        <f t="shared" si="65"/>
        <v>1.0423280423280423</v>
      </c>
    </row>
    <row r="1882" spans="1:7" ht="13">
      <c r="A1882" s="4" t="s">
        <v>118</v>
      </c>
      <c r="B1882" s="1">
        <v>6.5</v>
      </c>
      <c r="C1882" s="1">
        <v>749</v>
      </c>
      <c r="D1882" s="1" t="s">
        <v>43</v>
      </c>
      <c r="E1882" s="1" t="s">
        <v>25</v>
      </c>
      <c r="F1882" s="1">
        <f t="shared" si="66"/>
        <v>650</v>
      </c>
      <c r="G1882" s="5">
        <f t="shared" si="65"/>
        <v>1.1523076923076923</v>
      </c>
    </row>
    <row r="1883" spans="1:7" ht="13">
      <c r="A1883" s="4" t="s">
        <v>118</v>
      </c>
      <c r="B1883" s="1">
        <v>5.8</v>
      </c>
      <c r="C1883" s="1">
        <v>633</v>
      </c>
      <c r="D1883" s="1" t="s">
        <v>40</v>
      </c>
      <c r="E1883" s="1" t="s">
        <v>7</v>
      </c>
      <c r="F1883" s="1">
        <f t="shared" si="66"/>
        <v>580</v>
      </c>
      <c r="G1883" s="5">
        <f t="shared" si="65"/>
        <v>1.0913793103448275</v>
      </c>
    </row>
    <row r="1884" spans="1:7" ht="13">
      <c r="A1884" s="4" t="s">
        <v>118</v>
      </c>
      <c r="B1884" s="1">
        <v>7.5</v>
      </c>
      <c r="C1884" s="1">
        <v>830</v>
      </c>
      <c r="D1884" s="1" t="s">
        <v>39</v>
      </c>
      <c r="E1884" s="1" t="s">
        <v>9</v>
      </c>
      <c r="F1884" s="1">
        <f t="shared" si="66"/>
        <v>750</v>
      </c>
      <c r="G1884" s="5">
        <f t="shared" si="65"/>
        <v>1.1066666666666667</v>
      </c>
    </row>
    <row r="1885" spans="1:7" ht="13">
      <c r="A1885" s="4" t="s">
        <v>118</v>
      </c>
      <c r="B1885" s="1">
        <v>7</v>
      </c>
      <c r="C1885" s="1">
        <v>830</v>
      </c>
      <c r="D1885" s="1" t="s">
        <v>36</v>
      </c>
      <c r="E1885" s="1" t="s">
        <v>15</v>
      </c>
      <c r="F1885" s="1">
        <f t="shared" si="66"/>
        <v>700</v>
      </c>
      <c r="G1885" s="5">
        <f t="shared" si="65"/>
        <v>1.1857142857142857</v>
      </c>
    </row>
    <row r="1886" spans="1:7" ht="13">
      <c r="A1886" s="4" t="s">
        <v>118</v>
      </c>
      <c r="B1886" s="1">
        <v>5.12</v>
      </c>
      <c r="C1886" s="1">
        <v>583</v>
      </c>
      <c r="D1886" s="1" t="s">
        <v>11</v>
      </c>
      <c r="E1886" s="1" t="s">
        <v>16</v>
      </c>
      <c r="F1886" s="1">
        <f t="shared" si="66"/>
        <v>512</v>
      </c>
      <c r="G1886" s="5">
        <f t="shared" si="65"/>
        <v>1.138671875</v>
      </c>
    </row>
    <row r="1887" spans="1:7" ht="13">
      <c r="A1887" s="4" t="s">
        <v>118</v>
      </c>
      <c r="B1887" s="1">
        <v>7.8</v>
      </c>
      <c r="C1887" s="1">
        <v>856</v>
      </c>
      <c r="D1887" s="1" t="s">
        <v>11</v>
      </c>
      <c r="E1887" s="1" t="s">
        <v>18</v>
      </c>
      <c r="F1887" s="1">
        <f t="shared" si="66"/>
        <v>780</v>
      </c>
      <c r="G1887" s="5">
        <f t="shared" si="65"/>
        <v>1.0974358974358975</v>
      </c>
    </row>
    <row r="1888" spans="1:7" ht="13">
      <c r="A1888" s="4" t="s">
        <v>118</v>
      </c>
      <c r="B1888" s="1">
        <v>6.4</v>
      </c>
      <c r="C1888" s="1">
        <v>687</v>
      </c>
      <c r="D1888" s="1" t="s">
        <v>42</v>
      </c>
      <c r="E1888" s="1" t="s">
        <v>18</v>
      </c>
      <c r="F1888" s="1">
        <f t="shared" si="66"/>
        <v>640</v>
      </c>
      <c r="G1888" s="5">
        <f t="shared" si="65"/>
        <v>1.0734375</v>
      </c>
    </row>
    <row r="1889" spans="1:7" ht="13">
      <c r="A1889" s="4" t="s">
        <v>118</v>
      </c>
      <c r="B1889" s="1">
        <v>5</v>
      </c>
      <c r="C1889" s="1">
        <v>611</v>
      </c>
      <c r="D1889" s="1" t="s">
        <v>47</v>
      </c>
      <c r="E1889" s="1" t="s">
        <v>19</v>
      </c>
      <c r="F1889" s="1">
        <f t="shared" si="66"/>
        <v>500</v>
      </c>
      <c r="G1889" s="5">
        <f t="shared" si="65"/>
        <v>1.222</v>
      </c>
    </row>
    <row r="1890" spans="1:7" ht="13">
      <c r="A1890" s="4" t="s">
        <v>118</v>
      </c>
      <c r="B1890" s="1">
        <v>6</v>
      </c>
      <c r="C1890" s="1">
        <v>589</v>
      </c>
      <c r="D1890" s="1" t="s">
        <v>40</v>
      </c>
      <c r="E1890" s="1" t="s">
        <v>8</v>
      </c>
      <c r="F1890" s="1">
        <f t="shared" si="66"/>
        <v>600</v>
      </c>
      <c r="G1890" s="5">
        <f t="shared" si="65"/>
        <v>0.98166666666666669</v>
      </c>
    </row>
    <row r="1891" spans="1:7" ht="13">
      <c r="A1891" s="4" t="s">
        <v>118</v>
      </c>
      <c r="B1891" s="1">
        <v>9.1300000000000008</v>
      </c>
      <c r="C1891" s="1">
        <v>938</v>
      </c>
      <c r="D1891" s="1" t="s">
        <v>11</v>
      </c>
      <c r="E1891" s="1" t="s">
        <v>20</v>
      </c>
      <c r="F1891" s="1">
        <f t="shared" si="66"/>
        <v>913.00000000000011</v>
      </c>
      <c r="G1891" s="5">
        <f t="shared" si="65"/>
        <v>1.0273822562979189</v>
      </c>
    </row>
    <row r="1892" spans="1:7" ht="13">
      <c r="A1892" s="4" t="s">
        <v>118</v>
      </c>
      <c r="B1892" s="1">
        <v>6</v>
      </c>
      <c r="C1892" s="1">
        <v>655</v>
      </c>
      <c r="D1892" s="1" t="s">
        <v>11</v>
      </c>
      <c r="E1892" s="1" t="s">
        <v>12</v>
      </c>
      <c r="F1892" s="1">
        <f t="shared" si="66"/>
        <v>600</v>
      </c>
      <c r="G1892" s="5">
        <f t="shared" si="65"/>
        <v>1.0916666666666666</v>
      </c>
    </row>
    <row r="1893" spans="1:7" ht="13">
      <c r="A1893" s="4" t="s">
        <v>118</v>
      </c>
      <c r="B1893" s="1">
        <v>7.8</v>
      </c>
      <c r="C1893" s="1">
        <v>883</v>
      </c>
      <c r="D1893" s="1" t="s">
        <v>11</v>
      </c>
      <c r="E1893" s="1" t="s">
        <v>8</v>
      </c>
      <c r="F1893" s="1">
        <f t="shared" si="66"/>
        <v>780</v>
      </c>
      <c r="G1893" s="5">
        <f t="shared" si="65"/>
        <v>1.132051282051282</v>
      </c>
    </row>
    <row r="1894" spans="1:7" ht="13">
      <c r="A1894" s="4" t="s">
        <v>118</v>
      </c>
      <c r="B1894" s="1">
        <v>6.4</v>
      </c>
      <c r="C1894" s="1">
        <v>755</v>
      </c>
      <c r="D1894" s="1" t="s">
        <v>11</v>
      </c>
      <c r="E1894" s="1" t="s">
        <v>32</v>
      </c>
      <c r="F1894" s="1">
        <f t="shared" si="66"/>
        <v>640</v>
      </c>
      <c r="G1894" s="5">
        <f t="shared" si="65"/>
        <v>1.1796875</v>
      </c>
    </row>
    <row r="1895" spans="1:7" ht="13">
      <c r="A1895" s="4" t="s">
        <v>118</v>
      </c>
      <c r="B1895" s="1">
        <v>5.16</v>
      </c>
      <c r="C1895" s="1">
        <v>576</v>
      </c>
      <c r="D1895" s="1" t="s">
        <v>39</v>
      </c>
      <c r="E1895" s="1" t="s">
        <v>15</v>
      </c>
      <c r="F1895" s="1">
        <f t="shared" si="66"/>
        <v>516</v>
      </c>
      <c r="G1895" s="5">
        <f t="shared" si="65"/>
        <v>1.1162790697674418</v>
      </c>
    </row>
    <row r="1896" spans="1:7" ht="13">
      <c r="A1896" s="4" t="s">
        <v>118</v>
      </c>
      <c r="B1896" s="1">
        <v>7.2</v>
      </c>
      <c r="C1896" s="1">
        <v>835</v>
      </c>
      <c r="D1896" s="1" t="s">
        <v>11</v>
      </c>
      <c r="E1896" s="1" t="s">
        <v>10</v>
      </c>
      <c r="F1896" s="1">
        <f t="shared" si="66"/>
        <v>720</v>
      </c>
      <c r="G1896" s="5">
        <f t="shared" si="65"/>
        <v>1.1597222222222223</v>
      </c>
    </row>
    <row r="1897" spans="1:7" ht="13">
      <c r="A1897" s="4" t="s">
        <v>118</v>
      </c>
      <c r="B1897" s="1">
        <v>6.8</v>
      </c>
      <c r="C1897" s="1">
        <v>821</v>
      </c>
      <c r="D1897" s="1" t="s">
        <v>11</v>
      </c>
      <c r="E1897" s="1" t="s">
        <v>23</v>
      </c>
      <c r="F1897" s="1">
        <f t="shared" si="66"/>
        <v>680</v>
      </c>
      <c r="G1897" s="5">
        <f t="shared" si="65"/>
        <v>1.2073529411764705</v>
      </c>
    </row>
    <row r="1898" spans="1:7" ht="13">
      <c r="A1898" s="4" t="s">
        <v>118</v>
      </c>
      <c r="B1898" s="1">
        <v>7.29</v>
      </c>
      <c r="C1898" s="1">
        <v>823</v>
      </c>
      <c r="D1898" s="1" t="s">
        <v>11</v>
      </c>
      <c r="E1898" s="1" t="s">
        <v>7</v>
      </c>
      <c r="F1898" s="1">
        <f t="shared" si="66"/>
        <v>729</v>
      </c>
      <c r="G1898" s="5">
        <f t="shared" si="65"/>
        <v>1.1289437585733881</v>
      </c>
    </row>
    <row r="1899" spans="1:7" ht="13">
      <c r="A1899" s="4" t="s">
        <v>118</v>
      </c>
      <c r="B1899" s="1">
        <v>5</v>
      </c>
      <c r="C1899" s="1">
        <v>380</v>
      </c>
      <c r="D1899" s="1" t="s">
        <v>35</v>
      </c>
      <c r="E1899" s="1" t="s">
        <v>21</v>
      </c>
      <c r="F1899" s="1">
        <f t="shared" si="66"/>
        <v>500</v>
      </c>
      <c r="G1899" s="5">
        <f t="shared" si="65"/>
        <v>0.76</v>
      </c>
    </row>
    <row r="1900" spans="1:7" ht="13">
      <c r="A1900" s="4" t="s">
        <v>118</v>
      </c>
      <c r="B1900" s="1">
        <v>5.88</v>
      </c>
      <c r="C1900" s="1">
        <v>548</v>
      </c>
      <c r="D1900" s="1" t="s">
        <v>39</v>
      </c>
      <c r="E1900" s="1" t="s">
        <v>19</v>
      </c>
      <c r="F1900" s="1">
        <f t="shared" si="66"/>
        <v>588</v>
      </c>
      <c r="G1900" s="5">
        <f t="shared" si="65"/>
        <v>0.93197278911564629</v>
      </c>
    </row>
    <row r="1901" spans="1:7" ht="13">
      <c r="A1901" s="4" t="s">
        <v>118</v>
      </c>
      <c r="B1901" s="1">
        <v>6400</v>
      </c>
      <c r="C1901" s="1">
        <v>742</v>
      </c>
      <c r="D1901" s="1" t="s">
        <v>11</v>
      </c>
      <c r="E1901" s="1" t="s">
        <v>26</v>
      </c>
      <c r="F1901" s="1">
        <f t="shared" si="66"/>
        <v>640000</v>
      </c>
      <c r="G1901" s="5">
        <f t="shared" si="65"/>
        <v>1.159375E-3</v>
      </c>
    </row>
    <row r="1902" spans="1:7" ht="13">
      <c r="A1902" s="4" t="s">
        <v>118</v>
      </c>
      <c r="B1902" s="1">
        <v>6.5</v>
      </c>
      <c r="C1902" s="1">
        <v>754</v>
      </c>
      <c r="D1902" s="1" t="s">
        <v>11</v>
      </c>
      <c r="E1902" s="1" t="s">
        <v>7</v>
      </c>
      <c r="F1902" s="1">
        <f t="shared" si="66"/>
        <v>650</v>
      </c>
      <c r="G1902" s="5">
        <f t="shared" si="65"/>
        <v>1.1599999999999999</v>
      </c>
    </row>
    <row r="1903" spans="1:7" ht="13">
      <c r="A1903" s="4" t="s">
        <v>118</v>
      </c>
      <c r="B1903" s="1">
        <v>4.76</v>
      </c>
      <c r="C1903" s="1">
        <v>577</v>
      </c>
      <c r="D1903" s="1" t="s">
        <v>33</v>
      </c>
      <c r="E1903" s="1" t="s">
        <v>8</v>
      </c>
      <c r="F1903" s="1">
        <f t="shared" si="66"/>
        <v>476</v>
      </c>
      <c r="G1903" s="5">
        <f t="shared" si="65"/>
        <v>1.2121848739495797</v>
      </c>
    </row>
    <row r="1904" spans="1:7" ht="13">
      <c r="A1904" s="4" t="s">
        <v>118</v>
      </c>
      <c r="B1904" s="1">
        <v>4</v>
      </c>
      <c r="C1904" s="1">
        <v>450</v>
      </c>
      <c r="D1904" s="1" t="s">
        <v>47</v>
      </c>
      <c r="E1904" s="1" t="s">
        <v>31</v>
      </c>
      <c r="F1904" s="1">
        <f t="shared" si="66"/>
        <v>400</v>
      </c>
      <c r="G1904" s="5">
        <f t="shared" si="65"/>
        <v>1.125</v>
      </c>
    </row>
    <row r="1905" spans="1:7" ht="13">
      <c r="A1905" s="4" t="s">
        <v>118</v>
      </c>
      <c r="B1905" s="1">
        <v>7.6</v>
      </c>
      <c r="C1905" s="1">
        <v>753</v>
      </c>
      <c r="D1905" s="1" t="s">
        <v>33</v>
      </c>
      <c r="E1905" s="1" t="s">
        <v>17</v>
      </c>
      <c r="F1905" s="1">
        <f t="shared" si="66"/>
        <v>760</v>
      </c>
      <c r="G1905" s="5">
        <f t="shared" si="65"/>
        <v>0.99078947368421055</v>
      </c>
    </row>
    <row r="1906" spans="1:7" ht="13">
      <c r="A1906" s="4" t="s">
        <v>118</v>
      </c>
      <c r="B1906" s="1">
        <v>6.3</v>
      </c>
      <c r="C1906" s="1">
        <v>671</v>
      </c>
      <c r="D1906" s="1" t="s">
        <v>33</v>
      </c>
      <c r="E1906" s="1" t="s">
        <v>9</v>
      </c>
      <c r="F1906" s="1">
        <f t="shared" si="66"/>
        <v>630</v>
      </c>
      <c r="G1906" s="5">
        <f t="shared" si="65"/>
        <v>1.0650793650793651</v>
      </c>
    </row>
    <row r="1907" spans="1:7" ht="13">
      <c r="A1907" s="4" t="s">
        <v>118</v>
      </c>
      <c r="B1907" s="1">
        <v>5.22</v>
      </c>
      <c r="C1907" s="1">
        <v>530</v>
      </c>
      <c r="D1907" s="1" t="s">
        <v>11</v>
      </c>
      <c r="E1907" s="1" t="s">
        <v>22</v>
      </c>
      <c r="F1907" s="1">
        <f t="shared" si="66"/>
        <v>522</v>
      </c>
      <c r="G1907" s="5">
        <f t="shared" si="65"/>
        <v>1.0153256704980842</v>
      </c>
    </row>
    <row r="1908" spans="1:7" ht="13">
      <c r="A1908" s="4" t="s">
        <v>118</v>
      </c>
      <c r="B1908" s="1">
        <v>6</v>
      </c>
      <c r="C1908" s="1">
        <v>6.3</v>
      </c>
      <c r="D1908" s="1" t="s">
        <v>33</v>
      </c>
      <c r="E1908" s="1" t="s">
        <v>15</v>
      </c>
      <c r="F1908" s="1">
        <f t="shared" si="66"/>
        <v>600</v>
      </c>
      <c r="G1908" s="5">
        <f t="shared" si="65"/>
        <v>1.0499999999999999E-2</v>
      </c>
    </row>
    <row r="1909" spans="1:7" ht="13">
      <c r="A1909" s="4" t="s">
        <v>118</v>
      </c>
      <c r="B1909" s="1">
        <v>6.72</v>
      </c>
      <c r="C1909" s="1">
        <v>788</v>
      </c>
      <c r="D1909" s="1" t="s">
        <v>11</v>
      </c>
      <c r="E1909" s="1" t="s">
        <v>15</v>
      </c>
      <c r="F1909" s="1">
        <f t="shared" si="66"/>
        <v>672</v>
      </c>
      <c r="G1909" s="5">
        <f t="shared" si="65"/>
        <v>1.1726190476190477</v>
      </c>
    </row>
    <row r="1910" spans="1:7" ht="13">
      <c r="A1910" s="4" t="s">
        <v>118</v>
      </c>
      <c r="B1910" s="1">
        <v>6.72</v>
      </c>
      <c r="C1910" s="1">
        <v>788</v>
      </c>
      <c r="D1910" s="1" t="s">
        <v>11</v>
      </c>
      <c r="E1910" s="1" t="s">
        <v>15</v>
      </c>
      <c r="F1910" s="1">
        <f t="shared" si="66"/>
        <v>672</v>
      </c>
      <c r="G1910" s="5">
        <f t="shared" si="65"/>
        <v>1.1726190476190477</v>
      </c>
    </row>
    <row r="1911" spans="1:7" ht="13">
      <c r="A1911" s="4" t="s">
        <v>118</v>
      </c>
      <c r="B1911" s="1">
        <v>8.6999999999999993</v>
      </c>
      <c r="C1911" s="1">
        <v>895</v>
      </c>
      <c r="D1911" s="1" t="s">
        <v>11</v>
      </c>
      <c r="E1911" s="1" t="s">
        <v>20</v>
      </c>
      <c r="F1911" s="1">
        <f t="shared" si="66"/>
        <v>869.99999999999989</v>
      </c>
      <c r="G1911" s="5">
        <f t="shared" si="65"/>
        <v>1.0287356321839083</v>
      </c>
    </row>
    <row r="1912" spans="1:7" ht="13">
      <c r="A1912" s="4" t="s">
        <v>118</v>
      </c>
      <c r="B1912" s="1">
        <v>5.6</v>
      </c>
      <c r="C1912" s="1">
        <v>500</v>
      </c>
      <c r="D1912" s="1" t="s">
        <v>33</v>
      </c>
      <c r="E1912" s="1" t="s">
        <v>7</v>
      </c>
      <c r="F1912" s="1">
        <f t="shared" si="66"/>
        <v>560</v>
      </c>
      <c r="G1912" s="5">
        <f t="shared" si="65"/>
        <v>0.8928571428571429</v>
      </c>
    </row>
    <row r="1913" spans="1:7" ht="13">
      <c r="A1913" s="4" t="s">
        <v>118</v>
      </c>
      <c r="B1913" s="1">
        <v>8.6</v>
      </c>
      <c r="C1913" s="1">
        <v>1053</v>
      </c>
      <c r="D1913" s="1" t="s">
        <v>42</v>
      </c>
      <c r="E1913" s="1" t="s">
        <v>8</v>
      </c>
      <c r="F1913" s="1">
        <f t="shared" si="66"/>
        <v>860</v>
      </c>
      <c r="G1913" s="5">
        <f t="shared" si="65"/>
        <v>1.2244186046511627</v>
      </c>
    </row>
    <row r="1914" spans="1:7" ht="13">
      <c r="A1914" s="4" t="s">
        <v>118</v>
      </c>
      <c r="B1914" s="1">
        <v>6.96</v>
      </c>
      <c r="C1914" s="1">
        <v>712</v>
      </c>
      <c r="D1914" s="1" t="s">
        <v>33</v>
      </c>
      <c r="E1914" s="1" t="s">
        <v>12</v>
      </c>
      <c r="F1914" s="1">
        <f t="shared" si="66"/>
        <v>696</v>
      </c>
      <c r="G1914" s="5">
        <f t="shared" si="65"/>
        <v>1.0229885057471264</v>
      </c>
    </row>
    <row r="1915" spans="1:7" ht="13">
      <c r="A1915" s="4" t="s">
        <v>118</v>
      </c>
      <c r="B1915" s="1">
        <v>7.2</v>
      </c>
      <c r="C1915" s="1">
        <v>774</v>
      </c>
      <c r="D1915" s="1" t="s">
        <v>79</v>
      </c>
      <c r="E1915" s="1" t="s">
        <v>17</v>
      </c>
      <c r="F1915" s="1">
        <f t="shared" si="66"/>
        <v>720</v>
      </c>
      <c r="G1915" s="5">
        <f t="shared" si="65"/>
        <v>1.075</v>
      </c>
    </row>
    <row r="1916" spans="1:7" ht="13">
      <c r="A1916" s="4" t="s">
        <v>118</v>
      </c>
      <c r="B1916" s="1">
        <v>6.9</v>
      </c>
      <c r="C1916" s="1">
        <v>789</v>
      </c>
      <c r="D1916" s="1" t="s">
        <v>38</v>
      </c>
      <c r="E1916" s="1" t="s">
        <v>8</v>
      </c>
      <c r="F1916" s="1">
        <f t="shared" si="66"/>
        <v>690</v>
      </c>
      <c r="G1916" s="5">
        <f t="shared" si="65"/>
        <v>1.1434782608695653</v>
      </c>
    </row>
    <row r="1917" spans="1:7" ht="13">
      <c r="A1917" s="4" t="s">
        <v>118</v>
      </c>
      <c r="B1917" s="1">
        <v>5.6550000000000002</v>
      </c>
      <c r="C1917" s="1">
        <v>606</v>
      </c>
      <c r="D1917" s="1" t="s">
        <v>11</v>
      </c>
      <c r="E1917" s="1" t="s">
        <v>8</v>
      </c>
      <c r="F1917" s="1">
        <f t="shared" si="66"/>
        <v>565.5</v>
      </c>
      <c r="G1917" s="5">
        <f t="shared" si="65"/>
        <v>1.0716180371352786</v>
      </c>
    </row>
    <row r="1918" spans="1:7" ht="13">
      <c r="A1918" s="4" t="s">
        <v>118</v>
      </c>
      <c r="B1918" s="1">
        <v>6.96</v>
      </c>
      <c r="C1918" s="1">
        <v>715</v>
      </c>
      <c r="D1918" s="1" t="s">
        <v>33</v>
      </c>
      <c r="E1918" s="1" t="s">
        <v>12</v>
      </c>
      <c r="F1918" s="1">
        <f t="shared" si="66"/>
        <v>696</v>
      </c>
      <c r="G1918" s="5">
        <f t="shared" si="65"/>
        <v>1.0272988505747127</v>
      </c>
    </row>
    <row r="1919" spans="1:7" ht="13">
      <c r="A1919" s="4" t="s">
        <v>118</v>
      </c>
      <c r="B1919" s="1">
        <v>6.96</v>
      </c>
      <c r="C1919" s="1">
        <v>779</v>
      </c>
      <c r="D1919" s="1" t="s">
        <v>45</v>
      </c>
      <c r="E1919" s="1" t="s">
        <v>24</v>
      </c>
      <c r="F1919" s="1">
        <f t="shared" si="66"/>
        <v>696</v>
      </c>
      <c r="G1919" s="5">
        <f t="shared" si="65"/>
        <v>1.1192528735632183</v>
      </c>
    </row>
    <row r="1920" spans="1:7" ht="13">
      <c r="A1920" s="4" t="s">
        <v>118</v>
      </c>
      <c r="B1920" s="1">
        <v>6</v>
      </c>
      <c r="C1920" s="1">
        <v>660</v>
      </c>
      <c r="D1920" s="1" t="s">
        <v>11</v>
      </c>
      <c r="E1920" s="1" t="s">
        <v>17</v>
      </c>
      <c r="F1920" s="1">
        <f t="shared" si="66"/>
        <v>600</v>
      </c>
      <c r="G1920" s="5">
        <f t="shared" si="65"/>
        <v>1.1000000000000001</v>
      </c>
    </row>
    <row r="1921" spans="1:7" ht="13">
      <c r="A1921" s="4" t="s">
        <v>118</v>
      </c>
      <c r="B1921" s="1">
        <v>4</v>
      </c>
      <c r="C1921" s="1">
        <v>985</v>
      </c>
      <c r="D1921" s="1" t="s">
        <v>43</v>
      </c>
      <c r="E1921" s="1" t="s">
        <v>25</v>
      </c>
      <c r="F1921" s="1">
        <f t="shared" si="66"/>
        <v>400</v>
      </c>
      <c r="G1921" s="5">
        <f t="shared" si="65"/>
        <v>2.4624999999999999</v>
      </c>
    </row>
    <row r="1922" spans="1:7" ht="13">
      <c r="A1922" s="4" t="s">
        <v>118</v>
      </c>
      <c r="B1922" s="1">
        <v>6.7</v>
      </c>
      <c r="C1922" s="1">
        <v>708</v>
      </c>
      <c r="D1922" s="1" t="s">
        <v>33</v>
      </c>
      <c r="E1922" s="1" t="s">
        <v>27</v>
      </c>
      <c r="F1922" s="1">
        <f t="shared" si="66"/>
        <v>670</v>
      </c>
      <c r="G1922" s="5">
        <f t="shared" ref="G1922:G1985" si="67">C1922/F1922</f>
        <v>1.0567164179104478</v>
      </c>
    </row>
    <row r="1923" spans="1:7" ht="13">
      <c r="A1923" s="4" t="s">
        <v>118</v>
      </c>
      <c r="B1923" s="1">
        <v>7.5</v>
      </c>
      <c r="C1923" s="1">
        <v>882</v>
      </c>
      <c r="D1923" s="1" t="s">
        <v>11</v>
      </c>
      <c r="E1923" s="1" t="s">
        <v>10</v>
      </c>
      <c r="F1923" s="1">
        <f t="shared" ref="F1923:F1986" si="68">B1923*100</f>
        <v>750</v>
      </c>
      <c r="G1923" s="5">
        <f t="shared" si="67"/>
        <v>1.1759999999999999</v>
      </c>
    </row>
    <row r="1924" spans="1:7" ht="13">
      <c r="A1924" s="4" t="s">
        <v>118</v>
      </c>
      <c r="B1924" s="1">
        <v>6.24</v>
      </c>
      <c r="C1924" s="1">
        <v>863</v>
      </c>
      <c r="D1924" s="1" t="s">
        <v>11</v>
      </c>
      <c r="E1924" s="1" t="s">
        <v>17</v>
      </c>
      <c r="F1924" s="1">
        <f t="shared" si="68"/>
        <v>624</v>
      </c>
      <c r="G1924" s="5">
        <f t="shared" si="67"/>
        <v>1.3830128205128205</v>
      </c>
    </row>
    <row r="1925" spans="1:7" ht="13">
      <c r="A1925" s="4" t="s">
        <v>118</v>
      </c>
      <c r="B1925" s="1">
        <v>6.4</v>
      </c>
      <c r="C1925" s="1">
        <v>719</v>
      </c>
      <c r="D1925" s="1" t="s">
        <v>33</v>
      </c>
      <c r="E1925" s="1" t="s">
        <v>15</v>
      </c>
      <c r="F1925" s="1">
        <f t="shared" si="68"/>
        <v>640</v>
      </c>
      <c r="G1925" s="5">
        <f t="shared" si="67"/>
        <v>1.1234375000000001</v>
      </c>
    </row>
    <row r="1926" spans="1:7" ht="13">
      <c r="A1926" s="4" t="s">
        <v>118</v>
      </c>
      <c r="B1926" s="1">
        <v>7.74</v>
      </c>
      <c r="C1926" s="1">
        <v>761</v>
      </c>
      <c r="D1926" s="1" t="s">
        <v>42</v>
      </c>
      <c r="E1926" s="1" t="s">
        <v>49</v>
      </c>
      <c r="F1926" s="1">
        <f t="shared" si="68"/>
        <v>774</v>
      </c>
      <c r="G1926" s="5">
        <f t="shared" si="67"/>
        <v>0.98320413436692511</v>
      </c>
    </row>
    <row r="1927" spans="1:7" ht="13">
      <c r="A1927" s="4" t="s">
        <v>118</v>
      </c>
      <c r="B1927" s="1">
        <v>8.6999999999999993</v>
      </c>
      <c r="C1927" s="1">
        <v>954</v>
      </c>
      <c r="D1927" s="1" t="s">
        <v>11</v>
      </c>
      <c r="E1927" s="1" t="s">
        <v>27</v>
      </c>
      <c r="F1927" s="1">
        <f t="shared" si="68"/>
        <v>869.99999999999989</v>
      </c>
      <c r="G1927" s="5">
        <f t="shared" si="67"/>
        <v>1.0965517241379312</v>
      </c>
    </row>
    <row r="1928" spans="1:7" ht="13">
      <c r="A1928" s="4" t="s">
        <v>118</v>
      </c>
      <c r="B1928" s="1">
        <v>6</v>
      </c>
      <c r="C1928" s="1">
        <v>614</v>
      </c>
      <c r="D1928" s="1" t="s">
        <v>33</v>
      </c>
      <c r="E1928" s="1" t="s">
        <v>15</v>
      </c>
      <c r="F1928" s="1">
        <f t="shared" si="68"/>
        <v>600</v>
      </c>
      <c r="G1928" s="5">
        <f t="shared" si="67"/>
        <v>1.0233333333333334</v>
      </c>
    </row>
    <row r="1929" spans="1:7" ht="13">
      <c r="A1929" s="4" t="s">
        <v>118</v>
      </c>
      <c r="B1929" s="1">
        <v>3.44</v>
      </c>
      <c r="C1929" s="1">
        <v>442</v>
      </c>
      <c r="D1929" s="1" t="s">
        <v>43</v>
      </c>
      <c r="E1929" s="1" t="s">
        <v>8</v>
      </c>
      <c r="F1929" s="1">
        <f t="shared" si="68"/>
        <v>344</v>
      </c>
      <c r="G1929" s="5">
        <f t="shared" si="67"/>
        <v>1.2848837209302326</v>
      </c>
    </row>
    <row r="1930" spans="1:7" ht="13">
      <c r="A1930" s="4" t="s">
        <v>118</v>
      </c>
      <c r="B1930" s="1">
        <v>6.2</v>
      </c>
      <c r="C1930" s="1">
        <v>656</v>
      </c>
      <c r="D1930" s="1" t="s">
        <v>11</v>
      </c>
      <c r="E1930" s="1" t="s">
        <v>7</v>
      </c>
      <c r="F1930" s="1">
        <f t="shared" si="68"/>
        <v>620</v>
      </c>
      <c r="G1930" s="5">
        <f t="shared" si="67"/>
        <v>1.0580645161290323</v>
      </c>
    </row>
    <row r="1931" spans="1:7" ht="13">
      <c r="A1931" s="4" t="s">
        <v>118</v>
      </c>
      <c r="B1931" s="1">
        <v>7.56</v>
      </c>
      <c r="C1931" s="1">
        <v>835</v>
      </c>
      <c r="D1931" s="1" t="s">
        <v>11</v>
      </c>
      <c r="E1931" s="1" t="s">
        <v>49</v>
      </c>
      <c r="F1931" s="1">
        <f t="shared" si="68"/>
        <v>756</v>
      </c>
      <c r="G1931" s="5">
        <f t="shared" si="67"/>
        <v>1.1044973544973544</v>
      </c>
    </row>
    <row r="1932" spans="1:7" ht="13">
      <c r="A1932" s="4" t="s">
        <v>118</v>
      </c>
      <c r="B1932" s="1">
        <v>9.66</v>
      </c>
      <c r="C1932" s="1">
        <v>910</v>
      </c>
      <c r="D1932" s="1" t="s">
        <v>33</v>
      </c>
      <c r="E1932" s="1" t="s">
        <v>21</v>
      </c>
      <c r="F1932" s="1">
        <f t="shared" si="68"/>
        <v>966</v>
      </c>
      <c r="G1932" s="5">
        <f t="shared" si="67"/>
        <v>0.94202898550724634</v>
      </c>
    </row>
    <row r="1933" spans="1:7" ht="13">
      <c r="A1933" s="4" t="s">
        <v>118</v>
      </c>
      <c r="B1933" s="1">
        <v>8.33</v>
      </c>
      <c r="C1933" s="1">
        <v>750</v>
      </c>
      <c r="D1933" s="1" t="s">
        <v>38</v>
      </c>
      <c r="E1933" s="1" t="s">
        <v>7</v>
      </c>
      <c r="F1933" s="1">
        <f t="shared" si="68"/>
        <v>833</v>
      </c>
      <c r="G1933" s="5">
        <f t="shared" si="67"/>
        <v>0.9003601440576231</v>
      </c>
    </row>
    <row r="1934" spans="1:7" ht="13">
      <c r="A1934" s="4" t="s">
        <v>118</v>
      </c>
      <c r="B1934" s="1">
        <v>7.2</v>
      </c>
      <c r="C1934" s="1">
        <v>846</v>
      </c>
      <c r="D1934" s="1" t="s">
        <v>33</v>
      </c>
      <c r="E1934" s="1" t="s">
        <v>15</v>
      </c>
      <c r="F1934" s="1">
        <f t="shared" si="68"/>
        <v>720</v>
      </c>
      <c r="G1934" s="5">
        <f t="shared" si="67"/>
        <v>1.175</v>
      </c>
    </row>
    <row r="1935" spans="1:7" ht="13">
      <c r="A1935" s="4" t="s">
        <v>118</v>
      </c>
      <c r="B1935" s="1">
        <v>6.96</v>
      </c>
      <c r="C1935" s="1">
        <v>792</v>
      </c>
      <c r="D1935" s="1" t="s">
        <v>11</v>
      </c>
      <c r="E1935" s="1" t="s">
        <v>26</v>
      </c>
      <c r="F1935" s="1">
        <f t="shared" si="68"/>
        <v>696</v>
      </c>
      <c r="G1935" s="5">
        <f t="shared" si="67"/>
        <v>1.1379310344827587</v>
      </c>
    </row>
    <row r="1936" spans="1:7" ht="13">
      <c r="A1936" s="4" t="s">
        <v>118</v>
      </c>
      <c r="B1936" s="1">
        <v>6.02</v>
      </c>
      <c r="C1936" s="1">
        <v>640</v>
      </c>
      <c r="D1936" s="1" t="s">
        <v>33</v>
      </c>
      <c r="E1936" s="1" t="s">
        <v>27</v>
      </c>
      <c r="F1936" s="1">
        <f t="shared" si="68"/>
        <v>602</v>
      </c>
      <c r="G1936" s="5">
        <f t="shared" si="67"/>
        <v>1.0631229235880399</v>
      </c>
    </row>
    <row r="1937" spans="1:7" ht="13">
      <c r="A1937" s="4" t="s">
        <v>118</v>
      </c>
      <c r="B1937" s="1">
        <v>7.56</v>
      </c>
      <c r="C1937" s="1">
        <v>805</v>
      </c>
      <c r="D1937" s="1" t="s">
        <v>56</v>
      </c>
      <c r="E1937" s="1" t="s">
        <v>31</v>
      </c>
      <c r="F1937" s="1">
        <f t="shared" si="68"/>
        <v>756</v>
      </c>
      <c r="G1937" s="5">
        <f t="shared" si="67"/>
        <v>1.0648148148148149</v>
      </c>
    </row>
    <row r="1938" spans="1:7" ht="13">
      <c r="A1938" s="4" t="s">
        <v>118</v>
      </c>
      <c r="B1938" s="1">
        <v>5.625</v>
      </c>
      <c r="C1938" s="1">
        <v>566</v>
      </c>
      <c r="D1938" s="1" t="s">
        <v>11</v>
      </c>
      <c r="E1938" s="1" t="s">
        <v>15</v>
      </c>
      <c r="F1938" s="1">
        <f t="shared" si="68"/>
        <v>562.5</v>
      </c>
      <c r="G1938" s="5">
        <f t="shared" si="67"/>
        <v>1.0062222222222221</v>
      </c>
    </row>
    <row r="1939" spans="1:7" ht="13">
      <c r="A1939" s="4" t="s">
        <v>118</v>
      </c>
      <c r="B1939" s="1">
        <v>6.5</v>
      </c>
      <c r="C1939" s="1">
        <v>715</v>
      </c>
      <c r="D1939" s="1" t="s">
        <v>39</v>
      </c>
      <c r="E1939" s="1" t="s">
        <v>16</v>
      </c>
      <c r="F1939" s="1">
        <f t="shared" si="68"/>
        <v>650</v>
      </c>
      <c r="G1939" s="5">
        <f t="shared" si="67"/>
        <v>1.1000000000000001</v>
      </c>
    </row>
    <row r="1940" spans="1:7" ht="13">
      <c r="A1940" s="4" t="s">
        <v>118</v>
      </c>
      <c r="B1940" s="1">
        <v>6.3</v>
      </c>
      <c r="C1940" s="1">
        <v>704</v>
      </c>
      <c r="D1940" s="1" t="s">
        <v>11</v>
      </c>
      <c r="E1940" s="1" t="s">
        <v>12</v>
      </c>
      <c r="F1940" s="1">
        <f t="shared" si="68"/>
        <v>630</v>
      </c>
      <c r="G1940" s="5">
        <f t="shared" si="67"/>
        <v>1.1174603174603175</v>
      </c>
    </row>
    <row r="1941" spans="1:7" ht="13">
      <c r="A1941" s="4" t="s">
        <v>118</v>
      </c>
      <c r="B1941" s="1">
        <v>4.8</v>
      </c>
      <c r="C1941" s="1">
        <v>441</v>
      </c>
      <c r="D1941" s="1" t="s">
        <v>11</v>
      </c>
      <c r="E1941" s="1" t="s">
        <v>10</v>
      </c>
      <c r="F1941" s="1">
        <f t="shared" si="68"/>
        <v>480</v>
      </c>
      <c r="G1941" s="5">
        <f t="shared" si="67"/>
        <v>0.91874999999999996</v>
      </c>
    </row>
    <row r="1942" spans="1:7" ht="13">
      <c r="A1942" s="4" t="s">
        <v>118</v>
      </c>
      <c r="B1942" s="1">
        <v>3.48</v>
      </c>
      <c r="C1942" s="1">
        <v>413.64</v>
      </c>
      <c r="D1942" s="1" t="s">
        <v>11</v>
      </c>
      <c r="E1942" s="1" t="s">
        <v>15</v>
      </c>
      <c r="F1942" s="1">
        <f t="shared" si="68"/>
        <v>348</v>
      </c>
      <c r="G1942" s="5">
        <f t="shared" si="67"/>
        <v>1.1886206896551723</v>
      </c>
    </row>
    <row r="1943" spans="1:7" ht="13">
      <c r="A1943" s="4" t="s">
        <v>118</v>
      </c>
      <c r="B1943" s="1">
        <v>4</v>
      </c>
      <c r="C1943" s="1">
        <v>468</v>
      </c>
      <c r="D1943" s="1" t="s">
        <v>11</v>
      </c>
      <c r="E1943" s="1" t="s">
        <v>9</v>
      </c>
      <c r="F1943" s="1">
        <f t="shared" si="68"/>
        <v>400</v>
      </c>
      <c r="G1943" s="5">
        <f t="shared" si="67"/>
        <v>1.17</v>
      </c>
    </row>
    <row r="1944" spans="1:7" ht="13">
      <c r="A1944" s="4" t="s">
        <v>118</v>
      </c>
      <c r="B1944" s="1">
        <v>3.4</v>
      </c>
      <c r="C1944" s="1">
        <v>403</v>
      </c>
      <c r="D1944" s="1" t="s">
        <v>11</v>
      </c>
      <c r="E1944" s="1" t="s">
        <v>22</v>
      </c>
      <c r="F1944" s="1">
        <f t="shared" si="68"/>
        <v>340</v>
      </c>
      <c r="G1944" s="5">
        <f t="shared" si="67"/>
        <v>1.1852941176470588</v>
      </c>
    </row>
    <row r="1945" spans="1:7" ht="13">
      <c r="A1945" s="4" t="s">
        <v>118</v>
      </c>
      <c r="B1945" s="1">
        <v>5.6</v>
      </c>
      <c r="C1945" s="1">
        <v>645</v>
      </c>
      <c r="D1945" s="1" t="s">
        <v>54</v>
      </c>
      <c r="E1945" s="1" t="s">
        <v>22</v>
      </c>
      <c r="F1945" s="1">
        <f t="shared" si="68"/>
        <v>560</v>
      </c>
      <c r="G1945" s="5">
        <f t="shared" si="67"/>
        <v>1.1517857142857142</v>
      </c>
    </row>
    <row r="1946" spans="1:7" ht="13">
      <c r="A1946" s="4" t="s">
        <v>118</v>
      </c>
      <c r="B1946" s="1">
        <v>6.8</v>
      </c>
      <c r="C1946" s="1">
        <v>705</v>
      </c>
      <c r="D1946" s="1" t="s">
        <v>33</v>
      </c>
      <c r="E1946" s="1" t="s">
        <v>20</v>
      </c>
      <c r="F1946" s="1">
        <f t="shared" si="68"/>
        <v>680</v>
      </c>
      <c r="G1946" s="5">
        <f t="shared" si="67"/>
        <v>1.036764705882353</v>
      </c>
    </row>
    <row r="1947" spans="1:7" ht="13">
      <c r="A1947" s="4" t="s">
        <v>118</v>
      </c>
      <c r="B1947" s="1">
        <v>5.2</v>
      </c>
      <c r="C1947" s="1">
        <v>562</v>
      </c>
      <c r="D1947" s="1" t="s">
        <v>44</v>
      </c>
      <c r="E1947" s="1" t="s">
        <v>15</v>
      </c>
      <c r="F1947" s="1">
        <f t="shared" si="68"/>
        <v>520</v>
      </c>
      <c r="G1947" s="5">
        <f t="shared" si="67"/>
        <v>1.0807692307692307</v>
      </c>
    </row>
    <row r="1948" spans="1:7" ht="13">
      <c r="A1948" s="4" t="s">
        <v>118</v>
      </c>
      <c r="B1948" s="1">
        <v>6.4</v>
      </c>
      <c r="C1948" s="1">
        <v>715</v>
      </c>
      <c r="D1948" s="1" t="s">
        <v>93</v>
      </c>
      <c r="E1948" s="1" t="s">
        <v>26</v>
      </c>
      <c r="F1948" s="1">
        <f t="shared" si="68"/>
        <v>640</v>
      </c>
      <c r="G1948" s="5">
        <f t="shared" si="67"/>
        <v>1.1171875</v>
      </c>
    </row>
    <row r="1949" spans="1:7" ht="13">
      <c r="A1949" s="4" t="s">
        <v>118</v>
      </c>
      <c r="B1949" s="1">
        <v>6.96</v>
      </c>
      <c r="C1949" s="1">
        <v>899</v>
      </c>
      <c r="D1949" s="1" t="s">
        <v>11</v>
      </c>
      <c r="E1949" s="1" t="s">
        <v>8</v>
      </c>
      <c r="F1949" s="1">
        <f t="shared" si="68"/>
        <v>696</v>
      </c>
      <c r="G1949" s="5">
        <f t="shared" si="67"/>
        <v>1.2916666666666667</v>
      </c>
    </row>
    <row r="1950" spans="1:7" ht="13">
      <c r="A1950" s="4" t="s">
        <v>118</v>
      </c>
      <c r="B1950" s="1">
        <v>8.6</v>
      </c>
      <c r="C1950" s="1">
        <v>807</v>
      </c>
      <c r="D1950" s="1" t="s">
        <v>43</v>
      </c>
      <c r="E1950" s="1" t="s">
        <v>22</v>
      </c>
      <c r="F1950" s="1">
        <f t="shared" si="68"/>
        <v>860</v>
      </c>
      <c r="G1950" s="5">
        <f t="shared" si="67"/>
        <v>0.93837209302325586</v>
      </c>
    </row>
    <row r="1951" spans="1:7" ht="13">
      <c r="A1951" s="4" t="s">
        <v>118</v>
      </c>
      <c r="B1951" s="1">
        <v>5.1100000000000003</v>
      </c>
      <c r="C1951" s="1">
        <v>547</v>
      </c>
      <c r="D1951" s="1" t="s">
        <v>11</v>
      </c>
      <c r="E1951" s="1" t="s">
        <v>8</v>
      </c>
      <c r="F1951" s="1">
        <f t="shared" si="68"/>
        <v>511.00000000000006</v>
      </c>
      <c r="G1951" s="5">
        <f t="shared" si="67"/>
        <v>1.0704500978473579</v>
      </c>
    </row>
    <row r="1952" spans="1:7" ht="13">
      <c r="A1952" s="4" t="s">
        <v>118</v>
      </c>
      <c r="B1952" s="1">
        <v>5.2</v>
      </c>
      <c r="C1952" s="1">
        <v>557</v>
      </c>
      <c r="D1952" s="1" t="s">
        <v>50</v>
      </c>
      <c r="E1952" s="1" t="s">
        <v>15</v>
      </c>
      <c r="F1952" s="1">
        <f t="shared" si="68"/>
        <v>520</v>
      </c>
      <c r="G1952" s="5">
        <f t="shared" si="67"/>
        <v>1.0711538461538461</v>
      </c>
    </row>
    <row r="1953" spans="1:7" ht="13">
      <c r="A1953" s="4" t="s">
        <v>118</v>
      </c>
      <c r="B1953" s="1">
        <v>8.1</v>
      </c>
      <c r="C1953" s="1">
        <v>995</v>
      </c>
      <c r="D1953" s="1" t="s">
        <v>42</v>
      </c>
      <c r="E1953" s="1" t="s">
        <v>10</v>
      </c>
      <c r="F1953" s="1">
        <f t="shared" si="68"/>
        <v>810</v>
      </c>
      <c r="G1953" s="5">
        <f t="shared" si="67"/>
        <v>1.228395061728395</v>
      </c>
    </row>
    <row r="1954" spans="1:7" ht="13">
      <c r="A1954" s="4" t="s">
        <v>118</v>
      </c>
      <c r="B1954" s="1">
        <v>7.7</v>
      </c>
      <c r="C1954" s="1">
        <v>771</v>
      </c>
      <c r="D1954" s="1" t="s">
        <v>37</v>
      </c>
      <c r="E1954" s="1" t="s">
        <v>26</v>
      </c>
      <c r="F1954" s="1">
        <f t="shared" si="68"/>
        <v>770</v>
      </c>
      <c r="G1954" s="5">
        <f t="shared" si="67"/>
        <v>1.0012987012987014</v>
      </c>
    </row>
    <row r="1955" spans="1:7" ht="13">
      <c r="A1955" s="4" t="s">
        <v>118</v>
      </c>
      <c r="B1955" s="1">
        <v>5</v>
      </c>
      <c r="C1955" s="1">
        <v>750</v>
      </c>
      <c r="D1955" s="1" t="s">
        <v>33</v>
      </c>
      <c r="E1955" s="1" t="s">
        <v>32</v>
      </c>
      <c r="F1955" s="1">
        <f t="shared" si="68"/>
        <v>500</v>
      </c>
      <c r="G1955" s="5">
        <f t="shared" si="67"/>
        <v>1.5</v>
      </c>
    </row>
    <row r="1956" spans="1:7" ht="13">
      <c r="A1956" s="4" t="s">
        <v>118</v>
      </c>
      <c r="B1956" s="1">
        <v>6.93</v>
      </c>
      <c r="C1956" s="1">
        <v>891</v>
      </c>
      <c r="D1956" s="1" t="s">
        <v>11</v>
      </c>
      <c r="E1956" s="1" t="s">
        <v>8</v>
      </c>
      <c r="F1956" s="1">
        <f t="shared" si="68"/>
        <v>693</v>
      </c>
      <c r="G1956" s="5">
        <f t="shared" si="67"/>
        <v>1.2857142857142858</v>
      </c>
    </row>
    <row r="1957" spans="1:7" ht="13">
      <c r="A1957" s="4" t="s">
        <v>118</v>
      </c>
      <c r="B1957" s="1">
        <v>7.83</v>
      </c>
      <c r="C1957" s="1">
        <v>865</v>
      </c>
      <c r="D1957" s="1" t="s">
        <v>11</v>
      </c>
      <c r="E1957" s="1" t="s">
        <v>17</v>
      </c>
      <c r="F1957" s="1">
        <f t="shared" si="68"/>
        <v>783</v>
      </c>
      <c r="G1957" s="5">
        <f t="shared" si="67"/>
        <v>1.1047254150702426</v>
      </c>
    </row>
    <row r="1958" spans="1:7" ht="13">
      <c r="A1958" s="4" t="s">
        <v>118</v>
      </c>
      <c r="B1958" s="1">
        <v>7.74</v>
      </c>
      <c r="C1958" s="1">
        <v>825</v>
      </c>
      <c r="D1958" s="1" t="s">
        <v>37</v>
      </c>
      <c r="E1958" s="1" t="s">
        <v>7</v>
      </c>
      <c r="F1958" s="1">
        <f t="shared" si="68"/>
        <v>774</v>
      </c>
      <c r="G1958" s="5">
        <f t="shared" si="67"/>
        <v>1.0658914728682169</v>
      </c>
    </row>
    <row r="1959" spans="1:7" ht="13">
      <c r="A1959" s="4" t="s">
        <v>118</v>
      </c>
      <c r="B1959" s="1">
        <v>3.4</v>
      </c>
      <c r="C1959" s="1">
        <v>375</v>
      </c>
      <c r="D1959" s="1" t="s">
        <v>11</v>
      </c>
      <c r="E1959" s="1" t="s">
        <v>16</v>
      </c>
      <c r="F1959" s="1">
        <f t="shared" si="68"/>
        <v>340</v>
      </c>
      <c r="G1959" s="5">
        <f t="shared" si="67"/>
        <v>1.1029411764705883</v>
      </c>
    </row>
    <row r="1960" spans="1:7" ht="13">
      <c r="A1960" s="4" t="s">
        <v>118</v>
      </c>
      <c r="B1960" s="1">
        <v>8.1999999999999993</v>
      </c>
      <c r="C1960" s="1">
        <v>896</v>
      </c>
      <c r="D1960" s="1" t="s">
        <v>60</v>
      </c>
      <c r="E1960" s="1" t="s">
        <v>16</v>
      </c>
      <c r="F1960" s="1">
        <f t="shared" si="68"/>
        <v>819.99999999999989</v>
      </c>
      <c r="G1960" s="5">
        <f t="shared" si="67"/>
        <v>1.0926829268292684</v>
      </c>
    </row>
    <row r="1961" spans="1:7" ht="13">
      <c r="A1961" s="4" t="s">
        <v>118</v>
      </c>
      <c r="B1961" s="1">
        <v>6.4</v>
      </c>
      <c r="C1961" s="1">
        <v>617.5</v>
      </c>
      <c r="D1961" s="1" t="s">
        <v>35</v>
      </c>
      <c r="E1961" s="1" t="s">
        <v>18</v>
      </c>
      <c r="F1961" s="1">
        <f t="shared" si="68"/>
        <v>640</v>
      </c>
      <c r="G1961" s="5">
        <f t="shared" si="67"/>
        <v>0.96484375</v>
      </c>
    </row>
    <row r="1962" spans="1:7" ht="13">
      <c r="A1962" s="4" t="s">
        <v>118</v>
      </c>
      <c r="B1962" s="1">
        <v>5</v>
      </c>
      <c r="C1962" s="1">
        <v>552</v>
      </c>
      <c r="D1962" s="1" t="s">
        <v>11</v>
      </c>
      <c r="E1962" s="1" t="s">
        <v>23</v>
      </c>
      <c r="F1962" s="1">
        <f t="shared" si="68"/>
        <v>500</v>
      </c>
      <c r="G1962" s="5">
        <f t="shared" si="67"/>
        <v>1.1040000000000001</v>
      </c>
    </row>
    <row r="1963" spans="1:7" ht="13">
      <c r="A1963" s="4" t="s">
        <v>118</v>
      </c>
      <c r="B1963" s="1">
        <v>7.3</v>
      </c>
      <c r="C1963" s="1">
        <v>789</v>
      </c>
      <c r="D1963" s="1" t="s">
        <v>35</v>
      </c>
      <c r="E1963" s="1" t="s">
        <v>28</v>
      </c>
      <c r="F1963" s="1">
        <f t="shared" si="68"/>
        <v>730</v>
      </c>
      <c r="G1963" s="5">
        <f t="shared" si="67"/>
        <v>1.0808219178082192</v>
      </c>
    </row>
    <row r="1964" spans="1:7" ht="13">
      <c r="A1964" s="4" t="s">
        <v>118</v>
      </c>
      <c r="B1964" s="1">
        <v>5.22</v>
      </c>
      <c r="C1964" s="1">
        <v>631.28</v>
      </c>
      <c r="D1964" s="1" t="s">
        <v>11</v>
      </c>
      <c r="E1964" s="1" t="s">
        <v>7</v>
      </c>
      <c r="F1964" s="1">
        <f t="shared" si="68"/>
        <v>522</v>
      </c>
      <c r="G1964" s="5">
        <f t="shared" si="67"/>
        <v>1.2093486590038314</v>
      </c>
    </row>
    <row r="1965" spans="1:7" ht="13">
      <c r="A1965" s="4" t="s">
        <v>118</v>
      </c>
      <c r="B1965" s="1">
        <v>7.14</v>
      </c>
      <c r="C1965" s="1">
        <v>758</v>
      </c>
      <c r="D1965" s="1" t="s">
        <v>11</v>
      </c>
      <c r="E1965" s="1" t="s">
        <v>28</v>
      </c>
      <c r="F1965" s="1">
        <f t="shared" si="68"/>
        <v>714</v>
      </c>
      <c r="G1965" s="5">
        <f t="shared" si="67"/>
        <v>1.061624649859944</v>
      </c>
    </row>
    <row r="1966" spans="1:7" ht="13">
      <c r="A1966" s="4" t="s">
        <v>118</v>
      </c>
      <c r="B1966" s="1">
        <v>8.4</v>
      </c>
      <c r="C1966" s="1">
        <v>893</v>
      </c>
      <c r="D1966" s="1" t="s">
        <v>42</v>
      </c>
      <c r="E1966" s="1" t="s">
        <v>32</v>
      </c>
      <c r="F1966" s="1">
        <f t="shared" si="68"/>
        <v>840</v>
      </c>
      <c r="G1966" s="5">
        <f t="shared" si="67"/>
        <v>1.0630952380952381</v>
      </c>
    </row>
    <row r="1967" spans="1:7" ht="13">
      <c r="A1967" s="4" t="s">
        <v>118</v>
      </c>
      <c r="B1967" s="1">
        <v>8.1</v>
      </c>
      <c r="C1967" s="1">
        <v>1045</v>
      </c>
      <c r="D1967" s="1" t="s">
        <v>11</v>
      </c>
      <c r="E1967" s="1" t="s">
        <v>8</v>
      </c>
      <c r="F1967" s="1">
        <f t="shared" si="68"/>
        <v>810</v>
      </c>
      <c r="G1967" s="5">
        <f t="shared" si="67"/>
        <v>1.2901234567901234</v>
      </c>
    </row>
    <row r="1968" spans="1:7" ht="13">
      <c r="A1968" s="4" t="s">
        <v>118</v>
      </c>
      <c r="B1968" s="1">
        <v>5</v>
      </c>
      <c r="C1968" s="1">
        <v>749</v>
      </c>
      <c r="D1968" s="1" t="s">
        <v>43</v>
      </c>
      <c r="E1968" s="1" t="s">
        <v>9</v>
      </c>
      <c r="F1968" s="1">
        <f t="shared" si="68"/>
        <v>500</v>
      </c>
      <c r="G1968" s="5">
        <f t="shared" si="67"/>
        <v>1.498</v>
      </c>
    </row>
    <row r="1969" spans="1:7" ht="13">
      <c r="A1969" s="4" t="s">
        <v>118</v>
      </c>
      <c r="B1969" s="1">
        <v>27.5</v>
      </c>
      <c r="C1969" s="1">
        <v>5119</v>
      </c>
      <c r="D1969" s="1" t="s">
        <v>53</v>
      </c>
      <c r="E1969" s="1" t="s">
        <v>9</v>
      </c>
      <c r="F1969" s="1">
        <f t="shared" si="68"/>
        <v>2750</v>
      </c>
      <c r="G1969" s="5">
        <f t="shared" si="67"/>
        <v>1.8614545454545455</v>
      </c>
    </row>
    <row r="1970" spans="1:7" ht="13">
      <c r="A1970" s="4" t="s">
        <v>118</v>
      </c>
      <c r="B1970" s="1">
        <v>6.8</v>
      </c>
      <c r="C1970" s="1">
        <v>782</v>
      </c>
      <c r="D1970" s="1" t="s">
        <v>44</v>
      </c>
      <c r="E1970" s="1" t="s">
        <v>26</v>
      </c>
      <c r="F1970" s="1">
        <f t="shared" si="68"/>
        <v>680</v>
      </c>
      <c r="G1970" s="5">
        <f t="shared" si="67"/>
        <v>1.1499999999999999</v>
      </c>
    </row>
    <row r="1971" spans="1:7" ht="13">
      <c r="A1971" s="4" t="s">
        <v>118</v>
      </c>
      <c r="B1971" s="1">
        <v>7.7</v>
      </c>
      <c r="C1971" s="1">
        <v>976</v>
      </c>
      <c r="D1971" s="1" t="s">
        <v>34</v>
      </c>
      <c r="E1971" s="1" t="s">
        <v>10</v>
      </c>
      <c r="F1971" s="1">
        <f t="shared" si="68"/>
        <v>770</v>
      </c>
      <c r="G1971" s="5">
        <f t="shared" si="67"/>
        <v>1.2675324675324675</v>
      </c>
    </row>
    <row r="1972" spans="1:7" ht="13">
      <c r="A1972" s="4" t="s">
        <v>118</v>
      </c>
      <c r="B1972" s="1">
        <v>4.2</v>
      </c>
      <c r="C1972" s="1">
        <v>468</v>
      </c>
      <c r="D1972" s="1" t="s">
        <v>102</v>
      </c>
      <c r="E1972" s="1" t="s">
        <v>26</v>
      </c>
      <c r="F1972" s="1">
        <f t="shared" si="68"/>
        <v>420</v>
      </c>
      <c r="G1972" s="5">
        <f t="shared" si="67"/>
        <v>1.1142857142857143</v>
      </c>
    </row>
    <row r="1973" spans="1:7" ht="13">
      <c r="A1973" s="4" t="s">
        <v>118</v>
      </c>
      <c r="B1973" s="1">
        <v>7.85</v>
      </c>
      <c r="C1973" s="1">
        <v>836</v>
      </c>
      <c r="D1973" s="1" t="s">
        <v>11</v>
      </c>
      <c r="E1973" s="1" t="s">
        <v>8</v>
      </c>
      <c r="F1973" s="1">
        <f t="shared" si="68"/>
        <v>785</v>
      </c>
      <c r="G1973" s="5">
        <f t="shared" si="67"/>
        <v>1.064968152866242</v>
      </c>
    </row>
    <row r="1974" spans="1:7" ht="13">
      <c r="A1974" s="4" t="s">
        <v>118</v>
      </c>
      <c r="B1974" s="1">
        <v>9.4600000000000009</v>
      </c>
      <c r="C1974" s="1">
        <v>796</v>
      </c>
      <c r="D1974" s="1" t="s">
        <v>52</v>
      </c>
      <c r="E1974" s="1" t="s">
        <v>18</v>
      </c>
      <c r="F1974" s="1">
        <f t="shared" si="68"/>
        <v>946.00000000000011</v>
      </c>
      <c r="G1974" s="5">
        <f t="shared" si="67"/>
        <v>0.84143763213530642</v>
      </c>
    </row>
    <row r="1975" spans="1:7" ht="13">
      <c r="A1975" s="4" t="s">
        <v>118</v>
      </c>
      <c r="B1975" s="1">
        <v>7.74</v>
      </c>
      <c r="C1975" s="1">
        <v>915</v>
      </c>
      <c r="D1975" s="1" t="s">
        <v>33</v>
      </c>
      <c r="E1975" s="1" t="s">
        <v>9</v>
      </c>
      <c r="F1975" s="1">
        <f t="shared" si="68"/>
        <v>774</v>
      </c>
      <c r="G1975" s="5">
        <f t="shared" si="67"/>
        <v>1.182170542635659</v>
      </c>
    </row>
    <row r="1976" spans="1:7" ht="13">
      <c r="A1976" s="4" t="s">
        <v>118</v>
      </c>
      <c r="B1976" s="1">
        <v>5</v>
      </c>
      <c r="C1976" s="1">
        <v>460</v>
      </c>
      <c r="D1976" s="1" t="s">
        <v>11</v>
      </c>
      <c r="E1976" s="1" t="s">
        <v>7</v>
      </c>
      <c r="F1976" s="1">
        <f t="shared" si="68"/>
        <v>500</v>
      </c>
      <c r="G1976" s="5">
        <f t="shared" si="67"/>
        <v>0.92</v>
      </c>
    </row>
    <row r="1977" spans="1:7" ht="13">
      <c r="A1977" s="4" t="s">
        <v>118</v>
      </c>
      <c r="B1977" s="1">
        <v>6.88</v>
      </c>
      <c r="C1977" s="1">
        <v>710</v>
      </c>
      <c r="D1977" s="1" t="s">
        <v>88</v>
      </c>
      <c r="E1977" s="1" t="s">
        <v>32</v>
      </c>
      <c r="F1977" s="1">
        <f t="shared" si="68"/>
        <v>688</v>
      </c>
      <c r="G1977" s="5">
        <f t="shared" si="67"/>
        <v>1.0319767441860466</v>
      </c>
    </row>
    <row r="1978" spans="1:7" ht="13">
      <c r="A1978" s="4" t="s">
        <v>118</v>
      </c>
      <c r="B1978" s="1">
        <v>10.875</v>
      </c>
      <c r="C1978" s="1">
        <v>1041</v>
      </c>
      <c r="D1978" s="1" t="s">
        <v>33</v>
      </c>
      <c r="E1978" s="1" t="s">
        <v>22</v>
      </c>
      <c r="F1978" s="1">
        <f t="shared" si="68"/>
        <v>1087.5</v>
      </c>
      <c r="G1978" s="5">
        <f t="shared" si="67"/>
        <v>0.95724137931034481</v>
      </c>
    </row>
    <row r="1979" spans="1:7" ht="13">
      <c r="A1979" s="4" t="s">
        <v>118</v>
      </c>
      <c r="B1979" s="1">
        <v>6.09</v>
      </c>
      <c r="C1979" s="1">
        <v>600.41999999999996</v>
      </c>
      <c r="D1979" s="1" t="s">
        <v>42</v>
      </c>
      <c r="E1979" s="1" t="s">
        <v>15</v>
      </c>
      <c r="F1979" s="1">
        <f t="shared" si="68"/>
        <v>609</v>
      </c>
      <c r="G1979" s="5">
        <f t="shared" si="67"/>
        <v>0.98591133004926101</v>
      </c>
    </row>
    <row r="1980" spans="1:7" ht="13">
      <c r="A1980" s="4" t="s">
        <v>118</v>
      </c>
      <c r="B1980" s="1">
        <v>5</v>
      </c>
      <c r="C1980" s="1">
        <v>515</v>
      </c>
      <c r="D1980" s="1" t="s">
        <v>11</v>
      </c>
      <c r="E1980" s="1" t="s">
        <v>25</v>
      </c>
      <c r="F1980" s="1">
        <f t="shared" si="68"/>
        <v>500</v>
      </c>
      <c r="G1980" s="5">
        <f t="shared" si="67"/>
        <v>1.03</v>
      </c>
    </row>
    <row r="1981" spans="1:7" ht="13">
      <c r="A1981" s="4" t="s">
        <v>118</v>
      </c>
      <c r="B1981" s="1">
        <v>15.6</v>
      </c>
      <c r="C1981" s="1">
        <v>2040</v>
      </c>
      <c r="D1981" s="1" t="s">
        <v>52</v>
      </c>
      <c r="E1981" s="1" t="s">
        <v>8</v>
      </c>
      <c r="F1981" s="1">
        <f t="shared" si="68"/>
        <v>1560</v>
      </c>
      <c r="G1981" s="5">
        <f t="shared" si="67"/>
        <v>1.3076923076923077</v>
      </c>
    </row>
    <row r="1982" spans="1:7" ht="13">
      <c r="A1982" s="4" t="s">
        <v>118</v>
      </c>
      <c r="B1982" s="1">
        <v>8.6999999999999993</v>
      </c>
      <c r="C1982" s="1">
        <v>925</v>
      </c>
      <c r="D1982" s="1" t="s">
        <v>33</v>
      </c>
      <c r="E1982" s="1" t="s">
        <v>26</v>
      </c>
      <c r="F1982" s="1">
        <f t="shared" si="68"/>
        <v>869.99999999999989</v>
      </c>
      <c r="G1982" s="5">
        <f t="shared" si="67"/>
        <v>1.0632183908045978</v>
      </c>
    </row>
    <row r="1983" spans="1:7" ht="13">
      <c r="A1983" s="4" t="s">
        <v>118</v>
      </c>
      <c r="B1983" s="1">
        <v>5.4</v>
      </c>
      <c r="C1983" s="1">
        <v>613</v>
      </c>
      <c r="D1983" s="1" t="s">
        <v>33</v>
      </c>
      <c r="E1983" s="1" t="s">
        <v>25</v>
      </c>
      <c r="F1983" s="1">
        <f t="shared" si="68"/>
        <v>540</v>
      </c>
      <c r="G1983" s="5">
        <f t="shared" si="67"/>
        <v>1.1351851851851851</v>
      </c>
    </row>
    <row r="1984" spans="1:7" ht="13">
      <c r="A1984" s="4" t="s">
        <v>118</v>
      </c>
      <c r="B1984" s="1">
        <v>7.8</v>
      </c>
      <c r="C1984" s="1">
        <v>890</v>
      </c>
      <c r="D1984" s="1" t="s">
        <v>39</v>
      </c>
      <c r="E1984" s="1" t="s">
        <v>17</v>
      </c>
      <c r="F1984" s="1">
        <f t="shared" si="68"/>
        <v>780</v>
      </c>
      <c r="G1984" s="5">
        <f t="shared" si="67"/>
        <v>1.141025641025641</v>
      </c>
    </row>
    <row r="1985" spans="1:7" ht="13">
      <c r="A1985" s="4" t="s">
        <v>118</v>
      </c>
      <c r="B1985" s="1">
        <v>5.2</v>
      </c>
      <c r="C1985" s="1">
        <v>714</v>
      </c>
      <c r="D1985" s="1" t="s">
        <v>43</v>
      </c>
      <c r="E1985" s="1" t="s">
        <v>16</v>
      </c>
      <c r="F1985" s="1">
        <f t="shared" si="68"/>
        <v>520</v>
      </c>
      <c r="G1985" s="5">
        <f t="shared" si="67"/>
        <v>1.3730769230769231</v>
      </c>
    </row>
    <row r="1986" spans="1:7" ht="13">
      <c r="A1986" s="4" t="s">
        <v>118</v>
      </c>
      <c r="B1986" s="1">
        <v>7.56</v>
      </c>
      <c r="C1986" s="1">
        <v>966</v>
      </c>
      <c r="D1986" s="1" t="s">
        <v>11</v>
      </c>
      <c r="E1986" s="1" t="s">
        <v>9</v>
      </c>
      <c r="F1986" s="1">
        <f t="shared" si="68"/>
        <v>756</v>
      </c>
      <c r="G1986" s="5">
        <f t="shared" ref="G1986:G2049" si="69">C1986/F1986</f>
        <v>1.2777777777777777</v>
      </c>
    </row>
    <row r="1987" spans="1:7" ht="13">
      <c r="A1987" s="4" t="s">
        <v>118</v>
      </c>
      <c r="B1987" s="1">
        <v>6</v>
      </c>
      <c r="C1987" s="1">
        <v>686</v>
      </c>
      <c r="D1987" s="1" t="s">
        <v>33</v>
      </c>
      <c r="E1987" s="1" t="s">
        <v>16</v>
      </c>
      <c r="F1987" s="1">
        <f t="shared" ref="F1987:F2050" si="70">B1987*100</f>
        <v>600</v>
      </c>
      <c r="G1987" s="5">
        <f t="shared" si="69"/>
        <v>1.1433333333333333</v>
      </c>
    </row>
    <row r="1988" spans="1:7" ht="13">
      <c r="A1988" s="4" t="s">
        <v>118</v>
      </c>
      <c r="B1988" s="1">
        <v>8.6</v>
      </c>
      <c r="C1988" s="1">
        <v>936</v>
      </c>
      <c r="D1988" s="1" t="s">
        <v>33</v>
      </c>
      <c r="E1988" s="1" t="s">
        <v>26</v>
      </c>
      <c r="F1988" s="1">
        <f t="shared" si="70"/>
        <v>860</v>
      </c>
      <c r="G1988" s="5">
        <f t="shared" si="69"/>
        <v>1.0883720930232559</v>
      </c>
    </row>
    <row r="1989" spans="1:7" ht="13">
      <c r="A1989" s="4" t="s">
        <v>118</v>
      </c>
      <c r="B1989" s="1">
        <v>4.92</v>
      </c>
      <c r="C1989" s="1">
        <v>572.5</v>
      </c>
      <c r="D1989" s="1" t="s">
        <v>47</v>
      </c>
      <c r="E1989" s="1" t="s">
        <v>22</v>
      </c>
      <c r="F1989" s="1">
        <f t="shared" si="70"/>
        <v>492</v>
      </c>
      <c r="G1989" s="5">
        <f t="shared" si="69"/>
        <v>1.1636178861788617</v>
      </c>
    </row>
    <row r="1990" spans="1:7" ht="13">
      <c r="A1990" s="4" t="s">
        <v>118</v>
      </c>
      <c r="B1990" s="1">
        <v>6</v>
      </c>
      <c r="C1990" s="1">
        <v>494</v>
      </c>
      <c r="D1990" s="1" t="s">
        <v>36</v>
      </c>
      <c r="E1990" s="1" t="s">
        <v>9</v>
      </c>
      <c r="F1990" s="1">
        <f t="shared" si="70"/>
        <v>600</v>
      </c>
      <c r="G1990" s="5">
        <f t="shared" si="69"/>
        <v>0.82333333333333336</v>
      </c>
    </row>
    <row r="1991" spans="1:7" ht="13">
      <c r="A1991" s="4" t="s">
        <v>118</v>
      </c>
      <c r="B1991" s="1">
        <v>9.57</v>
      </c>
      <c r="C1991" s="1">
        <v>1004</v>
      </c>
      <c r="D1991" s="1" t="s">
        <v>11</v>
      </c>
      <c r="E1991" s="1" t="s">
        <v>10</v>
      </c>
      <c r="F1991" s="1">
        <f t="shared" si="70"/>
        <v>957</v>
      </c>
      <c r="G1991" s="5">
        <f t="shared" si="69"/>
        <v>1.0491118077324975</v>
      </c>
    </row>
    <row r="1992" spans="1:7" ht="13">
      <c r="A1992" s="4" t="s">
        <v>118</v>
      </c>
      <c r="B1992" s="1">
        <v>4.2</v>
      </c>
      <c r="C1992" s="1">
        <v>429.1</v>
      </c>
      <c r="D1992" s="1" t="s">
        <v>35</v>
      </c>
      <c r="E1992" s="1" t="s">
        <v>17</v>
      </c>
      <c r="F1992" s="1">
        <f t="shared" si="70"/>
        <v>420</v>
      </c>
      <c r="G1992" s="5">
        <f t="shared" si="69"/>
        <v>1.0216666666666667</v>
      </c>
    </row>
    <row r="1993" spans="1:7" ht="13">
      <c r="A1993" s="4" t="s">
        <v>118</v>
      </c>
      <c r="B1993" s="1">
        <v>6.96</v>
      </c>
      <c r="C1993" s="1">
        <v>845</v>
      </c>
      <c r="D1993" s="1" t="s">
        <v>37</v>
      </c>
      <c r="E1993" s="1" t="s">
        <v>9</v>
      </c>
      <c r="F1993" s="1">
        <f t="shared" si="70"/>
        <v>696</v>
      </c>
      <c r="G1993" s="5">
        <f t="shared" si="69"/>
        <v>1.2140804597701149</v>
      </c>
    </row>
    <row r="1994" spans="1:7" ht="13">
      <c r="A1994" s="4" t="s">
        <v>118</v>
      </c>
      <c r="B1994" s="1">
        <v>9.68</v>
      </c>
      <c r="C1994" s="1">
        <v>1020</v>
      </c>
      <c r="D1994" s="1" t="s">
        <v>37</v>
      </c>
      <c r="E1994" s="1" t="s">
        <v>7</v>
      </c>
      <c r="F1994" s="1">
        <f t="shared" si="70"/>
        <v>968</v>
      </c>
      <c r="G1994" s="5">
        <f t="shared" si="69"/>
        <v>1.0537190082644627</v>
      </c>
    </row>
    <row r="1995" spans="1:7" ht="13">
      <c r="A1995" s="4" t="s">
        <v>118</v>
      </c>
      <c r="B1995" s="1">
        <v>6.1</v>
      </c>
      <c r="C1995" s="1">
        <v>666</v>
      </c>
      <c r="D1995" s="1" t="s">
        <v>11</v>
      </c>
      <c r="E1995" s="1" t="s">
        <v>26</v>
      </c>
      <c r="F1995" s="1">
        <f t="shared" si="70"/>
        <v>610</v>
      </c>
      <c r="G1995" s="5">
        <f t="shared" si="69"/>
        <v>1.0918032786885246</v>
      </c>
    </row>
    <row r="1996" spans="1:7" ht="13">
      <c r="A1996" s="4" t="s">
        <v>118</v>
      </c>
      <c r="B1996" s="1">
        <v>6</v>
      </c>
      <c r="C1996" s="1">
        <v>774</v>
      </c>
      <c r="D1996" s="1" t="s">
        <v>11</v>
      </c>
      <c r="E1996" s="1" t="s">
        <v>28</v>
      </c>
      <c r="F1996" s="1">
        <f t="shared" si="70"/>
        <v>600</v>
      </c>
      <c r="G1996" s="5">
        <f t="shared" si="69"/>
        <v>1.29</v>
      </c>
    </row>
    <row r="1997" spans="1:7" ht="13">
      <c r="A1997" s="4" t="s">
        <v>118</v>
      </c>
      <c r="B1997" s="1">
        <v>8.375</v>
      </c>
      <c r="C1997" s="1">
        <v>887</v>
      </c>
      <c r="D1997" s="1" t="s">
        <v>11</v>
      </c>
      <c r="E1997" s="1" t="s">
        <v>15</v>
      </c>
      <c r="F1997" s="1">
        <f t="shared" si="70"/>
        <v>837.5</v>
      </c>
      <c r="G1997" s="5">
        <f t="shared" si="69"/>
        <v>1.0591044776119403</v>
      </c>
    </row>
    <row r="1998" spans="1:7" ht="13">
      <c r="A1998" s="4" t="s">
        <v>118</v>
      </c>
      <c r="B1998" s="1">
        <v>7.83</v>
      </c>
      <c r="C1998" s="1">
        <v>849</v>
      </c>
      <c r="D1998" s="1" t="s">
        <v>33</v>
      </c>
      <c r="E1998" s="1" t="s">
        <v>12</v>
      </c>
      <c r="F1998" s="1">
        <f t="shared" si="70"/>
        <v>783</v>
      </c>
      <c r="G1998" s="5">
        <f t="shared" si="69"/>
        <v>1.0842911877394636</v>
      </c>
    </row>
    <row r="1999" spans="1:7" ht="13">
      <c r="A1999" s="4" t="s">
        <v>118</v>
      </c>
      <c r="B1999" s="1">
        <v>5.2</v>
      </c>
      <c r="C1999" s="1">
        <v>620</v>
      </c>
      <c r="D1999" s="1" t="s">
        <v>11</v>
      </c>
      <c r="E1999" s="1" t="s">
        <v>28</v>
      </c>
      <c r="F1999" s="1">
        <f t="shared" si="70"/>
        <v>520</v>
      </c>
      <c r="G1999" s="5">
        <f t="shared" si="69"/>
        <v>1.1923076923076923</v>
      </c>
    </row>
    <row r="2000" spans="1:7" ht="13">
      <c r="A2000" s="4" t="s">
        <v>118</v>
      </c>
      <c r="B2000" s="1">
        <v>8.4</v>
      </c>
      <c r="C2000" s="1">
        <v>910</v>
      </c>
      <c r="D2000" s="1" t="s">
        <v>33</v>
      </c>
      <c r="E2000" s="1" t="s">
        <v>25</v>
      </c>
      <c r="F2000" s="1">
        <f t="shared" si="70"/>
        <v>840</v>
      </c>
      <c r="G2000" s="5">
        <f t="shared" si="69"/>
        <v>1.0833333333333333</v>
      </c>
    </row>
    <row r="2001" spans="1:7" ht="13">
      <c r="A2001" s="4" t="s">
        <v>118</v>
      </c>
      <c r="B2001" s="1">
        <v>8.1</v>
      </c>
      <c r="C2001" s="1">
        <v>834</v>
      </c>
      <c r="D2001" s="1" t="s">
        <v>35</v>
      </c>
      <c r="E2001" s="1" t="s">
        <v>7</v>
      </c>
      <c r="F2001" s="1">
        <f t="shared" si="70"/>
        <v>810</v>
      </c>
      <c r="G2001" s="5">
        <f t="shared" si="69"/>
        <v>1.0296296296296297</v>
      </c>
    </row>
    <row r="2002" spans="1:7" ht="13">
      <c r="A2002" s="4" t="s">
        <v>118</v>
      </c>
      <c r="B2002" s="1">
        <v>3.8</v>
      </c>
      <c r="C2002" s="1">
        <v>414</v>
      </c>
      <c r="D2002" s="1" t="s">
        <v>11</v>
      </c>
      <c r="E2002" s="1" t="s">
        <v>31</v>
      </c>
      <c r="F2002" s="1">
        <f t="shared" si="70"/>
        <v>380</v>
      </c>
      <c r="G2002" s="5">
        <f t="shared" si="69"/>
        <v>1.0894736842105264</v>
      </c>
    </row>
    <row r="2003" spans="1:7" ht="13">
      <c r="A2003" s="4" t="s">
        <v>118</v>
      </c>
      <c r="B2003" s="1">
        <v>7.74</v>
      </c>
      <c r="C2003" s="1">
        <v>648</v>
      </c>
      <c r="D2003" s="1" t="s">
        <v>35</v>
      </c>
      <c r="E2003" s="1" t="s">
        <v>8</v>
      </c>
      <c r="F2003" s="1">
        <f t="shared" si="70"/>
        <v>774</v>
      </c>
      <c r="G2003" s="5">
        <f t="shared" si="69"/>
        <v>0.83720930232558144</v>
      </c>
    </row>
    <row r="2004" spans="1:7" ht="13">
      <c r="A2004" s="4" t="s">
        <v>118</v>
      </c>
      <c r="B2004" s="1">
        <v>6</v>
      </c>
      <c r="C2004" s="1">
        <v>660</v>
      </c>
      <c r="D2004" s="1" t="s">
        <v>33</v>
      </c>
      <c r="E2004" s="1" t="s">
        <v>15</v>
      </c>
      <c r="F2004" s="1">
        <f t="shared" si="70"/>
        <v>600</v>
      </c>
      <c r="G2004" s="5">
        <f t="shared" si="69"/>
        <v>1.1000000000000001</v>
      </c>
    </row>
    <row r="2005" spans="1:7" ht="13">
      <c r="A2005" s="4" t="s">
        <v>118</v>
      </c>
      <c r="B2005" s="1">
        <v>4.2</v>
      </c>
      <c r="C2005" s="1">
        <v>512</v>
      </c>
      <c r="D2005" s="1" t="s">
        <v>11</v>
      </c>
      <c r="E2005" s="1" t="s">
        <v>15</v>
      </c>
      <c r="F2005" s="1">
        <f t="shared" si="70"/>
        <v>420</v>
      </c>
      <c r="G2005" s="5">
        <f t="shared" si="69"/>
        <v>1.2190476190476192</v>
      </c>
    </row>
    <row r="2006" spans="1:7" ht="13">
      <c r="A2006" s="4" t="s">
        <v>118</v>
      </c>
      <c r="B2006" s="1">
        <v>6750</v>
      </c>
      <c r="C2006" s="1">
        <v>750</v>
      </c>
      <c r="D2006" s="1" t="s">
        <v>11</v>
      </c>
      <c r="E2006" s="1" t="s">
        <v>17</v>
      </c>
      <c r="F2006" s="1">
        <f t="shared" si="70"/>
        <v>675000</v>
      </c>
      <c r="G2006" s="5">
        <f t="shared" si="69"/>
        <v>1.1111111111111111E-3</v>
      </c>
    </row>
    <row r="2007" spans="1:7" ht="13">
      <c r="A2007" s="4" t="s">
        <v>118</v>
      </c>
      <c r="B2007" s="1">
        <v>5.92</v>
      </c>
      <c r="C2007" s="1">
        <v>673</v>
      </c>
      <c r="D2007" s="1" t="s">
        <v>11</v>
      </c>
      <c r="E2007" s="1" t="s">
        <v>17</v>
      </c>
      <c r="F2007" s="1">
        <f t="shared" si="70"/>
        <v>592</v>
      </c>
      <c r="G2007" s="5">
        <f t="shared" si="69"/>
        <v>1.1368243243243243</v>
      </c>
    </row>
    <row r="2008" spans="1:7" ht="13">
      <c r="A2008" s="4" t="s">
        <v>118</v>
      </c>
      <c r="B2008" s="1">
        <v>7.3949999999999996</v>
      </c>
      <c r="C2008" s="1">
        <v>798</v>
      </c>
      <c r="D2008" s="1" t="s">
        <v>42</v>
      </c>
      <c r="E2008" s="1" t="s">
        <v>25</v>
      </c>
      <c r="F2008" s="1">
        <f t="shared" si="70"/>
        <v>739.5</v>
      </c>
      <c r="G2008" s="5">
        <f t="shared" si="69"/>
        <v>1.079107505070994</v>
      </c>
    </row>
    <row r="2009" spans="1:7" ht="13">
      <c r="A2009" s="4" t="s">
        <v>118</v>
      </c>
      <c r="B2009" s="1">
        <v>3.48</v>
      </c>
      <c r="C2009" s="1">
        <v>395</v>
      </c>
      <c r="D2009" s="1" t="s">
        <v>11</v>
      </c>
      <c r="E2009" s="1" t="s">
        <v>7</v>
      </c>
      <c r="F2009" s="1">
        <f t="shared" si="70"/>
        <v>348</v>
      </c>
      <c r="G2009" s="5">
        <f t="shared" si="69"/>
        <v>1.1350574712643677</v>
      </c>
    </row>
    <row r="2010" spans="1:7" ht="13">
      <c r="A2010" s="4" t="s">
        <v>118</v>
      </c>
      <c r="B2010" s="1">
        <v>8.4</v>
      </c>
      <c r="C2010" s="1">
        <v>870</v>
      </c>
      <c r="D2010" s="1" t="s">
        <v>11</v>
      </c>
      <c r="E2010" s="1" t="s">
        <v>24</v>
      </c>
      <c r="F2010" s="1">
        <f t="shared" si="70"/>
        <v>840</v>
      </c>
      <c r="G2010" s="5">
        <f t="shared" si="69"/>
        <v>1.0357142857142858</v>
      </c>
    </row>
    <row r="2011" spans="1:7" ht="13">
      <c r="A2011" s="4" t="s">
        <v>118</v>
      </c>
      <c r="B2011" s="1">
        <v>5.16</v>
      </c>
      <c r="C2011" s="1">
        <v>542</v>
      </c>
      <c r="D2011" s="1" t="s">
        <v>45</v>
      </c>
      <c r="E2011" s="1" t="s">
        <v>22</v>
      </c>
      <c r="F2011" s="1">
        <f t="shared" si="70"/>
        <v>516</v>
      </c>
      <c r="G2011" s="5">
        <f t="shared" si="69"/>
        <v>1.0503875968992249</v>
      </c>
    </row>
    <row r="2012" spans="1:7" ht="13">
      <c r="A2012" s="4" t="s">
        <v>118</v>
      </c>
      <c r="B2012" s="1">
        <v>5.5</v>
      </c>
      <c r="C2012" s="1">
        <v>595</v>
      </c>
      <c r="D2012" s="1" t="s">
        <v>11</v>
      </c>
      <c r="E2012" s="1" t="s">
        <v>16</v>
      </c>
      <c r="F2012" s="1">
        <f t="shared" si="70"/>
        <v>550</v>
      </c>
      <c r="G2012" s="5">
        <f t="shared" si="69"/>
        <v>1.0818181818181818</v>
      </c>
    </row>
    <row r="2013" spans="1:7" ht="13">
      <c r="A2013" s="4" t="s">
        <v>118</v>
      </c>
      <c r="B2013" s="1">
        <v>8.6999999999999993</v>
      </c>
      <c r="C2013" s="1">
        <v>959</v>
      </c>
      <c r="D2013" s="1" t="s">
        <v>11</v>
      </c>
      <c r="E2013" s="1" t="s">
        <v>9</v>
      </c>
      <c r="F2013" s="1">
        <f t="shared" si="70"/>
        <v>869.99999999999989</v>
      </c>
      <c r="G2013" s="5">
        <f t="shared" si="69"/>
        <v>1.1022988505747129</v>
      </c>
    </row>
    <row r="2014" spans="1:7" ht="13">
      <c r="A2014" s="4" t="s">
        <v>118</v>
      </c>
      <c r="B2014" s="1">
        <v>4.5</v>
      </c>
      <c r="C2014" s="1">
        <v>531</v>
      </c>
      <c r="D2014" s="1" t="s">
        <v>39</v>
      </c>
      <c r="E2014" s="1" t="s">
        <v>15</v>
      </c>
      <c r="F2014" s="1">
        <f t="shared" si="70"/>
        <v>450</v>
      </c>
      <c r="G2014" s="5">
        <f t="shared" si="69"/>
        <v>1.18</v>
      </c>
    </row>
    <row r="2015" spans="1:7" ht="13">
      <c r="A2015" s="4" t="s">
        <v>118</v>
      </c>
      <c r="B2015" s="1">
        <v>5.28</v>
      </c>
      <c r="C2015" s="1">
        <v>610</v>
      </c>
      <c r="D2015" s="1" t="s">
        <v>33</v>
      </c>
      <c r="E2015" s="1" t="s">
        <v>21</v>
      </c>
      <c r="F2015" s="1">
        <f t="shared" si="70"/>
        <v>528</v>
      </c>
      <c r="G2015" s="5">
        <f t="shared" si="69"/>
        <v>1.1553030303030303</v>
      </c>
    </row>
    <row r="2016" spans="1:7" ht="13">
      <c r="A2016" s="4" t="s">
        <v>118</v>
      </c>
      <c r="B2016" s="1">
        <v>6.02</v>
      </c>
      <c r="C2016" s="1">
        <v>868</v>
      </c>
      <c r="D2016" s="1" t="s">
        <v>33</v>
      </c>
      <c r="E2016" s="1" t="s">
        <v>10</v>
      </c>
      <c r="F2016" s="1">
        <f t="shared" si="70"/>
        <v>602</v>
      </c>
      <c r="G2016" s="5">
        <f t="shared" si="69"/>
        <v>1.441860465116279</v>
      </c>
    </row>
    <row r="2017" spans="1:7" ht="13">
      <c r="A2017" s="4" t="s">
        <v>118</v>
      </c>
      <c r="B2017" s="1">
        <v>6.7</v>
      </c>
      <c r="C2017" s="1">
        <v>693</v>
      </c>
      <c r="D2017" s="1" t="s">
        <v>33</v>
      </c>
      <c r="E2017" s="1" t="s">
        <v>21</v>
      </c>
      <c r="F2017" s="1">
        <f t="shared" si="70"/>
        <v>670</v>
      </c>
      <c r="G2017" s="5">
        <f t="shared" si="69"/>
        <v>1.0343283582089553</v>
      </c>
    </row>
    <row r="2018" spans="1:7" ht="13">
      <c r="A2018" s="4" t="s">
        <v>118</v>
      </c>
      <c r="B2018" s="1">
        <v>7.4</v>
      </c>
      <c r="C2018" s="1">
        <v>885</v>
      </c>
      <c r="D2018" s="1" t="s">
        <v>33</v>
      </c>
      <c r="E2018" s="1" t="s">
        <v>23</v>
      </c>
      <c r="F2018" s="1">
        <f t="shared" si="70"/>
        <v>740</v>
      </c>
      <c r="G2018" s="5">
        <f t="shared" si="69"/>
        <v>1.1959459459459461</v>
      </c>
    </row>
    <row r="2019" spans="1:7" ht="13">
      <c r="A2019" s="4" t="s">
        <v>118</v>
      </c>
      <c r="B2019" s="1">
        <v>7</v>
      </c>
      <c r="C2019" s="1">
        <v>896</v>
      </c>
      <c r="D2019" s="1" t="s">
        <v>11</v>
      </c>
      <c r="E2019" s="1" t="s">
        <v>25</v>
      </c>
      <c r="F2019" s="1">
        <f t="shared" si="70"/>
        <v>700</v>
      </c>
      <c r="G2019" s="5">
        <f t="shared" si="69"/>
        <v>1.28</v>
      </c>
    </row>
    <row r="2020" spans="1:7" ht="13">
      <c r="A2020" s="4" t="s">
        <v>118</v>
      </c>
      <c r="B2020" s="1">
        <v>5.22</v>
      </c>
      <c r="C2020" s="1">
        <v>621</v>
      </c>
      <c r="D2020" s="1" t="s">
        <v>47</v>
      </c>
      <c r="E2020" s="1" t="s">
        <v>8</v>
      </c>
      <c r="F2020" s="1">
        <f t="shared" si="70"/>
        <v>522</v>
      </c>
      <c r="G2020" s="5">
        <f t="shared" si="69"/>
        <v>1.1896551724137931</v>
      </c>
    </row>
    <row r="2021" spans="1:7" ht="13">
      <c r="A2021" s="4" t="s">
        <v>118</v>
      </c>
      <c r="B2021" s="1">
        <v>7.3</v>
      </c>
      <c r="C2021" s="1">
        <v>873</v>
      </c>
      <c r="D2021" s="1" t="s">
        <v>11</v>
      </c>
      <c r="E2021" s="1" t="s">
        <v>16</v>
      </c>
      <c r="F2021" s="1">
        <f t="shared" si="70"/>
        <v>730</v>
      </c>
      <c r="G2021" s="5">
        <f t="shared" si="69"/>
        <v>1.1958904109589041</v>
      </c>
    </row>
    <row r="2022" spans="1:7" ht="13">
      <c r="A2022" s="4" t="s">
        <v>118</v>
      </c>
      <c r="B2022" s="1">
        <v>6.88</v>
      </c>
      <c r="C2022" s="1">
        <v>803</v>
      </c>
      <c r="D2022" s="1" t="s">
        <v>11</v>
      </c>
      <c r="E2022" s="1" t="s">
        <v>8</v>
      </c>
      <c r="F2022" s="1">
        <f t="shared" si="70"/>
        <v>688</v>
      </c>
      <c r="G2022" s="5">
        <f t="shared" si="69"/>
        <v>1.1671511627906976</v>
      </c>
    </row>
    <row r="2023" spans="1:7" ht="13">
      <c r="A2023" s="4" t="s">
        <v>118</v>
      </c>
      <c r="B2023" s="1">
        <v>6</v>
      </c>
      <c r="C2023" s="1">
        <v>705</v>
      </c>
      <c r="D2023" s="1" t="s">
        <v>53</v>
      </c>
      <c r="E2023" s="1" t="s">
        <v>7</v>
      </c>
      <c r="F2023" s="1">
        <f t="shared" si="70"/>
        <v>600</v>
      </c>
      <c r="G2023" s="5">
        <f t="shared" si="69"/>
        <v>1.175</v>
      </c>
    </row>
    <row r="2024" spans="1:7" ht="13">
      <c r="A2024" s="4" t="s">
        <v>118</v>
      </c>
      <c r="B2024" s="1">
        <v>6</v>
      </c>
      <c r="C2024" s="1">
        <v>733</v>
      </c>
      <c r="D2024" s="1" t="s">
        <v>35</v>
      </c>
      <c r="E2024" s="1" t="s">
        <v>8</v>
      </c>
      <c r="F2024" s="1">
        <f t="shared" si="70"/>
        <v>600</v>
      </c>
      <c r="G2024" s="5">
        <f t="shared" si="69"/>
        <v>1.2216666666666667</v>
      </c>
    </row>
    <row r="2025" spans="1:7" ht="13">
      <c r="A2025" s="4" t="s">
        <v>118</v>
      </c>
      <c r="B2025" s="1">
        <v>5.65</v>
      </c>
      <c r="C2025" s="1">
        <v>549</v>
      </c>
      <c r="D2025" s="1" t="s">
        <v>43</v>
      </c>
      <c r="E2025" s="1" t="s">
        <v>15</v>
      </c>
      <c r="F2025" s="1">
        <f t="shared" si="70"/>
        <v>565</v>
      </c>
      <c r="G2025" s="5">
        <f t="shared" si="69"/>
        <v>0.97168141592920354</v>
      </c>
    </row>
    <row r="2026" spans="1:7" ht="13">
      <c r="A2026" s="4" t="s">
        <v>118</v>
      </c>
      <c r="B2026" s="1">
        <v>7.83</v>
      </c>
      <c r="C2026" s="1">
        <v>878</v>
      </c>
      <c r="D2026" s="1" t="s">
        <v>11</v>
      </c>
      <c r="E2026" s="1" t="s">
        <v>23</v>
      </c>
      <c r="F2026" s="1">
        <f t="shared" si="70"/>
        <v>783</v>
      </c>
      <c r="G2026" s="5">
        <f t="shared" si="69"/>
        <v>1.1213282247765006</v>
      </c>
    </row>
    <row r="2027" spans="1:7" ht="13">
      <c r="A2027" s="4" t="s">
        <v>118</v>
      </c>
      <c r="B2027" s="1">
        <v>7.74</v>
      </c>
      <c r="C2027" s="1">
        <v>869</v>
      </c>
      <c r="D2027" s="1" t="s">
        <v>33</v>
      </c>
      <c r="E2027" s="1" t="s">
        <v>16</v>
      </c>
      <c r="F2027" s="1">
        <f t="shared" si="70"/>
        <v>774</v>
      </c>
      <c r="G2027" s="5">
        <f t="shared" si="69"/>
        <v>1.1227390180878554</v>
      </c>
    </row>
    <row r="2028" spans="1:7" ht="13">
      <c r="A2028" s="4" t="s">
        <v>118</v>
      </c>
      <c r="B2028" s="1">
        <v>4.0999999999999996</v>
      </c>
      <c r="C2028" s="1">
        <v>518</v>
      </c>
      <c r="D2028" s="1" t="s">
        <v>11</v>
      </c>
      <c r="E2028" s="1" t="s">
        <v>18</v>
      </c>
      <c r="F2028" s="1">
        <f t="shared" si="70"/>
        <v>409.99999999999994</v>
      </c>
      <c r="G2028" s="5">
        <f t="shared" si="69"/>
        <v>1.2634146341463417</v>
      </c>
    </row>
    <row r="2029" spans="1:7" ht="13">
      <c r="A2029" s="4" t="s">
        <v>118</v>
      </c>
      <c r="B2029" s="1">
        <v>5.0999999999999996</v>
      </c>
      <c r="C2029" s="1">
        <v>602</v>
      </c>
      <c r="D2029" s="1" t="s">
        <v>11</v>
      </c>
      <c r="E2029" s="1" t="s">
        <v>8</v>
      </c>
      <c r="F2029" s="1">
        <f t="shared" si="70"/>
        <v>509.99999999999994</v>
      </c>
      <c r="G2029" s="5">
        <f t="shared" si="69"/>
        <v>1.1803921568627451</v>
      </c>
    </row>
    <row r="2030" spans="1:7" ht="13">
      <c r="A2030" s="4" t="s">
        <v>118</v>
      </c>
      <c r="B2030" s="1">
        <v>6.02</v>
      </c>
      <c r="C2030" s="1">
        <v>626</v>
      </c>
      <c r="D2030" s="1" t="s">
        <v>11</v>
      </c>
      <c r="E2030" s="1" t="s">
        <v>22</v>
      </c>
      <c r="F2030" s="1">
        <f t="shared" si="70"/>
        <v>602</v>
      </c>
      <c r="G2030" s="5">
        <f t="shared" si="69"/>
        <v>1.0398671096345515</v>
      </c>
    </row>
    <row r="2031" spans="1:7" ht="13">
      <c r="A2031" s="4" t="s">
        <v>118</v>
      </c>
      <c r="B2031" s="1">
        <v>4.5999999999999996</v>
      </c>
      <c r="C2031" s="1">
        <v>516</v>
      </c>
      <c r="D2031" s="1" t="s">
        <v>11</v>
      </c>
      <c r="E2031" s="1" t="s">
        <v>9</v>
      </c>
      <c r="F2031" s="1">
        <f t="shared" si="70"/>
        <v>459.99999999999994</v>
      </c>
      <c r="G2031" s="5">
        <f t="shared" si="69"/>
        <v>1.1217391304347828</v>
      </c>
    </row>
    <row r="2032" spans="1:7" ht="13">
      <c r="A2032" s="4" t="s">
        <v>118</v>
      </c>
      <c r="B2032" s="1">
        <v>7.83</v>
      </c>
      <c r="C2032" s="1">
        <v>957</v>
      </c>
      <c r="D2032" s="1" t="s">
        <v>55</v>
      </c>
      <c r="E2032" s="1" t="s">
        <v>9</v>
      </c>
      <c r="F2032" s="1">
        <f t="shared" si="70"/>
        <v>783</v>
      </c>
      <c r="G2032" s="5">
        <f t="shared" si="69"/>
        <v>1.2222222222222223</v>
      </c>
    </row>
    <row r="2033" spans="1:7" ht="13">
      <c r="A2033" s="4" t="s">
        <v>118</v>
      </c>
      <c r="B2033" s="1">
        <v>5</v>
      </c>
      <c r="C2033" s="1">
        <v>562</v>
      </c>
      <c r="D2033" s="1" t="s">
        <v>43</v>
      </c>
      <c r="E2033" s="1" t="s">
        <v>22</v>
      </c>
      <c r="F2033" s="1">
        <f t="shared" si="70"/>
        <v>500</v>
      </c>
      <c r="G2033" s="5">
        <f t="shared" si="69"/>
        <v>1.1240000000000001</v>
      </c>
    </row>
    <row r="2034" spans="1:7" ht="13">
      <c r="A2034" s="4" t="s">
        <v>118</v>
      </c>
      <c r="B2034" s="1">
        <v>5.4</v>
      </c>
      <c r="C2034" s="1">
        <v>670</v>
      </c>
      <c r="D2034" s="1" t="s">
        <v>11</v>
      </c>
      <c r="E2034" s="1" t="s">
        <v>8</v>
      </c>
      <c r="F2034" s="1">
        <f t="shared" si="70"/>
        <v>540</v>
      </c>
      <c r="G2034" s="5">
        <f t="shared" si="69"/>
        <v>1.2407407407407407</v>
      </c>
    </row>
    <row r="2035" spans="1:7" ht="13">
      <c r="A2035" s="4" t="s">
        <v>118</v>
      </c>
      <c r="B2035" s="1">
        <v>6.53</v>
      </c>
      <c r="C2035" s="1">
        <v>696</v>
      </c>
      <c r="D2035" s="1" t="s">
        <v>11</v>
      </c>
      <c r="E2035" s="1" t="s">
        <v>17</v>
      </c>
      <c r="F2035" s="1">
        <f t="shared" si="70"/>
        <v>653</v>
      </c>
      <c r="G2035" s="5">
        <f t="shared" si="69"/>
        <v>1.0658499234303216</v>
      </c>
    </row>
    <row r="2036" spans="1:7" ht="13">
      <c r="A2036" s="4" t="s">
        <v>118</v>
      </c>
      <c r="B2036" s="1">
        <v>10.3</v>
      </c>
      <c r="C2036" s="1">
        <v>1060</v>
      </c>
      <c r="D2036" s="1" t="s">
        <v>33</v>
      </c>
      <c r="E2036" s="1" t="s">
        <v>17</v>
      </c>
      <c r="F2036" s="1">
        <f t="shared" si="70"/>
        <v>1030</v>
      </c>
      <c r="G2036" s="5">
        <f t="shared" si="69"/>
        <v>1.029126213592233</v>
      </c>
    </row>
    <row r="2037" spans="1:7" ht="13">
      <c r="A2037" s="4" t="s">
        <v>118</v>
      </c>
      <c r="B2037" s="1">
        <v>5.88</v>
      </c>
      <c r="C2037" s="1">
        <v>597</v>
      </c>
      <c r="D2037" s="1" t="s">
        <v>43</v>
      </c>
      <c r="E2037" s="1" t="s">
        <v>12</v>
      </c>
      <c r="F2037" s="1">
        <f t="shared" si="70"/>
        <v>588</v>
      </c>
      <c r="G2037" s="5">
        <f t="shared" si="69"/>
        <v>1.0153061224489797</v>
      </c>
    </row>
    <row r="2038" spans="1:7" ht="13">
      <c r="A2038" s="4" t="s">
        <v>118</v>
      </c>
      <c r="B2038" s="1">
        <v>5.4</v>
      </c>
      <c r="C2038" s="1">
        <v>583</v>
      </c>
      <c r="D2038" s="1" t="s">
        <v>35</v>
      </c>
      <c r="E2038" s="1" t="s">
        <v>8</v>
      </c>
      <c r="F2038" s="1">
        <f t="shared" si="70"/>
        <v>540</v>
      </c>
      <c r="G2038" s="5">
        <f t="shared" si="69"/>
        <v>1.0796296296296297</v>
      </c>
    </row>
    <row r="2039" spans="1:7" ht="13">
      <c r="A2039" s="4" t="s">
        <v>118</v>
      </c>
      <c r="B2039" s="1">
        <v>7.83</v>
      </c>
      <c r="C2039" s="1">
        <v>911</v>
      </c>
      <c r="D2039" s="1" t="s">
        <v>11</v>
      </c>
      <c r="E2039" s="1" t="s">
        <v>22</v>
      </c>
      <c r="F2039" s="1">
        <f t="shared" si="70"/>
        <v>783</v>
      </c>
      <c r="G2039" s="5">
        <f t="shared" si="69"/>
        <v>1.1634738186462323</v>
      </c>
    </row>
    <row r="2040" spans="1:7" ht="13">
      <c r="A2040" s="4" t="s">
        <v>118</v>
      </c>
      <c r="B2040" s="1">
        <v>6.88</v>
      </c>
      <c r="C2040" s="1">
        <v>362</v>
      </c>
      <c r="D2040" s="1" t="s">
        <v>11</v>
      </c>
      <c r="E2040" s="1" t="s">
        <v>10</v>
      </c>
      <c r="F2040" s="1">
        <f t="shared" si="70"/>
        <v>688</v>
      </c>
      <c r="G2040" s="5">
        <f t="shared" si="69"/>
        <v>0.52616279069767447</v>
      </c>
    </row>
    <row r="2041" spans="1:7" ht="13">
      <c r="A2041" s="4" t="s">
        <v>118</v>
      </c>
      <c r="B2041" s="1">
        <v>7.7</v>
      </c>
      <c r="C2041" s="1">
        <v>758</v>
      </c>
      <c r="D2041" s="1" t="s">
        <v>33</v>
      </c>
      <c r="E2041" s="1" t="s">
        <v>15</v>
      </c>
      <c r="F2041" s="1">
        <f t="shared" si="70"/>
        <v>770</v>
      </c>
      <c r="G2041" s="5">
        <f t="shared" si="69"/>
        <v>0.98441558441558441</v>
      </c>
    </row>
    <row r="2042" spans="1:7" ht="13">
      <c r="A2042" s="4" t="s">
        <v>118</v>
      </c>
      <c r="B2042" s="1">
        <v>7</v>
      </c>
      <c r="C2042" s="1">
        <v>759</v>
      </c>
      <c r="D2042" s="1" t="s">
        <v>33</v>
      </c>
      <c r="E2042" s="1" t="s">
        <v>20</v>
      </c>
      <c r="F2042" s="1">
        <f t="shared" si="70"/>
        <v>700</v>
      </c>
      <c r="G2042" s="5">
        <f t="shared" si="69"/>
        <v>1.0842857142857143</v>
      </c>
    </row>
    <row r="2043" spans="1:7" ht="13">
      <c r="A2043" s="4" t="s">
        <v>118</v>
      </c>
      <c r="B2043" s="1">
        <v>4.5</v>
      </c>
      <c r="C2043" s="1">
        <v>543</v>
      </c>
      <c r="D2043" s="1" t="s">
        <v>33</v>
      </c>
      <c r="E2043" s="1" t="s">
        <v>17</v>
      </c>
      <c r="F2043" s="1">
        <f t="shared" si="70"/>
        <v>450</v>
      </c>
      <c r="G2043" s="5">
        <f t="shared" si="69"/>
        <v>1.2066666666666668</v>
      </c>
    </row>
    <row r="2044" spans="1:7" ht="13">
      <c r="A2044" s="4" t="s">
        <v>118</v>
      </c>
      <c r="B2044" s="1">
        <v>5</v>
      </c>
      <c r="C2044" s="1">
        <v>555</v>
      </c>
      <c r="D2044" s="1" t="s">
        <v>11</v>
      </c>
      <c r="E2044" s="1" t="s">
        <v>15</v>
      </c>
      <c r="F2044" s="1">
        <f t="shared" si="70"/>
        <v>500</v>
      </c>
      <c r="G2044" s="5">
        <f t="shared" si="69"/>
        <v>1.1100000000000001</v>
      </c>
    </row>
    <row r="2045" spans="1:7" ht="13">
      <c r="A2045" s="4" t="s">
        <v>118</v>
      </c>
      <c r="B2045" s="1">
        <v>10.199999999999999</v>
      </c>
      <c r="C2045" s="1">
        <v>866</v>
      </c>
      <c r="D2045" s="1" t="s">
        <v>47</v>
      </c>
      <c r="E2045" s="1" t="s">
        <v>7</v>
      </c>
      <c r="F2045" s="1">
        <f t="shared" si="70"/>
        <v>1019.9999999999999</v>
      </c>
      <c r="G2045" s="5">
        <f t="shared" si="69"/>
        <v>0.84901960784313735</v>
      </c>
    </row>
    <row r="2046" spans="1:7" ht="13">
      <c r="A2046" s="4" t="s">
        <v>118</v>
      </c>
      <c r="B2046" s="1">
        <v>7.7</v>
      </c>
      <c r="C2046" s="1">
        <v>889</v>
      </c>
      <c r="D2046" s="1" t="s">
        <v>33</v>
      </c>
      <c r="E2046" s="1" t="s">
        <v>16</v>
      </c>
      <c r="F2046" s="1">
        <f t="shared" si="70"/>
        <v>770</v>
      </c>
      <c r="G2046" s="5">
        <f t="shared" si="69"/>
        <v>1.1545454545454545</v>
      </c>
    </row>
    <row r="2047" spans="1:7" ht="13">
      <c r="A2047" s="4" t="s">
        <v>118</v>
      </c>
      <c r="B2047" s="1">
        <v>4.9000000000000004</v>
      </c>
      <c r="C2047" s="1">
        <v>560</v>
      </c>
      <c r="D2047" s="1" t="s">
        <v>38</v>
      </c>
      <c r="E2047" s="1" t="s">
        <v>15</v>
      </c>
      <c r="F2047" s="1">
        <f t="shared" si="70"/>
        <v>490.00000000000006</v>
      </c>
      <c r="G2047" s="5">
        <f t="shared" si="69"/>
        <v>1.1428571428571428</v>
      </c>
    </row>
    <row r="2048" spans="1:7" ht="13">
      <c r="A2048" s="4" t="s">
        <v>118</v>
      </c>
      <c r="B2048" s="1">
        <v>8.6999999999999993</v>
      </c>
      <c r="C2048" s="1">
        <v>974</v>
      </c>
      <c r="D2048" s="1" t="s">
        <v>11</v>
      </c>
      <c r="E2048" s="1" t="s">
        <v>26</v>
      </c>
      <c r="F2048" s="1">
        <f t="shared" si="70"/>
        <v>869.99999999999989</v>
      </c>
      <c r="G2048" s="5">
        <f t="shared" si="69"/>
        <v>1.1195402298850576</v>
      </c>
    </row>
    <row r="2049" spans="1:7" ht="13">
      <c r="A2049" s="4" t="s">
        <v>118</v>
      </c>
      <c r="B2049" s="1">
        <v>12.04</v>
      </c>
      <c r="C2049" s="1">
        <v>1290</v>
      </c>
      <c r="D2049" s="1" t="s">
        <v>11</v>
      </c>
      <c r="E2049" s="1" t="s">
        <v>8</v>
      </c>
      <c r="F2049" s="1">
        <f t="shared" si="70"/>
        <v>1204</v>
      </c>
      <c r="G2049" s="5">
        <f t="shared" si="69"/>
        <v>1.0714285714285714</v>
      </c>
    </row>
    <row r="2050" spans="1:7" ht="13">
      <c r="A2050" s="4" t="s">
        <v>118</v>
      </c>
      <c r="B2050" s="1">
        <v>6.72</v>
      </c>
      <c r="C2050" s="1">
        <v>769</v>
      </c>
      <c r="D2050" s="1" t="s">
        <v>33</v>
      </c>
      <c r="E2050" s="1" t="s">
        <v>21</v>
      </c>
      <c r="F2050" s="1">
        <f t="shared" si="70"/>
        <v>672</v>
      </c>
      <c r="G2050" s="5">
        <f t="shared" ref="G2050:G2113" si="71">C2050/F2050</f>
        <v>1.1443452380952381</v>
      </c>
    </row>
    <row r="2051" spans="1:7" ht="13">
      <c r="A2051" s="4" t="s">
        <v>118</v>
      </c>
      <c r="B2051" s="1">
        <v>4</v>
      </c>
      <c r="C2051" s="1">
        <v>423</v>
      </c>
      <c r="D2051" s="1" t="s">
        <v>11</v>
      </c>
      <c r="E2051" s="1" t="s">
        <v>22</v>
      </c>
      <c r="F2051" s="1">
        <f t="shared" ref="F2051:F2114" si="72">B2051*100</f>
        <v>400</v>
      </c>
      <c r="G2051" s="5">
        <f t="shared" si="71"/>
        <v>1.0575000000000001</v>
      </c>
    </row>
    <row r="2052" spans="1:7" ht="13">
      <c r="A2052" s="4" t="s">
        <v>118</v>
      </c>
      <c r="B2052" s="1">
        <v>3.5</v>
      </c>
      <c r="C2052" s="1">
        <v>378</v>
      </c>
      <c r="D2052" s="1" t="s">
        <v>11</v>
      </c>
      <c r="E2052" s="1" t="s">
        <v>24</v>
      </c>
      <c r="F2052" s="1">
        <f t="shared" si="72"/>
        <v>350</v>
      </c>
      <c r="G2052" s="5">
        <f t="shared" si="71"/>
        <v>1.08</v>
      </c>
    </row>
    <row r="2053" spans="1:7" ht="13">
      <c r="A2053" s="4" t="s">
        <v>118</v>
      </c>
      <c r="B2053" s="1">
        <v>3.68</v>
      </c>
      <c r="C2053" s="1">
        <v>552</v>
      </c>
      <c r="D2053" s="1" t="s">
        <v>11</v>
      </c>
      <c r="E2053" s="1" t="s">
        <v>13</v>
      </c>
      <c r="F2053" s="1">
        <f t="shared" si="72"/>
        <v>368</v>
      </c>
      <c r="G2053" s="5">
        <f t="shared" si="71"/>
        <v>1.5</v>
      </c>
    </row>
    <row r="2054" spans="1:7" ht="13">
      <c r="A2054" s="4" t="s">
        <v>118</v>
      </c>
      <c r="B2054" s="1">
        <v>6.4</v>
      </c>
      <c r="C2054" s="1">
        <v>727</v>
      </c>
      <c r="D2054" s="1" t="s">
        <v>38</v>
      </c>
      <c r="E2054" s="1" t="s">
        <v>9</v>
      </c>
      <c r="F2054" s="1">
        <f t="shared" si="72"/>
        <v>640</v>
      </c>
      <c r="G2054" s="5">
        <f t="shared" si="71"/>
        <v>1.1359375</v>
      </c>
    </row>
    <row r="2055" spans="1:7" ht="13">
      <c r="A2055" s="4" t="s">
        <v>118</v>
      </c>
      <c r="B2055" s="1">
        <v>4.3</v>
      </c>
      <c r="C2055" s="1">
        <v>881</v>
      </c>
      <c r="D2055" s="1" t="s">
        <v>11</v>
      </c>
      <c r="E2055" s="1" t="s">
        <v>25</v>
      </c>
      <c r="F2055" s="1">
        <f t="shared" si="72"/>
        <v>430</v>
      </c>
      <c r="G2055" s="5">
        <f t="shared" si="71"/>
        <v>2.0488372093023255</v>
      </c>
    </row>
    <row r="2056" spans="1:7" ht="13">
      <c r="A2056" s="4" t="s">
        <v>118</v>
      </c>
      <c r="B2056" s="1">
        <v>7.39</v>
      </c>
      <c r="C2056" s="1">
        <v>737</v>
      </c>
      <c r="D2056" s="1" t="s">
        <v>42</v>
      </c>
      <c r="E2056" s="1" t="s">
        <v>25</v>
      </c>
      <c r="F2056" s="1">
        <f t="shared" si="72"/>
        <v>739</v>
      </c>
      <c r="G2056" s="5">
        <f t="shared" si="71"/>
        <v>0.99729364005412724</v>
      </c>
    </row>
    <row r="2057" spans="1:7" ht="13">
      <c r="A2057" s="4" t="s">
        <v>118</v>
      </c>
      <c r="B2057" s="1">
        <v>5.5</v>
      </c>
      <c r="C2057" s="1">
        <v>816</v>
      </c>
      <c r="D2057" s="1" t="s">
        <v>11</v>
      </c>
      <c r="E2057" s="1" t="s">
        <v>8</v>
      </c>
      <c r="F2057" s="1">
        <f t="shared" si="72"/>
        <v>550</v>
      </c>
      <c r="G2057" s="5">
        <f t="shared" si="71"/>
        <v>1.4836363636363636</v>
      </c>
    </row>
    <row r="2058" spans="1:7" ht="13">
      <c r="A2058" s="4" t="s">
        <v>118</v>
      </c>
      <c r="B2058" s="1">
        <v>6.9</v>
      </c>
      <c r="C2058" s="1">
        <v>830</v>
      </c>
      <c r="D2058" s="1" t="s">
        <v>33</v>
      </c>
      <c r="E2058" s="1" t="s">
        <v>8</v>
      </c>
      <c r="F2058" s="1">
        <f t="shared" si="72"/>
        <v>690</v>
      </c>
      <c r="G2058" s="5">
        <f t="shared" si="71"/>
        <v>1.2028985507246377</v>
      </c>
    </row>
    <row r="2059" spans="1:7" ht="13">
      <c r="A2059" s="4" t="s">
        <v>118</v>
      </c>
      <c r="B2059" s="1">
        <v>6.5250000000000004</v>
      </c>
      <c r="C2059" s="1">
        <v>770</v>
      </c>
      <c r="D2059" s="1" t="s">
        <v>11</v>
      </c>
      <c r="E2059" s="1" t="s">
        <v>16</v>
      </c>
      <c r="F2059" s="1">
        <f t="shared" si="72"/>
        <v>652.5</v>
      </c>
      <c r="G2059" s="5">
        <f t="shared" si="71"/>
        <v>1.1800766283524904</v>
      </c>
    </row>
    <row r="2060" spans="1:7" ht="13">
      <c r="A2060" s="4" t="s">
        <v>118</v>
      </c>
      <c r="B2060" s="1">
        <v>7.74</v>
      </c>
      <c r="C2060" s="1">
        <v>912</v>
      </c>
      <c r="D2060" s="1" t="s">
        <v>37</v>
      </c>
      <c r="E2060" s="1" t="s">
        <v>21</v>
      </c>
      <c r="F2060" s="1">
        <f t="shared" si="72"/>
        <v>774</v>
      </c>
      <c r="G2060" s="5">
        <f t="shared" si="71"/>
        <v>1.1782945736434109</v>
      </c>
    </row>
    <row r="2061" spans="1:7" ht="13">
      <c r="A2061" s="4" t="s">
        <v>118</v>
      </c>
      <c r="B2061" s="1">
        <v>9.3000000000000007</v>
      </c>
      <c r="C2061" s="1">
        <v>1060</v>
      </c>
      <c r="D2061" s="1" t="s">
        <v>45</v>
      </c>
      <c r="E2061" s="1" t="s">
        <v>10</v>
      </c>
      <c r="F2061" s="1">
        <f t="shared" si="72"/>
        <v>930.00000000000011</v>
      </c>
      <c r="G2061" s="5">
        <f t="shared" si="71"/>
        <v>1.139784946236559</v>
      </c>
    </row>
    <row r="2062" spans="1:7" ht="13">
      <c r="A2062" s="4" t="s">
        <v>118</v>
      </c>
      <c r="B2062" s="1">
        <v>8.9</v>
      </c>
      <c r="C2062" s="1">
        <v>956</v>
      </c>
      <c r="D2062" s="1" t="s">
        <v>39</v>
      </c>
      <c r="E2062" s="1" t="s">
        <v>49</v>
      </c>
      <c r="F2062" s="1">
        <f t="shared" si="72"/>
        <v>890</v>
      </c>
      <c r="G2062" s="5">
        <f t="shared" si="71"/>
        <v>1.0741573033707865</v>
      </c>
    </row>
    <row r="2063" spans="1:7" ht="13">
      <c r="A2063" s="4" t="s">
        <v>118</v>
      </c>
      <c r="B2063" s="1">
        <v>8.3000000000000007</v>
      </c>
      <c r="C2063" s="1">
        <v>1000</v>
      </c>
      <c r="D2063" s="1" t="s">
        <v>40</v>
      </c>
      <c r="E2063" s="1" t="s">
        <v>17</v>
      </c>
      <c r="F2063" s="1">
        <f t="shared" si="72"/>
        <v>830.00000000000011</v>
      </c>
      <c r="G2063" s="5">
        <f t="shared" si="71"/>
        <v>1.2048192771084336</v>
      </c>
    </row>
    <row r="2064" spans="1:7" ht="13">
      <c r="A2064" s="4" t="s">
        <v>118</v>
      </c>
      <c r="B2064" s="1">
        <v>8.6999999999999993</v>
      </c>
      <c r="C2064" s="1">
        <v>9.27</v>
      </c>
      <c r="D2064" s="1" t="s">
        <v>33</v>
      </c>
      <c r="E2064" s="1" t="s">
        <v>15</v>
      </c>
      <c r="F2064" s="1">
        <f t="shared" si="72"/>
        <v>869.99999999999989</v>
      </c>
      <c r="G2064" s="5">
        <f t="shared" si="71"/>
        <v>1.0655172413793105E-2</v>
      </c>
    </row>
    <row r="2065" spans="1:7" ht="13">
      <c r="A2065" s="4" t="s">
        <v>118</v>
      </c>
      <c r="B2065" s="1">
        <v>6.9</v>
      </c>
      <c r="C2065" s="1">
        <v>793</v>
      </c>
      <c r="D2065" s="1" t="s">
        <v>11</v>
      </c>
      <c r="E2065" s="1" t="s">
        <v>22</v>
      </c>
      <c r="F2065" s="1">
        <f t="shared" si="72"/>
        <v>690</v>
      </c>
      <c r="G2065" s="5">
        <f t="shared" si="71"/>
        <v>1.1492753623188405</v>
      </c>
    </row>
    <row r="2066" spans="1:7" ht="13">
      <c r="A2066" s="4" t="s">
        <v>118</v>
      </c>
      <c r="B2066" s="1">
        <v>6</v>
      </c>
      <c r="C2066" s="1">
        <v>544</v>
      </c>
      <c r="D2066" s="1" t="s">
        <v>70</v>
      </c>
      <c r="E2066" s="1" t="s">
        <v>18</v>
      </c>
      <c r="F2066" s="1">
        <f t="shared" si="72"/>
        <v>600</v>
      </c>
      <c r="G2066" s="5">
        <f t="shared" si="71"/>
        <v>0.90666666666666662</v>
      </c>
    </row>
    <row r="2067" spans="1:7" ht="13">
      <c r="A2067" s="4" t="s">
        <v>118</v>
      </c>
      <c r="B2067" s="1">
        <v>6.96</v>
      </c>
      <c r="C2067" s="1">
        <v>780</v>
      </c>
      <c r="D2067" s="1" t="s">
        <v>11</v>
      </c>
      <c r="E2067" s="1" t="s">
        <v>14</v>
      </c>
      <c r="F2067" s="1">
        <f t="shared" si="72"/>
        <v>696</v>
      </c>
      <c r="G2067" s="5">
        <f t="shared" si="71"/>
        <v>1.1206896551724137</v>
      </c>
    </row>
    <row r="2068" spans="1:7" ht="13">
      <c r="A2068" s="4" t="s">
        <v>118</v>
      </c>
      <c r="B2068" s="1">
        <v>8.5</v>
      </c>
      <c r="C2068" s="1">
        <v>835</v>
      </c>
      <c r="D2068" s="1" t="s">
        <v>11</v>
      </c>
      <c r="E2068" s="1" t="s">
        <v>15</v>
      </c>
      <c r="F2068" s="1">
        <f t="shared" si="72"/>
        <v>850</v>
      </c>
      <c r="G2068" s="5">
        <f t="shared" si="71"/>
        <v>0.98235294117647054</v>
      </c>
    </row>
    <row r="2069" spans="1:7" ht="13">
      <c r="A2069" s="4" t="s">
        <v>118</v>
      </c>
      <c r="B2069" s="1">
        <v>7.3</v>
      </c>
      <c r="C2069" s="1">
        <v>770</v>
      </c>
      <c r="D2069" s="1" t="s">
        <v>47</v>
      </c>
      <c r="E2069" s="1" t="s">
        <v>28</v>
      </c>
      <c r="F2069" s="1">
        <f t="shared" si="72"/>
        <v>730</v>
      </c>
      <c r="G2069" s="5">
        <f t="shared" si="71"/>
        <v>1.0547945205479452</v>
      </c>
    </row>
    <row r="2070" spans="1:7" ht="13">
      <c r="A2070" s="4" t="s">
        <v>118</v>
      </c>
      <c r="B2070" s="1">
        <v>6.02</v>
      </c>
      <c r="C2070" s="1">
        <v>683</v>
      </c>
      <c r="D2070" s="1" t="s">
        <v>60</v>
      </c>
      <c r="E2070" s="1" t="s">
        <v>9</v>
      </c>
      <c r="F2070" s="1">
        <f t="shared" si="72"/>
        <v>602</v>
      </c>
      <c r="G2070" s="5">
        <f t="shared" si="71"/>
        <v>1.1345514950166113</v>
      </c>
    </row>
    <row r="2071" spans="1:7" ht="13">
      <c r="A2071" s="4" t="s">
        <v>118</v>
      </c>
      <c r="B2071" s="1">
        <v>5.88</v>
      </c>
      <c r="C2071" s="1">
        <v>655</v>
      </c>
      <c r="D2071" s="1" t="s">
        <v>11</v>
      </c>
      <c r="E2071" s="1" t="s">
        <v>15</v>
      </c>
      <c r="F2071" s="1">
        <f t="shared" si="72"/>
        <v>588</v>
      </c>
      <c r="G2071" s="5">
        <f t="shared" si="71"/>
        <v>1.1139455782312926</v>
      </c>
    </row>
    <row r="2072" spans="1:7" ht="13">
      <c r="A2072" s="4" t="s">
        <v>118</v>
      </c>
      <c r="B2072" s="1">
        <v>6.88</v>
      </c>
      <c r="C2072" s="1">
        <v>733.3</v>
      </c>
      <c r="D2072" s="1" t="s">
        <v>33</v>
      </c>
      <c r="E2072" s="1" t="s">
        <v>20</v>
      </c>
      <c r="F2072" s="1">
        <f t="shared" si="72"/>
        <v>688</v>
      </c>
      <c r="G2072" s="5">
        <f t="shared" si="71"/>
        <v>1.0658430232558138</v>
      </c>
    </row>
    <row r="2073" spans="1:7" ht="13">
      <c r="A2073" s="4" t="s">
        <v>118</v>
      </c>
      <c r="B2073" s="1">
        <v>6.88</v>
      </c>
      <c r="C2073" s="1">
        <v>751</v>
      </c>
      <c r="D2073" s="1" t="s">
        <v>47</v>
      </c>
      <c r="E2073" s="1" t="s">
        <v>25</v>
      </c>
      <c r="F2073" s="1">
        <f t="shared" si="72"/>
        <v>688</v>
      </c>
      <c r="G2073" s="5">
        <f t="shared" si="71"/>
        <v>1.0915697674418605</v>
      </c>
    </row>
    <row r="2074" spans="1:7" ht="13">
      <c r="A2074" s="4" t="s">
        <v>118</v>
      </c>
      <c r="B2074" s="1">
        <v>6.9</v>
      </c>
      <c r="C2074" s="1">
        <v>820</v>
      </c>
      <c r="D2074" s="1" t="s">
        <v>11</v>
      </c>
      <c r="E2074" s="1" t="s">
        <v>8</v>
      </c>
      <c r="F2074" s="1">
        <f t="shared" si="72"/>
        <v>690</v>
      </c>
      <c r="G2074" s="5">
        <f t="shared" si="71"/>
        <v>1.1884057971014492</v>
      </c>
    </row>
    <row r="2075" spans="1:7" ht="13">
      <c r="A2075" s="4" t="s">
        <v>118</v>
      </c>
      <c r="B2075" s="1">
        <v>5</v>
      </c>
      <c r="C2075" s="1">
        <v>703</v>
      </c>
      <c r="D2075" s="1" t="s">
        <v>33</v>
      </c>
      <c r="E2075" s="1" t="s">
        <v>16</v>
      </c>
      <c r="F2075" s="1">
        <f t="shared" si="72"/>
        <v>500</v>
      </c>
      <c r="G2075" s="5">
        <f t="shared" si="71"/>
        <v>1.4059999999999999</v>
      </c>
    </row>
    <row r="2076" spans="1:7" ht="13">
      <c r="A2076" s="4" t="s">
        <v>118</v>
      </c>
      <c r="B2076" s="1">
        <v>7.74</v>
      </c>
      <c r="C2076" s="1">
        <v>862</v>
      </c>
      <c r="D2076" s="1" t="s">
        <v>37</v>
      </c>
      <c r="E2076" s="1" t="s">
        <v>16</v>
      </c>
      <c r="F2076" s="1">
        <f t="shared" si="72"/>
        <v>774</v>
      </c>
      <c r="G2076" s="5">
        <f t="shared" si="71"/>
        <v>1.1136950904392764</v>
      </c>
    </row>
    <row r="2077" spans="1:7" ht="13">
      <c r="A2077" s="4" t="s">
        <v>118</v>
      </c>
      <c r="B2077" s="1">
        <v>4.8</v>
      </c>
      <c r="C2077" s="1">
        <v>519.4</v>
      </c>
      <c r="D2077" s="1" t="s">
        <v>11</v>
      </c>
      <c r="E2077" s="1" t="s">
        <v>24</v>
      </c>
      <c r="F2077" s="1">
        <f t="shared" si="72"/>
        <v>480</v>
      </c>
      <c r="G2077" s="5">
        <f t="shared" si="71"/>
        <v>1.0820833333333333</v>
      </c>
    </row>
    <row r="2078" spans="1:7" ht="13">
      <c r="A2078" s="4" t="s">
        <v>118</v>
      </c>
      <c r="B2078" s="1">
        <v>4.2</v>
      </c>
      <c r="C2078" s="1">
        <v>480.2</v>
      </c>
      <c r="D2078" s="1" t="s">
        <v>51</v>
      </c>
      <c r="E2078" s="1" t="s">
        <v>26</v>
      </c>
      <c r="F2078" s="1">
        <f t="shared" si="72"/>
        <v>420</v>
      </c>
      <c r="G2078" s="5">
        <f t="shared" si="71"/>
        <v>1.1433333333333333</v>
      </c>
    </row>
    <row r="2079" spans="1:7" ht="13">
      <c r="A2079" s="4" t="s">
        <v>118</v>
      </c>
      <c r="B2079" s="1">
        <v>5.0999999999999996</v>
      </c>
      <c r="C2079" s="1">
        <v>543</v>
      </c>
      <c r="D2079" s="1" t="s">
        <v>33</v>
      </c>
      <c r="E2079" s="1" t="s">
        <v>15</v>
      </c>
      <c r="F2079" s="1">
        <f t="shared" si="72"/>
        <v>509.99999999999994</v>
      </c>
      <c r="G2079" s="5">
        <f t="shared" si="71"/>
        <v>1.0647058823529414</v>
      </c>
    </row>
    <row r="2080" spans="1:7" ht="13">
      <c r="A2080" s="4" t="s">
        <v>118</v>
      </c>
      <c r="B2080" s="1">
        <v>8.75</v>
      </c>
      <c r="C2080" s="1">
        <v>954</v>
      </c>
      <c r="D2080" s="1" t="s">
        <v>47</v>
      </c>
      <c r="E2080" s="1" t="s">
        <v>31</v>
      </c>
      <c r="F2080" s="1">
        <f t="shared" si="72"/>
        <v>875</v>
      </c>
      <c r="G2080" s="5">
        <f t="shared" si="71"/>
        <v>1.0902857142857143</v>
      </c>
    </row>
    <row r="2081" spans="1:7" ht="13">
      <c r="A2081" s="4" t="s">
        <v>118</v>
      </c>
      <c r="B2081" s="1">
        <v>6.72</v>
      </c>
      <c r="C2081" s="1">
        <v>660.7</v>
      </c>
      <c r="D2081" s="1" t="s">
        <v>39</v>
      </c>
      <c r="E2081" s="1" t="s">
        <v>25</v>
      </c>
      <c r="F2081" s="1">
        <f t="shared" si="72"/>
        <v>672</v>
      </c>
      <c r="G2081" s="5">
        <f t="shared" si="71"/>
        <v>0.98318452380952392</v>
      </c>
    </row>
    <row r="2082" spans="1:7" ht="13">
      <c r="A2082" s="4" t="s">
        <v>118</v>
      </c>
      <c r="B2082" s="1">
        <v>5.2</v>
      </c>
      <c r="C2082" s="1">
        <v>620</v>
      </c>
      <c r="D2082" s="1" t="s">
        <v>11</v>
      </c>
      <c r="E2082" s="1" t="s">
        <v>16</v>
      </c>
      <c r="F2082" s="1">
        <f t="shared" si="72"/>
        <v>520</v>
      </c>
      <c r="G2082" s="5">
        <f t="shared" si="71"/>
        <v>1.1923076923076923</v>
      </c>
    </row>
    <row r="2083" spans="1:7" ht="13">
      <c r="A2083" s="4" t="s">
        <v>118</v>
      </c>
      <c r="B2083" s="1">
        <v>6.6</v>
      </c>
      <c r="C2083" s="1">
        <v>731</v>
      </c>
      <c r="D2083" s="1" t="s">
        <v>35</v>
      </c>
      <c r="E2083" s="1" t="s">
        <v>22</v>
      </c>
      <c r="F2083" s="1">
        <f t="shared" si="72"/>
        <v>660</v>
      </c>
      <c r="G2083" s="5">
        <f t="shared" si="71"/>
        <v>1.1075757575757577</v>
      </c>
    </row>
    <row r="2084" spans="1:7" ht="13">
      <c r="A2084" s="4" t="s">
        <v>118</v>
      </c>
      <c r="B2084" s="1">
        <v>8.5</v>
      </c>
      <c r="C2084" s="1">
        <v>830</v>
      </c>
      <c r="D2084" s="1" t="s">
        <v>33</v>
      </c>
      <c r="E2084" s="1" t="s">
        <v>46</v>
      </c>
      <c r="F2084" s="1">
        <f t="shared" si="72"/>
        <v>850</v>
      </c>
      <c r="G2084" s="5">
        <f t="shared" si="71"/>
        <v>0.97647058823529409</v>
      </c>
    </row>
    <row r="2085" spans="1:7" ht="13">
      <c r="A2085" s="4" t="s">
        <v>118</v>
      </c>
      <c r="B2085" s="1">
        <v>4.5</v>
      </c>
      <c r="C2085" s="1">
        <v>345</v>
      </c>
      <c r="D2085" s="1" t="s">
        <v>11</v>
      </c>
      <c r="E2085" s="1" t="s">
        <v>22</v>
      </c>
      <c r="F2085" s="1">
        <f t="shared" si="72"/>
        <v>450</v>
      </c>
      <c r="G2085" s="5">
        <f t="shared" si="71"/>
        <v>0.76666666666666672</v>
      </c>
    </row>
    <row r="2086" spans="1:7" ht="13">
      <c r="A2086" s="4" t="s">
        <v>118</v>
      </c>
      <c r="B2086" s="1">
        <v>9.0299999999999994</v>
      </c>
      <c r="C2086" s="1">
        <v>983</v>
      </c>
      <c r="D2086" s="1" t="s">
        <v>50</v>
      </c>
      <c r="E2086" s="1" t="s">
        <v>21</v>
      </c>
      <c r="F2086" s="1">
        <f t="shared" si="72"/>
        <v>902.99999999999989</v>
      </c>
      <c r="G2086" s="5">
        <f t="shared" si="71"/>
        <v>1.0885935769656701</v>
      </c>
    </row>
    <row r="2087" spans="1:7" ht="13">
      <c r="A2087" s="4" t="s">
        <v>118</v>
      </c>
      <c r="B2087" s="1">
        <v>4.5</v>
      </c>
      <c r="C2087" s="1">
        <v>461</v>
      </c>
      <c r="D2087" s="1" t="s">
        <v>11</v>
      </c>
      <c r="E2087" s="1" t="s">
        <v>16</v>
      </c>
      <c r="F2087" s="1">
        <f t="shared" si="72"/>
        <v>450</v>
      </c>
      <c r="G2087" s="5">
        <f t="shared" si="71"/>
        <v>1.0244444444444445</v>
      </c>
    </row>
    <row r="2088" spans="1:7" ht="13">
      <c r="A2088" s="4" t="s">
        <v>118</v>
      </c>
      <c r="B2088" s="1">
        <v>6.7</v>
      </c>
      <c r="C2088" s="1">
        <v>669.73</v>
      </c>
      <c r="D2088" s="1" t="s">
        <v>11</v>
      </c>
      <c r="E2088" s="1" t="s">
        <v>17</v>
      </c>
      <c r="F2088" s="1">
        <f t="shared" si="72"/>
        <v>670</v>
      </c>
      <c r="G2088" s="5">
        <f t="shared" si="71"/>
        <v>0.99959701492537312</v>
      </c>
    </row>
    <row r="2089" spans="1:7" ht="13">
      <c r="A2089" s="4" t="s">
        <v>118</v>
      </c>
      <c r="B2089" s="1">
        <v>5</v>
      </c>
      <c r="C2089" s="1">
        <v>801</v>
      </c>
      <c r="D2089" s="1" t="s">
        <v>39</v>
      </c>
      <c r="E2089" s="1" t="s">
        <v>20</v>
      </c>
      <c r="F2089" s="1">
        <f t="shared" si="72"/>
        <v>500</v>
      </c>
      <c r="G2089" s="5">
        <f t="shared" si="71"/>
        <v>1.6020000000000001</v>
      </c>
    </row>
    <row r="2090" spans="1:7" ht="13">
      <c r="A2090" s="4" t="s">
        <v>118</v>
      </c>
      <c r="B2090" s="1">
        <v>5.6</v>
      </c>
      <c r="C2090" s="1">
        <v>629</v>
      </c>
      <c r="D2090" s="1" t="s">
        <v>36</v>
      </c>
      <c r="E2090" s="1" t="s">
        <v>9</v>
      </c>
      <c r="F2090" s="1">
        <f t="shared" si="72"/>
        <v>560</v>
      </c>
      <c r="G2090" s="5">
        <f t="shared" si="71"/>
        <v>1.1232142857142857</v>
      </c>
    </row>
    <row r="2091" spans="1:7" ht="13">
      <c r="A2091" s="4" t="s">
        <v>118</v>
      </c>
      <c r="B2091" s="1">
        <v>5.22</v>
      </c>
      <c r="C2091" s="1">
        <v>470</v>
      </c>
      <c r="D2091" s="1" t="s">
        <v>70</v>
      </c>
      <c r="E2091" s="1" t="s">
        <v>22</v>
      </c>
      <c r="F2091" s="1">
        <f t="shared" si="72"/>
        <v>522</v>
      </c>
      <c r="G2091" s="5">
        <f t="shared" si="71"/>
        <v>0.90038314176245215</v>
      </c>
    </row>
    <row r="2092" spans="1:7" ht="13">
      <c r="A2092" s="4" t="s">
        <v>118</v>
      </c>
      <c r="B2092" s="1">
        <v>6.72</v>
      </c>
      <c r="C2092" s="1">
        <v>727</v>
      </c>
      <c r="D2092" s="1" t="s">
        <v>11</v>
      </c>
      <c r="E2092" s="1" t="s">
        <v>26</v>
      </c>
      <c r="F2092" s="1">
        <f t="shared" si="72"/>
        <v>672</v>
      </c>
      <c r="G2092" s="5">
        <f t="shared" si="71"/>
        <v>1.0818452380952381</v>
      </c>
    </row>
    <row r="2093" spans="1:7" ht="13">
      <c r="A2093" s="4" t="s">
        <v>118</v>
      </c>
      <c r="B2093" s="1">
        <v>3.5</v>
      </c>
      <c r="C2093" s="1">
        <v>304</v>
      </c>
      <c r="D2093" s="1" t="s">
        <v>55</v>
      </c>
      <c r="E2093" s="1" t="s">
        <v>15</v>
      </c>
      <c r="F2093" s="1">
        <f t="shared" si="72"/>
        <v>350</v>
      </c>
      <c r="G2093" s="5">
        <f t="shared" si="71"/>
        <v>0.86857142857142855</v>
      </c>
    </row>
    <row r="2094" spans="1:7" ht="13">
      <c r="A2094" s="4" t="s">
        <v>118</v>
      </c>
      <c r="B2094" s="1">
        <v>5.46</v>
      </c>
      <c r="C2094" s="1">
        <v>644</v>
      </c>
      <c r="D2094" s="1" t="s">
        <v>43</v>
      </c>
      <c r="E2094" s="1" t="s">
        <v>15</v>
      </c>
      <c r="F2094" s="1">
        <f t="shared" si="72"/>
        <v>546</v>
      </c>
      <c r="G2094" s="5">
        <f t="shared" si="71"/>
        <v>1.1794871794871795</v>
      </c>
    </row>
    <row r="2095" spans="1:7" ht="13">
      <c r="A2095" s="4" t="s">
        <v>118</v>
      </c>
      <c r="B2095" s="1">
        <v>6.72</v>
      </c>
      <c r="C2095" s="1">
        <v>789.56</v>
      </c>
      <c r="D2095" s="1" t="s">
        <v>11</v>
      </c>
      <c r="E2095" s="1" t="s">
        <v>8</v>
      </c>
      <c r="F2095" s="1">
        <f t="shared" si="72"/>
        <v>672</v>
      </c>
      <c r="G2095" s="5">
        <f t="shared" si="71"/>
        <v>1.174940476190476</v>
      </c>
    </row>
    <row r="2096" spans="1:7" ht="13">
      <c r="A2096" s="4" t="s">
        <v>118</v>
      </c>
      <c r="B2096" s="1">
        <v>6.96</v>
      </c>
      <c r="C2096" s="1">
        <v>748</v>
      </c>
      <c r="D2096" s="1" t="s">
        <v>92</v>
      </c>
      <c r="E2096" s="1" t="s">
        <v>9</v>
      </c>
      <c r="F2096" s="1">
        <f t="shared" si="72"/>
        <v>696</v>
      </c>
      <c r="G2096" s="5">
        <f t="shared" si="71"/>
        <v>1.0747126436781609</v>
      </c>
    </row>
    <row r="2097" spans="1:7" ht="13">
      <c r="A2097" s="4" t="s">
        <v>118</v>
      </c>
      <c r="B2097" s="1">
        <v>9.1300000000000008</v>
      </c>
      <c r="C2097" s="1">
        <v>935</v>
      </c>
      <c r="D2097" s="1" t="s">
        <v>11</v>
      </c>
      <c r="E2097" s="1" t="s">
        <v>19</v>
      </c>
      <c r="F2097" s="1">
        <f t="shared" si="72"/>
        <v>913.00000000000011</v>
      </c>
      <c r="G2097" s="5">
        <f t="shared" si="71"/>
        <v>1.0240963855421685</v>
      </c>
    </row>
    <row r="2098" spans="1:7" ht="13">
      <c r="A2098" s="4" t="s">
        <v>118</v>
      </c>
      <c r="B2098" s="1">
        <v>4.5</v>
      </c>
      <c r="C2098" s="1">
        <v>510.6</v>
      </c>
      <c r="D2098" s="1" t="s">
        <v>43</v>
      </c>
      <c r="E2098" s="1" t="s">
        <v>15</v>
      </c>
      <c r="F2098" s="1">
        <f t="shared" si="72"/>
        <v>450</v>
      </c>
      <c r="G2098" s="5">
        <f t="shared" si="71"/>
        <v>1.1346666666666667</v>
      </c>
    </row>
    <row r="2099" spans="1:7" ht="13">
      <c r="A2099" s="4" t="s">
        <v>118</v>
      </c>
      <c r="B2099" s="1">
        <v>6.5250000000000004</v>
      </c>
      <c r="C2099" s="1">
        <v>600</v>
      </c>
      <c r="D2099" s="1" t="s">
        <v>11</v>
      </c>
      <c r="E2099" s="1" t="s">
        <v>18</v>
      </c>
      <c r="F2099" s="1">
        <f t="shared" si="72"/>
        <v>652.5</v>
      </c>
      <c r="G2099" s="5">
        <f t="shared" si="71"/>
        <v>0.91954022988505746</v>
      </c>
    </row>
    <row r="2100" spans="1:7" ht="13">
      <c r="A2100" s="4" t="s">
        <v>118</v>
      </c>
      <c r="B2100" s="1">
        <v>3.8</v>
      </c>
      <c r="C2100" s="1">
        <v>352</v>
      </c>
      <c r="D2100" s="1" t="s">
        <v>38</v>
      </c>
      <c r="E2100" s="1" t="s">
        <v>8</v>
      </c>
      <c r="F2100" s="1">
        <f t="shared" si="72"/>
        <v>380</v>
      </c>
      <c r="G2100" s="5">
        <f t="shared" si="71"/>
        <v>0.9263157894736842</v>
      </c>
    </row>
    <row r="2101" spans="1:7" ht="13">
      <c r="A2101" s="4" t="s">
        <v>118</v>
      </c>
      <c r="B2101" s="1">
        <v>6.02</v>
      </c>
      <c r="C2101" s="1">
        <v>385</v>
      </c>
      <c r="D2101" s="1" t="s">
        <v>63</v>
      </c>
      <c r="E2101" s="1" t="s">
        <v>20</v>
      </c>
      <c r="F2101" s="1">
        <f t="shared" si="72"/>
        <v>602</v>
      </c>
      <c r="G2101" s="5">
        <f t="shared" si="71"/>
        <v>0.63953488372093026</v>
      </c>
    </row>
    <row r="2102" spans="1:7" ht="13">
      <c r="A2102" s="4" t="s">
        <v>118</v>
      </c>
      <c r="B2102" s="1">
        <v>6.9</v>
      </c>
      <c r="C2102" s="1">
        <v>780</v>
      </c>
      <c r="D2102" s="1" t="s">
        <v>33</v>
      </c>
      <c r="E2102" s="1" t="s">
        <v>15</v>
      </c>
      <c r="F2102" s="1">
        <f t="shared" si="72"/>
        <v>690</v>
      </c>
      <c r="G2102" s="5">
        <f t="shared" si="71"/>
        <v>1.1304347826086956</v>
      </c>
    </row>
    <row r="2103" spans="1:7" ht="13">
      <c r="A2103" s="4" t="s">
        <v>118</v>
      </c>
      <c r="B2103" s="1">
        <v>4.2</v>
      </c>
      <c r="C2103" s="1">
        <v>568</v>
      </c>
      <c r="D2103" s="1" t="s">
        <v>11</v>
      </c>
      <c r="E2103" s="1" t="s">
        <v>21</v>
      </c>
      <c r="F2103" s="1">
        <f t="shared" si="72"/>
        <v>420</v>
      </c>
      <c r="G2103" s="5">
        <f t="shared" si="71"/>
        <v>1.3523809523809525</v>
      </c>
    </row>
    <row r="2104" spans="1:7" ht="13">
      <c r="A2104" s="4" t="s">
        <v>118</v>
      </c>
      <c r="B2104" s="1">
        <v>9.1</v>
      </c>
      <c r="C2104" s="1">
        <v>858</v>
      </c>
      <c r="D2104" s="1" t="s">
        <v>33</v>
      </c>
      <c r="E2104" s="1" t="s">
        <v>17</v>
      </c>
      <c r="F2104" s="1">
        <f t="shared" si="72"/>
        <v>910</v>
      </c>
      <c r="G2104" s="5">
        <f t="shared" si="71"/>
        <v>0.94285714285714284</v>
      </c>
    </row>
    <row r="2105" spans="1:7" ht="13">
      <c r="A2105" s="4" t="s">
        <v>118</v>
      </c>
      <c r="B2105" s="1">
        <v>6.1</v>
      </c>
      <c r="C2105" s="1">
        <v>628</v>
      </c>
      <c r="D2105" s="1" t="s">
        <v>48</v>
      </c>
      <c r="E2105" s="1" t="s">
        <v>23</v>
      </c>
      <c r="F2105" s="1">
        <f t="shared" si="72"/>
        <v>610</v>
      </c>
      <c r="G2105" s="5">
        <f t="shared" si="71"/>
        <v>1.0295081967213116</v>
      </c>
    </row>
    <row r="2106" spans="1:7" ht="13">
      <c r="A2106" s="4" t="s">
        <v>118</v>
      </c>
      <c r="B2106" s="1">
        <v>5.2</v>
      </c>
      <c r="C2106" s="1">
        <v>611</v>
      </c>
      <c r="D2106" s="1" t="s">
        <v>33</v>
      </c>
      <c r="E2106" s="1" t="s">
        <v>15</v>
      </c>
      <c r="F2106" s="1">
        <f t="shared" si="72"/>
        <v>520</v>
      </c>
      <c r="G2106" s="5">
        <f t="shared" si="71"/>
        <v>1.175</v>
      </c>
    </row>
    <row r="2107" spans="1:7" ht="13">
      <c r="A2107" s="4" t="s">
        <v>118</v>
      </c>
      <c r="B2107" s="1">
        <v>3.44</v>
      </c>
      <c r="C2107" s="1">
        <v>408</v>
      </c>
      <c r="D2107" s="1" t="s">
        <v>11</v>
      </c>
      <c r="E2107" s="1" t="s">
        <v>9</v>
      </c>
      <c r="F2107" s="1">
        <f t="shared" si="72"/>
        <v>344</v>
      </c>
      <c r="G2107" s="5">
        <f t="shared" si="71"/>
        <v>1.1860465116279071</v>
      </c>
    </row>
    <row r="2108" spans="1:7" ht="13">
      <c r="A2108" s="4" t="s">
        <v>118</v>
      </c>
      <c r="B2108" s="1">
        <v>8.3000000000000007</v>
      </c>
      <c r="C2108" s="1">
        <v>862</v>
      </c>
      <c r="D2108" s="1" t="s">
        <v>11</v>
      </c>
      <c r="E2108" s="1" t="s">
        <v>20</v>
      </c>
      <c r="F2108" s="1">
        <f t="shared" si="72"/>
        <v>830.00000000000011</v>
      </c>
      <c r="G2108" s="5">
        <f t="shared" si="71"/>
        <v>1.0385542168674697</v>
      </c>
    </row>
    <row r="2109" spans="1:7" ht="13">
      <c r="A2109" s="4" t="s">
        <v>118</v>
      </c>
      <c r="B2109" s="1">
        <v>5</v>
      </c>
      <c r="C2109" s="1">
        <v>527</v>
      </c>
      <c r="D2109" s="1" t="s">
        <v>33</v>
      </c>
      <c r="E2109" s="1" t="s">
        <v>15</v>
      </c>
      <c r="F2109" s="1">
        <f t="shared" si="72"/>
        <v>500</v>
      </c>
      <c r="G2109" s="5">
        <f t="shared" si="71"/>
        <v>1.054</v>
      </c>
    </row>
    <row r="2110" spans="1:7" ht="13">
      <c r="A2110" s="4" t="s">
        <v>118</v>
      </c>
      <c r="B2110" s="1">
        <v>7.74</v>
      </c>
      <c r="C2110" s="1">
        <v>905</v>
      </c>
      <c r="D2110" s="1" t="s">
        <v>11</v>
      </c>
      <c r="E2110" s="1" t="s">
        <v>29</v>
      </c>
      <c r="F2110" s="1">
        <f t="shared" si="72"/>
        <v>774</v>
      </c>
      <c r="G2110" s="5">
        <f t="shared" si="71"/>
        <v>1.169250645994832</v>
      </c>
    </row>
    <row r="2111" spans="1:7" ht="13">
      <c r="A2111" s="4" t="s">
        <v>118</v>
      </c>
      <c r="B2111" s="1">
        <v>7.75</v>
      </c>
      <c r="C2111" s="1">
        <v>802</v>
      </c>
      <c r="D2111" s="1" t="s">
        <v>11</v>
      </c>
      <c r="E2111" s="1" t="s">
        <v>16</v>
      </c>
      <c r="F2111" s="1">
        <f t="shared" si="72"/>
        <v>775</v>
      </c>
      <c r="G2111" s="5">
        <f t="shared" si="71"/>
        <v>1.0348387096774194</v>
      </c>
    </row>
    <row r="2112" spans="1:7" ht="13">
      <c r="A2112" s="4" t="s">
        <v>118</v>
      </c>
      <c r="B2112" s="1">
        <v>5.16</v>
      </c>
      <c r="C2112" s="1">
        <v>585</v>
      </c>
      <c r="D2112" s="1" t="s">
        <v>42</v>
      </c>
      <c r="E2112" s="1" t="s">
        <v>22</v>
      </c>
      <c r="F2112" s="1">
        <f t="shared" si="72"/>
        <v>516</v>
      </c>
      <c r="G2112" s="5">
        <f t="shared" si="71"/>
        <v>1.1337209302325582</v>
      </c>
    </row>
    <row r="2113" spans="1:7" ht="13">
      <c r="A2113" s="4" t="s">
        <v>118</v>
      </c>
      <c r="B2113" s="1">
        <v>6.1</v>
      </c>
      <c r="C2113" s="1">
        <v>598</v>
      </c>
      <c r="D2113" s="1" t="s">
        <v>11</v>
      </c>
      <c r="E2113" s="1" t="s">
        <v>21</v>
      </c>
      <c r="F2113" s="1">
        <f t="shared" si="72"/>
        <v>610</v>
      </c>
      <c r="G2113" s="5">
        <f t="shared" si="71"/>
        <v>0.98032786885245904</v>
      </c>
    </row>
    <row r="2114" spans="1:7" ht="13">
      <c r="A2114" s="4" t="s">
        <v>118</v>
      </c>
      <c r="B2114" s="1">
        <v>7.48</v>
      </c>
      <c r="C2114" s="1">
        <v>877</v>
      </c>
      <c r="D2114" s="1" t="s">
        <v>11</v>
      </c>
      <c r="E2114" s="1" t="s">
        <v>21</v>
      </c>
      <c r="F2114" s="1">
        <f t="shared" si="72"/>
        <v>748</v>
      </c>
      <c r="G2114" s="5">
        <f t="shared" ref="G2114:G2177" si="73">C2114/F2114</f>
        <v>1.1724598930481283</v>
      </c>
    </row>
    <row r="2115" spans="1:7" ht="13">
      <c r="A2115" s="4" t="s">
        <v>118</v>
      </c>
      <c r="B2115" s="1">
        <v>6.02</v>
      </c>
      <c r="C2115" s="1">
        <v>690</v>
      </c>
      <c r="D2115" s="1" t="s">
        <v>39</v>
      </c>
      <c r="E2115" s="1" t="s">
        <v>25</v>
      </c>
      <c r="F2115" s="1">
        <f t="shared" ref="F2115:F2178" si="74">B2115*100</f>
        <v>602</v>
      </c>
      <c r="G2115" s="5">
        <f t="shared" si="73"/>
        <v>1.1461794019933556</v>
      </c>
    </row>
    <row r="2116" spans="1:7" ht="13">
      <c r="A2116" s="4" t="s">
        <v>118</v>
      </c>
      <c r="B2116" s="1">
        <v>7.5</v>
      </c>
      <c r="C2116" s="1">
        <v>980</v>
      </c>
      <c r="D2116" s="1" t="s">
        <v>47</v>
      </c>
      <c r="E2116" s="1" t="s">
        <v>7</v>
      </c>
      <c r="F2116" s="1">
        <f t="shared" si="74"/>
        <v>750</v>
      </c>
      <c r="G2116" s="5">
        <f t="shared" si="73"/>
        <v>1.3066666666666666</v>
      </c>
    </row>
    <row r="2117" spans="1:7" ht="13">
      <c r="A2117" s="4" t="s">
        <v>118</v>
      </c>
      <c r="B2117" s="1">
        <v>5</v>
      </c>
      <c r="C2117" s="1">
        <v>614</v>
      </c>
      <c r="D2117" s="1" t="s">
        <v>42</v>
      </c>
      <c r="E2117" s="1" t="s">
        <v>30</v>
      </c>
      <c r="F2117" s="1">
        <f t="shared" si="74"/>
        <v>500</v>
      </c>
      <c r="G2117" s="5">
        <f t="shared" si="73"/>
        <v>1.228</v>
      </c>
    </row>
    <row r="2118" spans="1:7" ht="13">
      <c r="A2118" s="4" t="s">
        <v>118</v>
      </c>
      <c r="B2118" s="1">
        <v>5</v>
      </c>
      <c r="C2118" s="1">
        <v>694</v>
      </c>
      <c r="D2118" s="1" t="s">
        <v>11</v>
      </c>
      <c r="E2118" s="1" t="s">
        <v>16</v>
      </c>
      <c r="F2118" s="1">
        <f t="shared" si="74"/>
        <v>500</v>
      </c>
      <c r="G2118" s="5">
        <f t="shared" si="73"/>
        <v>1.3879999999999999</v>
      </c>
    </row>
    <row r="2119" spans="1:7" ht="13">
      <c r="A2119" s="4" t="s">
        <v>118</v>
      </c>
      <c r="B2119" s="1">
        <v>3.1</v>
      </c>
      <c r="C2119" s="1">
        <v>343</v>
      </c>
      <c r="D2119" s="1" t="s">
        <v>11</v>
      </c>
      <c r="E2119" s="1" t="s">
        <v>31</v>
      </c>
      <c r="F2119" s="1">
        <f t="shared" si="74"/>
        <v>310</v>
      </c>
      <c r="G2119" s="5">
        <f t="shared" si="73"/>
        <v>1.1064516129032258</v>
      </c>
    </row>
    <row r="2120" spans="1:7" ht="13">
      <c r="A2120" s="4" t="s">
        <v>118</v>
      </c>
      <c r="B2120" s="1">
        <v>5.39</v>
      </c>
      <c r="C2120" s="1">
        <v>605</v>
      </c>
      <c r="D2120" s="1" t="s">
        <v>38</v>
      </c>
      <c r="E2120" s="1" t="s">
        <v>24</v>
      </c>
      <c r="F2120" s="1">
        <f t="shared" si="74"/>
        <v>539</v>
      </c>
      <c r="G2120" s="5">
        <f t="shared" si="73"/>
        <v>1.1224489795918366</v>
      </c>
    </row>
    <row r="2121" spans="1:7" ht="13">
      <c r="A2121" s="4" t="s">
        <v>118</v>
      </c>
      <c r="B2121" s="1">
        <v>5.2</v>
      </c>
      <c r="C2121" s="1">
        <v>514</v>
      </c>
      <c r="D2121" s="1" t="s">
        <v>47</v>
      </c>
      <c r="E2121" s="1" t="s">
        <v>9</v>
      </c>
      <c r="F2121" s="1">
        <f t="shared" si="74"/>
        <v>520</v>
      </c>
      <c r="G2121" s="5">
        <f t="shared" si="73"/>
        <v>0.9884615384615385</v>
      </c>
    </row>
    <row r="2122" spans="1:7" ht="13">
      <c r="A2122" s="4" t="s">
        <v>118</v>
      </c>
      <c r="B2122" s="1">
        <v>9</v>
      </c>
      <c r="C2122" s="1">
        <v>933.37</v>
      </c>
      <c r="D2122" s="1" t="s">
        <v>33</v>
      </c>
      <c r="E2122" s="1" t="s">
        <v>7</v>
      </c>
      <c r="F2122" s="1">
        <f t="shared" si="74"/>
        <v>900</v>
      </c>
      <c r="G2122" s="5">
        <f t="shared" si="73"/>
        <v>1.0370777777777778</v>
      </c>
    </row>
    <row r="2123" spans="1:7" ht="13">
      <c r="A2123" s="4" t="s">
        <v>118</v>
      </c>
      <c r="B2123" s="1">
        <v>8.6999999999999993</v>
      </c>
      <c r="C2123" s="1">
        <v>1020</v>
      </c>
      <c r="D2123" s="1" t="s">
        <v>45</v>
      </c>
      <c r="E2123" s="1" t="s">
        <v>20</v>
      </c>
      <c r="F2123" s="1">
        <f t="shared" si="74"/>
        <v>869.99999999999989</v>
      </c>
      <c r="G2123" s="5">
        <f t="shared" si="73"/>
        <v>1.1724137931034484</v>
      </c>
    </row>
    <row r="2124" spans="1:7" ht="13">
      <c r="A2124" s="4" t="s">
        <v>118</v>
      </c>
      <c r="B2124" s="1">
        <v>6.5</v>
      </c>
      <c r="C2124" s="1">
        <v>722</v>
      </c>
      <c r="D2124" s="1" t="s">
        <v>103</v>
      </c>
      <c r="E2124" s="1" t="s">
        <v>20</v>
      </c>
      <c r="F2124" s="1">
        <f t="shared" si="74"/>
        <v>650</v>
      </c>
      <c r="G2124" s="5">
        <f t="shared" si="73"/>
        <v>1.1107692307692307</v>
      </c>
    </row>
    <row r="2125" spans="1:7" ht="13">
      <c r="A2125" s="4" t="s">
        <v>118</v>
      </c>
      <c r="B2125" s="1">
        <v>20</v>
      </c>
      <c r="C2125" s="1">
        <v>2060</v>
      </c>
      <c r="D2125" s="1" t="s">
        <v>33</v>
      </c>
      <c r="E2125" s="1" t="s">
        <v>20</v>
      </c>
      <c r="F2125" s="1">
        <f t="shared" si="74"/>
        <v>2000</v>
      </c>
      <c r="G2125" s="5">
        <f t="shared" si="73"/>
        <v>1.03</v>
      </c>
    </row>
    <row r="2126" spans="1:7" ht="13">
      <c r="A2126" s="4" t="s">
        <v>118</v>
      </c>
      <c r="B2126" s="1">
        <v>5</v>
      </c>
      <c r="C2126" s="1">
        <v>567</v>
      </c>
      <c r="D2126" s="1" t="s">
        <v>11</v>
      </c>
      <c r="E2126" s="1" t="s">
        <v>7</v>
      </c>
      <c r="F2126" s="1">
        <f t="shared" si="74"/>
        <v>500</v>
      </c>
      <c r="G2126" s="5">
        <f t="shared" si="73"/>
        <v>1.1339999999999999</v>
      </c>
    </row>
    <row r="2127" spans="1:7" ht="13">
      <c r="A2127" s="4" t="s">
        <v>118</v>
      </c>
      <c r="B2127" s="1">
        <v>4.3499999999999996</v>
      </c>
      <c r="C2127" s="1">
        <v>553</v>
      </c>
      <c r="D2127" s="1" t="s">
        <v>11</v>
      </c>
      <c r="E2127" s="1" t="s">
        <v>15</v>
      </c>
      <c r="F2127" s="1">
        <f t="shared" si="74"/>
        <v>434.99999999999994</v>
      </c>
      <c r="G2127" s="5">
        <f t="shared" si="73"/>
        <v>1.2712643678160922</v>
      </c>
    </row>
    <row r="2128" spans="1:7" ht="13">
      <c r="A2128" s="4" t="s">
        <v>118</v>
      </c>
      <c r="B2128" s="1">
        <v>8.9700000000000006</v>
      </c>
      <c r="C2128" s="1">
        <v>940</v>
      </c>
      <c r="D2128" s="1" t="s">
        <v>11</v>
      </c>
      <c r="E2128" s="1" t="s">
        <v>31</v>
      </c>
      <c r="F2128" s="1">
        <f t="shared" si="74"/>
        <v>897.00000000000011</v>
      </c>
      <c r="G2128" s="5">
        <f t="shared" si="73"/>
        <v>1.0479375696766999</v>
      </c>
    </row>
    <row r="2129" spans="1:7" ht="13">
      <c r="A2129" s="4" t="s">
        <v>118</v>
      </c>
      <c r="B2129" s="1">
        <v>6.8849999999999998</v>
      </c>
      <c r="C2129" s="1">
        <v>762</v>
      </c>
      <c r="D2129" s="1" t="s">
        <v>44</v>
      </c>
      <c r="E2129" s="1" t="s">
        <v>22</v>
      </c>
      <c r="F2129" s="1">
        <f t="shared" si="74"/>
        <v>688.5</v>
      </c>
      <c r="G2129" s="5">
        <f t="shared" si="73"/>
        <v>1.1067538126361656</v>
      </c>
    </row>
    <row r="2130" spans="1:7" ht="13">
      <c r="A2130" s="4" t="s">
        <v>118</v>
      </c>
      <c r="B2130" s="1">
        <v>8.5</v>
      </c>
      <c r="C2130" s="1">
        <v>1000</v>
      </c>
      <c r="D2130" s="1" t="s">
        <v>58</v>
      </c>
      <c r="E2130" s="1" t="s">
        <v>20</v>
      </c>
      <c r="F2130" s="1">
        <f t="shared" si="74"/>
        <v>850</v>
      </c>
      <c r="G2130" s="5">
        <f t="shared" si="73"/>
        <v>1.1764705882352942</v>
      </c>
    </row>
    <row r="2131" spans="1:7" ht="13">
      <c r="A2131" s="4" t="s">
        <v>118</v>
      </c>
      <c r="B2131" s="1">
        <v>7.2</v>
      </c>
      <c r="C2131" s="1">
        <v>735</v>
      </c>
      <c r="D2131" s="1" t="s">
        <v>35</v>
      </c>
      <c r="E2131" s="1" t="s">
        <v>25</v>
      </c>
      <c r="F2131" s="1">
        <f t="shared" si="74"/>
        <v>720</v>
      </c>
      <c r="G2131" s="5">
        <f t="shared" si="73"/>
        <v>1.0208333333333333</v>
      </c>
    </row>
    <row r="2132" spans="1:7" ht="13">
      <c r="A2132" s="4" t="s">
        <v>118</v>
      </c>
      <c r="B2132" s="1">
        <v>5.5</v>
      </c>
      <c r="C2132" s="1">
        <v>620</v>
      </c>
      <c r="D2132" s="1" t="s">
        <v>11</v>
      </c>
      <c r="E2132" s="1" t="s">
        <v>15</v>
      </c>
      <c r="F2132" s="1">
        <f t="shared" si="74"/>
        <v>550</v>
      </c>
      <c r="G2132" s="5">
        <f t="shared" si="73"/>
        <v>1.1272727272727272</v>
      </c>
    </row>
    <row r="2133" spans="1:7" ht="13">
      <c r="A2133" s="4" t="s">
        <v>118</v>
      </c>
      <c r="B2133" s="1">
        <v>5.6</v>
      </c>
      <c r="C2133" s="1">
        <v>484</v>
      </c>
      <c r="D2133" s="1" t="s">
        <v>33</v>
      </c>
      <c r="E2133" s="1" t="s">
        <v>29</v>
      </c>
      <c r="F2133" s="1">
        <f t="shared" si="74"/>
        <v>560</v>
      </c>
      <c r="G2133" s="5">
        <f t="shared" si="73"/>
        <v>0.86428571428571432</v>
      </c>
    </row>
    <row r="2134" spans="1:7" ht="13">
      <c r="A2134" s="4" t="s">
        <v>118</v>
      </c>
      <c r="B2134" s="1">
        <v>5.16</v>
      </c>
      <c r="C2134" s="1">
        <v>551</v>
      </c>
      <c r="D2134" s="1" t="s">
        <v>48</v>
      </c>
      <c r="E2134" s="1" t="s">
        <v>30</v>
      </c>
      <c r="F2134" s="1">
        <f t="shared" si="74"/>
        <v>516</v>
      </c>
      <c r="G2134" s="5">
        <f t="shared" si="73"/>
        <v>1.067829457364341</v>
      </c>
    </row>
    <row r="2135" spans="1:7" ht="13">
      <c r="A2135" s="4" t="s">
        <v>118</v>
      </c>
      <c r="B2135" s="1">
        <v>4</v>
      </c>
      <c r="C2135" s="1">
        <v>432</v>
      </c>
      <c r="D2135" s="1" t="s">
        <v>39</v>
      </c>
      <c r="E2135" s="1" t="s">
        <v>21</v>
      </c>
      <c r="F2135" s="1">
        <f t="shared" si="74"/>
        <v>400</v>
      </c>
      <c r="G2135" s="5">
        <f t="shared" si="73"/>
        <v>1.08</v>
      </c>
    </row>
    <row r="2136" spans="1:7" ht="13">
      <c r="A2136" s="4" t="s">
        <v>118</v>
      </c>
      <c r="B2136" s="1">
        <v>7.9</v>
      </c>
      <c r="C2136" s="1">
        <v>855</v>
      </c>
      <c r="D2136" s="1" t="s">
        <v>11</v>
      </c>
      <c r="E2136" s="1" t="s">
        <v>27</v>
      </c>
      <c r="F2136" s="1">
        <f t="shared" si="74"/>
        <v>790</v>
      </c>
      <c r="G2136" s="5">
        <f t="shared" si="73"/>
        <v>1.0822784810126582</v>
      </c>
    </row>
    <row r="2137" spans="1:7" ht="13">
      <c r="A2137" s="4" t="s">
        <v>118</v>
      </c>
      <c r="B2137" s="1">
        <v>4.3</v>
      </c>
      <c r="C2137" s="1">
        <v>399</v>
      </c>
      <c r="D2137" s="1" t="s">
        <v>33</v>
      </c>
      <c r="E2137" s="1" t="s">
        <v>30</v>
      </c>
      <c r="F2137" s="1">
        <f t="shared" si="74"/>
        <v>430</v>
      </c>
      <c r="G2137" s="5">
        <f t="shared" si="73"/>
        <v>0.9279069767441861</v>
      </c>
    </row>
    <row r="2138" spans="1:7" ht="13">
      <c r="A2138" s="4" t="s">
        <v>118</v>
      </c>
      <c r="B2138" s="1">
        <v>7.35</v>
      </c>
      <c r="C2138" s="1">
        <v>745.81</v>
      </c>
      <c r="D2138" s="1" t="s">
        <v>59</v>
      </c>
      <c r="E2138" s="1" t="s">
        <v>16</v>
      </c>
      <c r="F2138" s="1">
        <f t="shared" si="74"/>
        <v>735</v>
      </c>
      <c r="G2138" s="5">
        <f t="shared" si="73"/>
        <v>1.0147074829931972</v>
      </c>
    </row>
    <row r="2139" spans="1:7" ht="13">
      <c r="A2139" s="4" t="s">
        <v>118</v>
      </c>
      <c r="B2139" s="1">
        <v>7.3</v>
      </c>
      <c r="C2139" s="1">
        <v>842</v>
      </c>
      <c r="D2139" s="1" t="s">
        <v>38</v>
      </c>
      <c r="E2139" s="1" t="s">
        <v>9</v>
      </c>
      <c r="F2139" s="1">
        <f t="shared" si="74"/>
        <v>730</v>
      </c>
      <c r="G2139" s="5">
        <f t="shared" si="73"/>
        <v>1.1534246575342466</v>
      </c>
    </row>
    <row r="2140" spans="1:7" ht="13">
      <c r="A2140" s="4" t="s">
        <v>118</v>
      </c>
      <c r="B2140" s="1">
        <v>9.35</v>
      </c>
      <c r="C2140" s="1">
        <v>819</v>
      </c>
      <c r="D2140" s="1" t="s">
        <v>37</v>
      </c>
      <c r="E2140" s="1" t="s">
        <v>18</v>
      </c>
      <c r="F2140" s="1">
        <f t="shared" si="74"/>
        <v>935</v>
      </c>
      <c r="G2140" s="5">
        <f t="shared" si="73"/>
        <v>0.87593582887700538</v>
      </c>
    </row>
    <row r="2141" spans="1:7" ht="13">
      <c r="A2141" s="4" t="s">
        <v>118</v>
      </c>
      <c r="B2141" s="1">
        <v>5.85</v>
      </c>
      <c r="C2141" s="1">
        <v>646</v>
      </c>
      <c r="D2141" s="1" t="s">
        <v>45</v>
      </c>
      <c r="E2141" s="1" t="s">
        <v>15</v>
      </c>
      <c r="F2141" s="1">
        <f t="shared" si="74"/>
        <v>585</v>
      </c>
      <c r="G2141" s="5">
        <f t="shared" si="73"/>
        <v>1.1042735042735043</v>
      </c>
    </row>
    <row r="2142" spans="1:7" ht="13">
      <c r="A2142" s="4" t="s">
        <v>118</v>
      </c>
      <c r="B2142" s="1">
        <v>4.7</v>
      </c>
      <c r="C2142" s="1">
        <v>540</v>
      </c>
      <c r="D2142" s="1" t="s">
        <v>104</v>
      </c>
      <c r="E2142" s="1" t="s">
        <v>26</v>
      </c>
      <c r="F2142" s="1">
        <f t="shared" si="74"/>
        <v>470</v>
      </c>
      <c r="G2142" s="5">
        <f t="shared" si="73"/>
        <v>1.1489361702127661</v>
      </c>
    </row>
    <row r="2143" spans="1:7" ht="13">
      <c r="A2143" s="4" t="s">
        <v>118</v>
      </c>
      <c r="B2143" s="1">
        <v>7</v>
      </c>
      <c r="C2143" s="1">
        <v>719</v>
      </c>
      <c r="D2143" s="1" t="s">
        <v>67</v>
      </c>
      <c r="E2143" s="1" t="s">
        <v>22</v>
      </c>
      <c r="F2143" s="1">
        <f t="shared" si="74"/>
        <v>700</v>
      </c>
      <c r="G2143" s="5">
        <f t="shared" si="73"/>
        <v>1.0271428571428571</v>
      </c>
    </row>
    <row r="2144" spans="1:7" ht="13">
      <c r="A2144" s="4" t="s">
        <v>118</v>
      </c>
      <c r="B2144" s="1">
        <v>7.74</v>
      </c>
      <c r="C2144" s="1">
        <v>835</v>
      </c>
      <c r="D2144" s="1" t="s">
        <v>77</v>
      </c>
      <c r="E2144" s="1" t="s">
        <v>8</v>
      </c>
      <c r="F2144" s="1">
        <f t="shared" si="74"/>
        <v>774</v>
      </c>
      <c r="G2144" s="5">
        <f t="shared" si="73"/>
        <v>1.078811369509044</v>
      </c>
    </row>
    <row r="2145" spans="1:7" ht="13">
      <c r="A2145" s="4" t="s">
        <v>118</v>
      </c>
      <c r="B2145" s="1">
        <v>4.8</v>
      </c>
      <c r="C2145" s="1">
        <v>560</v>
      </c>
      <c r="D2145" s="1" t="s">
        <v>33</v>
      </c>
      <c r="E2145" s="1" t="s">
        <v>15</v>
      </c>
      <c r="F2145" s="1">
        <f t="shared" si="74"/>
        <v>480</v>
      </c>
      <c r="G2145" s="5">
        <f t="shared" si="73"/>
        <v>1.1666666666666667</v>
      </c>
    </row>
    <row r="2146" spans="1:7" ht="13">
      <c r="A2146" s="4" t="s">
        <v>118</v>
      </c>
      <c r="B2146" s="1">
        <v>5.5</v>
      </c>
      <c r="C2146" s="1">
        <v>963</v>
      </c>
      <c r="D2146" s="1" t="s">
        <v>11</v>
      </c>
      <c r="E2146" s="1" t="s">
        <v>24</v>
      </c>
      <c r="F2146" s="1">
        <f t="shared" si="74"/>
        <v>550</v>
      </c>
      <c r="G2146" s="5">
        <f t="shared" si="73"/>
        <v>1.750909090909091</v>
      </c>
    </row>
    <row r="2147" spans="1:7" ht="13">
      <c r="A2147" s="4" t="s">
        <v>118</v>
      </c>
      <c r="B2147" s="1">
        <v>5.2</v>
      </c>
      <c r="C2147" s="1">
        <v>569</v>
      </c>
      <c r="D2147" s="1" t="s">
        <v>47</v>
      </c>
      <c r="E2147" s="1" t="s">
        <v>26</v>
      </c>
      <c r="F2147" s="1">
        <f t="shared" si="74"/>
        <v>520</v>
      </c>
      <c r="G2147" s="5">
        <f t="shared" si="73"/>
        <v>1.0942307692307693</v>
      </c>
    </row>
    <row r="2148" spans="1:7" ht="13">
      <c r="A2148" s="4" t="s">
        <v>118</v>
      </c>
      <c r="B2148" s="1">
        <v>4.3499999999999996</v>
      </c>
      <c r="C2148" s="1">
        <v>516</v>
      </c>
      <c r="D2148" s="1" t="s">
        <v>11</v>
      </c>
      <c r="E2148" s="1" t="s">
        <v>8</v>
      </c>
      <c r="F2148" s="1">
        <f t="shared" si="74"/>
        <v>434.99999999999994</v>
      </c>
      <c r="G2148" s="5">
        <f t="shared" si="73"/>
        <v>1.1862068965517243</v>
      </c>
    </row>
    <row r="2149" spans="1:7" ht="13">
      <c r="A2149" s="4" t="s">
        <v>118</v>
      </c>
      <c r="B2149" s="1">
        <v>7.8</v>
      </c>
      <c r="C2149" s="1">
        <v>26</v>
      </c>
      <c r="D2149" s="1" t="s">
        <v>33</v>
      </c>
      <c r="E2149" s="1" t="s">
        <v>29</v>
      </c>
      <c r="F2149" s="1">
        <f t="shared" si="74"/>
        <v>780</v>
      </c>
      <c r="G2149" s="5">
        <f t="shared" si="73"/>
        <v>3.3333333333333333E-2</v>
      </c>
    </row>
    <row r="2150" spans="1:7" ht="13">
      <c r="A2150" s="4" t="s">
        <v>118</v>
      </c>
      <c r="B2150" s="1">
        <v>8.0749999999999993</v>
      </c>
      <c r="C2150" s="1">
        <v>771</v>
      </c>
      <c r="D2150" s="1" t="s">
        <v>50</v>
      </c>
      <c r="E2150" s="1" t="s">
        <v>22</v>
      </c>
      <c r="F2150" s="1">
        <f t="shared" si="74"/>
        <v>807.49999999999989</v>
      </c>
      <c r="G2150" s="5">
        <f t="shared" si="73"/>
        <v>0.95479876160990729</v>
      </c>
    </row>
    <row r="2151" spans="1:7" ht="13">
      <c r="A2151" s="4" t="s">
        <v>118</v>
      </c>
      <c r="B2151" s="1">
        <v>8</v>
      </c>
      <c r="C2151" s="1">
        <v>919</v>
      </c>
      <c r="D2151" s="1" t="s">
        <v>38</v>
      </c>
      <c r="E2151" s="1" t="s">
        <v>22</v>
      </c>
      <c r="F2151" s="1">
        <f t="shared" si="74"/>
        <v>800</v>
      </c>
      <c r="G2151" s="5">
        <f t="shared" si="73"/>
        <v>1.1487499999999999</v>
      </c>
    </row>
    <row r="2152" spans="1:7" ht="13">
      <c r="A2152" s="4" t="s">
        <v>118</v>
      </c>
      <c r="B2152" s="1">
        <v>4.38</v>
      </c>
      <c r="C2152" s="1">
        <v>499</v>
      </c>
      <c r="D2152" s="1" t="s">
        <v>43</v>
      </c>
      <c r="E2152" s="1" t="s">
        <v>24</v>
      </c>
      <c r="F2152" s="1">
        <f t="shared" si="74"/>
        <v>438</v>
      </c>
      <c r="G2152" s="5">
        <f t="shared" si="73"/>
        <v>1.139269406392694</v>
      </c>
    </row>
    <row r="2153" spans="1:7" ht="13">
      <c r="A2153" s="4" t="s">
        <v>118</v>
      </c>
      <c r="B2153" s="1">
        <v>6.88</v>
      </c>
      <c r="C2153" s="1">
        <v>760</v>
      </c>
      <c r="D2153" s="1" t="s">
        <v>38</v>
      </c>
      <c r="E2153" s="1" t="s">
        <v>22</v>
      </c>
      <c r="F2153" s="1">
        <f t="shared" si="74"/>
        <v>688</v>
      </c>
      <c r="G2153" s="5">
        <f t="shared" si="73"/>
        <v>1.1046511627906976</v>
      </c>
    </row>
    <row r="2154" spans="1:7" ht="13">
      <c r="A2154" s="4" t="s">
        <v>118</v>
      </c>
      <c r="B2154" s="1">
        <v>5.4</v>
      </c>
      <c r="C2154" s="1">
        <v>632</v>
      </c>
      <c r="D2154" s="1" t="s">
        <v>45</v>
      </c>
      <c r="E2154" s="1" t="s">
        <v>8</v>
      </c>
      <c r="F2154" s="1">
        <f t="shared" si="74"/>
        <v>540</v>
      </c>
      <c r="G2154" s="5">
        <f t="shared" si="73"/>
        <v>1.1703703703703703</v>
      </c>
    </row>
    <row r="2155" spans="1:7" ht="13">
      <c r="A2155" s="4" t="s">
        <v>118</v>
      </c>
      <c r="B2155" s="1">
        <v>6.4</v>
      </c>
      <c r="C2155" s="1">
        <v>273</v>
      </c>
      <c r="D2155" s="1" t="s">
        <v>43</v>
      </c>
      <c r="E2155" s="1" t="s">
        <v>23</v>
      </c>
      <c r="F2155" s="1">
        <f t="shared" si="74"/>
        <v>640</v>
      </c>
      <c r="G2155" s="5">
        <f t="shared" si="73"/>
        <v>0.42656250000000001</v>
      </c>
    </row>
    <row r="2156" spans="1:7" ht="13">
      <c r="A2156" s="4" t="s">
        <v>118</v>
      </c>
      <c r="B2156" s="1">
        <v>8</v>
      </c>
      <c r="C2156" s="1">
        <v>704</v>
      </c>
      <c r="D2156" s="1" t="s">
        <v>11</v>
      </c>
      <c r="E2156" s="1" t="s">
        <v>22</v>
      </c>
      <c r="F2156" s="1">
        <f t="shared" si="74"/>
        <v>800</v>
      </c>
      <c r="G2156" s="5">
        <f t="shared" si="73"/>
        <v>0.88</v>
      </c>
    </row>
    <row r="2157" spans="1:7" ht="13">
      <c r="A2157" s="4" t="s">
        <v>118</v>
      </c>
      <c r="B2157" s="1">
        <v>3.86</v>
      </c>
      <c r="C2157" s="1">
        <v>407</v>
      </c>
      <c r="D2157" s="1" t="s">
        <v>11</v>
      </c>
      <c r="E2157" s="1" t="s">
        <v>8</v>
      </c>
      <c r="F2157" s="1">
        <f t="shared" si="74"/>
        <v>386</v>
      </c>
      <c r="G2157" s="5">
        <f t="shared" si="73"/>
        <v>1.0544041450777202</v>
      </c>
    </row>
    <row r="2158" spans="1:7" ht="13">
      <c r="A2158" s="4" t="s">
        <v>118</v>
      </c>
      <c r="B2158" s="1">
        <v>7.4</v>
      </c>
      <c r="C2158" s="1">
        <v>899</v>
      </c>
      <c r="D2158" s="1" t="s">
        <v>11</v>
      </c>
      <c r="E2158" s="1" t="s">
        <v>22</v>
      </c>
      <c r="F2158" s="1">
        <f t="shared" si="74"/>
        <v>740</v>
      </c>
      <c r="G2158" s="5">
        <f t="shared" si="73"/>
        <v>1.2148648648648648</v>
      </c>
    </row>
    <row r="2159" spans="1:7" ht="13">
      <c r="A2159" s="4" t="s">
        <v>118</v>
      </c>
      <c r="B2159" s="1">
        <v>9.57</v>
      </c>
      <c r="C2159" s="1">
        <v>934</v>
      </c>
      <c r="D2159" s="1" t="s">
        <v>42</v>
      </c>
      <c r="E2159" s="1" t="s">
        <v>22</v>
      </c>
      <c r="F2159" s="1">
        <f t="shared" si="74"/>
        <v>957</v>
      </c>
      <c r="G2159" s="5">
        <f t="shared" si="73"/>
        <v>0.97596656217345867</v>
      </c>
    </row>
    <row r="2160" spans="1:7" ht="13">
      <c r="A2160" s="4" t="s">
        <v>118</v>
      </c>
      <c r="B2160" s="1">
        <v>7.5</v>
      </c>
      <c r="C2160" s="1">
        <v>872</v>
      </c>
      <c r="D2160" s="1" t="s">
        <v>11</v>
      </c>
      <c r="E2160" s="1" t="s">
        <v>27</v>
      </c>
      <c r="F2160" s="1">
        <f t="shared" si="74"/>
        <v>750</v>
      </c>
      <c r="G2160" s="5">
        <f t="shared" si="73"/>
        <v>1.1626666666666667</v>
      </c>
    </row>
    <row r="2161" spans="1:7" ht="13">
      <c r="A2161" s="4" t="s">
        <v>118</v>
      </c>
      <c r="B2161" s="1">
        <v>6</v>
      </c>
      <c r="C2161" s="1">
        <v>754.2</v>
      </c>
      <c r="D2161" s="1" t="s">
        <v>11</v>
      </c>
      <c r="E2161" s="1" t="s">
        <v>22</v>
      </c>
      <c r="F2161" s="1">
        <f t="shared" si="74"/>
        <v>600</v>
      </c>
      <c r="G2161" s="5">
        <f t="shared" si="73"/>
        <v>1.2570000000000001</v>
      </c>
    </row>
    <row r="2162" spans="1:7" ht="13">
      <c r="A2162" s="4" t="s">
        <v>118</v>
      </c>
      <c r="B2162" s="1">
        <v>4.75</v>
      </c>
      <c r="C2162" s="1">
        <v>486</v>
      </c>
      <c r="D2162" s="1" t="s">
        <v>42</v>
      </c>
      <c r="E2162" s="1" t="s">
        <v>16</v>
      </c>
      <c r="F2162" s="1">
        <f t="shared" si="74"/>
        <v>475</v>
      </c>
      <c r="G2162" s="5">
        <f t="shared" si="73"/>
        <v>1.023157894736842</v>
      </c>
    </row>
    <row r="2163" spans="1:7" ht="13">
      <c r="A2163" s="4" t="s">
        <v>118</v>
      </c>
      <c r="B2163" s="1">
        <v>5.3</v>
      </c>
      <c r="C2163" s="1">
        <v>703.1</v>
      </c>
      <c r="D2163" s="1" t="s">
        <v>39</v>
      </c>
      <c r="E2163" s="1" t="s">
        <v>9</v>
      </c>
      <c r="F2163" s="1">
        <f t="shared" si="74"/>
        <v>530</v>
      </c>
      <c r="G2163" s="5">
        <f t="shared" si="73"/>
        <v>1.3266037735849057</v>
      </c>
    </row>
    <row r="2164" spans="1:7" ht="13">
      <c r="A2164" s="4" t="s">
        <v>118</v>
      </c>
      <c r="B2164" s="1">
        <v>696</v>
      </c>
      <c r="C2164" s="1">
        <v>6</v>
      </c>
      <c r="D2164" s="1" t="s">
        <v>11</v>
      </c>
      <c r="E2164" s="1" t="s">
        <v>19</v>
      </c>
      <c r="F2164" s="1">
        <f t="shared" si="74"/>
        <v>69600</v>
      </c>
      <c r="G2164" s="5">
        <f t="shared" si="73"/>
        <v>8.6206896551724131E-5</v>
      </c>
    </row>
    <row r="2165" spans="1:7" ht="13">
      <c r="A2165" s="4" t="s">
        <v>118</v>
      </c>
      <c r="B2165" s="1">
        <v>5</v>
      </c>
      <c r="C2165" s="1">
        <v>592</v>
      </c>
      <c r="D2165" s="1" t="s">
        <v>11</v>
      </c>
      <c r="E2165" s="1" t="s">
        <v>8</v>
      </c>
      <c r="F2165" s="1">
        <f t="shared" si="74"/>
        <v>500</v>
      </c>
      <c r="G2165" s="5">
        <f t="shared" si="73"/>
        <v>1.1839999999999999</v>
      </c>
    </row>
    <row r="2166" spans="1:7" ht="13">
      <c r="A2166" s="4" t="s">
        <v>118</v>
      </c>
      <c r="B2166" s="1">
        <v>3.48</v>
      </c>
      <c r="C2166" s="1">
        <v>390</v>
      </c>
      <c r="D2166" s="1" t="s">
        <v>38</v>
      </c>
      <c r="E2166" s="1" t="s">
        <v>7</v>
      </c>
      <c r="F2166" s="1">
        <f t="shared" si="74"/>
        <v>348</v>
      </c>
      <c r="G2166" s="5">
        <f t="shared" si="73"/>
        <v>1.1206896551724137</v>
      </c>
    </row>
    <row r="2167" spans="1:7" ht="13">
      <c r="A2167" s="4" t="s">
        <v>118</v>
      </c>
      <c r="B2167" s="1">
        <v>7.5</v>
      </c>
      <c r="C2167" s="1">
        <v>774.4</v>
      </c>
      <c r="D2167" s="1" t="s">
        <v>79</v>
      </c>
      <c r="E2167" s="1" t="s">
        <v>22</v>
      </c>
      <c r="F2167" s="1">
        <f t="shared" si="74"/>
        <v>750</v>
      </c>
      <c r="G2167" s="5">
        <f t="shared" si="73"/>
        <v>1.0325333333333333</v>
      </c>
    </row>
    <row r="2168" spans="1:7" ht="13">
      <c r="A2168" s="4" t="s">
        <v>118</v>
      </c>
      <c r="B2168" s="1">
        <v>6</v>
      </c>
      <c r="C2168" s="1">
        <v>666</v>
      </c>
      <c r="D2168" s="1" t="s">
        <v>40</v>
      </c>
      <c r="E2168" s="1" t="s">
        <v>17</v>
      </c>
      <c r="F2168" s="1">
        <f t="shared" si="74"/>
        <v>600</v>
      </c>
      <c r="G2168" s="5">
        <f t="shared" si="73"/>
        <v>1.1100000000000001</v>
      </c>
    </row>
    <row r="2169" spans="1:7" ht="13">
      <c r="A2169" s="4" t="s">
        <v>118</v>
      </c>
      <c r="B2169" s="1">
        <v>9.6</v>
      </c>
      <c r="C2169" s="1">
        <v>878</v>
      </c>
      <c r="D2169" s="1" t="s">
        <v>45</v>
      </c>
      <c r="E2169" s="1" t="s">
        <v>7</v>
      </c>
      <c r="F2169" s="1">
        <f t="shared" si="74"/>
        <v>960</v>
      </c>
      <c r="G2169" s="5">
        <f t="shared" si="73"/>
        <v>0.9145833333333333</v>
      </c>
    </row>
    <row r="2170" spans="1:7" ht="13">
      <c r="A2170" s="4" t="s">
        <v>118</v>
      </c>
      <c r="B2170" s="1">
        <v>4.2</v>
      </c>
      <c r="C2170" s="1">
        <v>483</v>
      </c>
      <c r="D2170" s="1" t="s">
        <v>11</v>
      </c>
      <c r="E2170" s="1" t="s">
        <v>9</v>
      </c>
      <c r="F2170" s="1">
        <f t="shared" si="74"/>
        <v>420</v>
      </c>
      <c r="G2170" s="5">
        <f t="shared" si="73"/>
        <v>1.1499999999999999</v>
      </c>
    </row>
    <row r="2171" spans="1:7" ht="13">
      <c r="A2171" s="4" t="s">
        <v>118</v>
      </c>
      <c r="B2171" s="1">
        <v>5.6</v>
      </c>
      <c r="C2171" s="1">
        <v>639</v>
      </c>
      <c r="D2171" s="1" t="s">
        <v>33</v>
      </c>
      <c r="E2171" s="1" t="s">
        <v>9</v>
      </c>
      <c r="F2171" s="1">
        <f t="shared" si="74"/>
        <v>560</v>
      </c>
      <c r="G2171" s="5">
        <f t="shared" si="73"/>
        <v>1.1410714285714285</v>
      </c>
    </row>
    <row r="2172" spans="1:7" ht="13">
      <c r="A2172" s="4" t="s">
        <v>118</v>
      </c>
      <c r="B2172" s="1">
        <v>4.0999999999999996</v>
      </c>
      <c r="C2172" s="1">
        <v>505</v>
      </c>
      <c r="D2172" s="1" t="s">
        <v>38</v>
      </c>
      <c r="E2172" s="1" t="s">
        <v>16</v>
      </c>
      <c r="F2172" s="1">
        <f t="shared" si="74"/>
        <v>409.99999999999994</v>
      </c>
      <c r="G2172" s="5">
        <f t="shared" si="73"/>
        <v>1.2317073170731709</v>
      </c>
    </row>
    <row r="2173" spans="1:7" ht="13">
      <c r="A2173" s="4" t="s">
        <v>118</v>
      </c>
      <c r="B2173" s="1">
        <v>6.56</v>
      </c>
      <c r="C2173" s="1">
        <v>708</v>
      </c>
      <c r="D2173" s="1" t="s">
        <v>11</v>
      </c>
      <c r="E2173" s="1" t="s">
        <v>18</v>
      </c>
      <c r="F2173" s="1">
        <f t="shared" si="74"/>
        <v>656</v>
      </c>
      <c r="G2173" s="5">
        <f t="shared" si="73"/>
        <v>1.0792682926829269</v>
      </c>
    </row>
    <row r="2174" spans="1:7" ht="13">
      <c r="A2174" s="4" t="s">
        <v>118</v>
      </c>
      <c r="B2174" s="1">
        <v>1.74</v>
      </c>
      <c r="C2174" s="1">
        <v>197</v>
      </c>
      <c r="D2174" s="1" t="s">
        <v>50</v>
      </c>
      <c r="E2174" s="1" t="s">
        <v>15</v>
      </c>
      <c r="F2174" s="1">
        <f t="shared" si="74"/>
        <v>174</v>
      </c>
      <c r="G2174" s="5">
        <f t="shared" si="73"/>
        <v>1.132183908045977</v>
      </c>
    </row>
    <row r="2175" spans="1:7" ht="13">
      <c r="A2175" s="4" t="s">
        <v>118</v>
      </c>
      <c r="B2175" s="1">
        <v>6.5</v>
      </c>
      <c r="C2175" s="1">
        <v>865</v>
      </c>
      <c r="D2175" s="1" t="s">
        <v>11</v>
      </c>
      <c r="E2175" s="1" t="s">
        <v>8</v>
      </c>
      <c r="F2175" s="1">
        <f t="shared" si="74"/>
        <v>650</v>
      </c>
      <c r="G2175" s="5">
        <f t="shared" si="73"/>
        <v>1.3307692307692307</v>
      </c>
    </row>
    <row r="2176" spans="1:7" ht="13">
      <c r="A2176" s="4" t="s">
        <v>118</v>
      </c>
      <c r="B2176" s="1">
        <v>7</v>
      </c>
      <c r="C2176" s="1">
        <v>818</v>
      </c>
      <c r="D2176" s="1" t="s">
        <v>11</v>
      </c>
      <c r="E2176" s="1" t="s">
        <v>27</v>
      </c>
      <c r="F2176" s="1">
        <f t="shared" si="74"/>
        <v>700</v>
      </c>
      <c r="G2176" s="5">
        <f t="shared" si="73"/>
        <v>1.1685714285714286</v>
      </c>
    </row>
    <row r="2177" spans="1:7" ht="13">
      <c r="A2177" s="4" t="s">
        <v>118</v>
      </c>
      <c r="B2177" s="1">
        <v>6.7</v>
      </c>
      <c r="C2177" s="1">
        <v>677</v>
      </c>
      <c r="D2177" s="1" t="s">
        <v>39</v>
      </c>
      <c r="E2177" s="1" t="s">
        <v>17</v>
      </c>
      <c r="F2177" s="1">
        <f t="shared" si="74"/>
        <v>670</v>
      </c>
      <c r="G2177" s="5">
        <f t="shared" si="73"/>
        <v>1.0104477611940299</v>
      </c>
    </row>
    <row r="2178" spans="1:7" ht="13">
      <c r="A2178" s="4" t="s">
        <v>118</v>
      </c>
      <c r="B2178" s="1">
        <v>8.9</v>
      </c>
      <c r="C2178" s="1">
        <v>938</v>
      </c>
      <c r="D2178" s="1" t="s">
        <v>42</v>
      </c>
      <c r="E2178" s="1" t="s">
        <v>17</v>
      </c>
      <c r="F2178" s="1">
        <f t="shared" si="74"/>
        <v>890</v>
      </c>
      <c r="G2178" s="5">
        <f t="shared" ref="G2178:G2241" si="75">C2178/F2178</f>
        <v>1.053932584269663</v>
      </c>
    </row>
    <row r="2179" spans="1:7" ht="13">
      <c r="A2179" s="4" t="s">
        <v>118</v>
      </c>
      <c r="B2179" s="1">
        <v>4.3499999999999996</v>
      </c>
      <c r="C2179" s="1">
        <v>513</v>
      </c>
      <c r="D2179" s="1" t="s">
        <v>39</v>
      </c>
      <c r="E2179" s="1" t="s">
        <v>14</v>
      </c>
      <c r="F2179" s="1">
        <f t="shared" ref="F2179:F2242" si="76">B2179*100</f>
        <v>434.99999999999994</v>
      </c>
      <c r="G2179" s="5">
        <f t="shared" si="75"/>
        <v>1.1793103448275863</v>
      </c>
    </row>
    <row r="2180" spans="1:7" ht="13">
      <c r="A2180" s="4" t="s">
        <v>118</v>
      </c>
      <c r="B2180" s="1">
        <v>8.4</v>
      </c>
      <c r="C2180" s="1">
        <v>831</v>
      </c>
      <c r="D2180" s="1" t="s">
        <v>11</v>
      </c>
      <c r="E2180" s="1" t="s">
        <v>12</v>
      </c>
      <c r="F2180" s="1">
        <f t="shared" si="76"/>
        <v>840</v>
      </c>
      <c r="G2180" s="5">
        <f t="shared" si="75"/>
        <v>0.98928571428571432</v>
      </c>
    </row>
    <row r="2181" spans="1:7" ht="13">
      <c r="A2181" s="4" t="s">
        <v>118</v>
      </c>
      <c r="B2181" s="1">
        <v>7.3</v>
      </c>
      <c r="C2181" s="1">
        <v>794</v>
      </c>
      <c r="D2181" s="1" t="s">
        <v>11</v>
      </c>
      <c r="E2181" s="1" t="s">
        <v>12</v>
      </c>
      <c r="F2181" s="1">
        <f t="shared" si="76"/>
        <v>730</v>
      </c>
      <c r="G2181" s="5">
        <f t="shared" si="75"/>
        <v>1.0876712328767124</v>
      </c>
    </row>
    <row r="2182" spans="1:7" ht="13">
      <c r="A2182" s="4" t="s">
        <v>118</v>
      </c>
      <c r="B2182" s="1">
        <v>10.44</v>
      </c>
      <c r="C2182" s="1">
        <v>955</v>
      </c>
      <c r="D2182" s="1" t="s">
        <v>33</v>
      </c>
      <c r="E2182" s="1" t="s">
        <v>15</v>
      </c>
      <c r="F2182" s="1">
        <f t="shared" si="76"/>
        <v>1044</v>
      </c>
      <c r="G2182" s="5">
        <f t="shared" si="75"/>
        <v>0.91475095785440608</v>
      </c>
    </row>
    <row r="2183" spans="1:7" ht="13">
      <c r="A2183" s="4" t="s">
        <v>118</v>
      </c>
      <c r="B2183" s="1">
        <v>3.78</v>
      </c>
      <c r="C2183" s="1">
        <v>430</v>
      </c>
      <c r="D2183" s="1" t="s">
        <v>11</v>
      </c>
      <c r="E2183" s="1" t="s">
        <v>26</v>
      </c>
      <c r="F2183" s="1">
        <f t="shared" si="76"/>
        <v>378</v>
      </c>
      <c r="G2183" s="5">
        <f t="shared" si="75"/>
        <v>1.1375661375661377</v>
      </c>
    </row>
    <row r="2184" spans="1:7" ht="13">
      <c r="A2184" s="4" t="s">
        <v>118</v>
      </c>
      <c r="B2184" s="1">
        <v>6.88</v>
      </c>
      <c r="C2184" s="1">
        <v>686</v>
      </c>
      <c r="D2184" s="1" t="s">
        <v>11</v>
      </c>
      <c r="E2184" s="1" t="s">
        <v>46</v>
      </c>
      <c r="F2184" s="1">
        <f t="shared" si="76"/>
        <v>688</v>
      </c>
      <c r="G2184" s="5">
        <f t="shared" si="75"/>
        <v>0.99709302325581395</v>
      </c>
    </row>
    <row r="2185" spans="1:7" ht="13">
      <c r="A2185" s="4" t="s">
        <v>118</v>
      </c>
      <c r="B2185" s="1">
        <v>8.3000000000000007</v>
      </c>
      <c r="C2185" s="1">
        <v>795</v>
      </c>
      <c r="D2185" s="1" t="s">
        <v>33</v>
      </c>
      <c r="E2185" s="1" t="s">
        <v>7</v>
      </c>
      <c r="F2185" s="1">
        <f t="shared" si="76"/>
        <v>830.00000000000011</v>
      </c>
      <c r="G2185" s="5">
        <f t="shared" si="75"/>
        <v>0.95783132530120474</v>
      </c>
    </row>
    <row r="2186" spans="1:7" ht="13">
      <c r="A2186" s="4" t="s">
        <v>118</v>
      </c>
      <c r="B2186" s="1">
        <v>7.56</v>
      </c>
      <c r="C2186" s="1">
        <v>788</v>
      </c>
      <c r="D2186" s="1" t="s">
        <v>11</v>
      </c>
      <c r="E2186" s="1" t="s">
        <v>27</v>
      </c>
      <c r="F2186" s="1">
        <f t="shared" si="76"/>
        <v>756</v>
      </c>
      <c r="G2186" s="5">
        <f t="shared" si="75"/>
        <v>1.0423280423280423</v>
      </c>
    </row>
    <row r="2187" spans="1:7" ht="13">
      <c r="A2187" s="4" t="s">
        <v>118</v>
      </c>
      <c r="B2187" s="1">
        <v>6.88</v>
      </c>
      <c r="C2187" s="1">
        <v>881</v>
      </c>
      <c r="D2187" s="1" t="s">
        <v>11</v>
      </c>
      <c r="E2187" s="1" t="s">
        <v>15</v>
      </c>
      <c r="F2187" s="1">
        <f t="shared" si="76"/>
        <v>688</v>
      </c>
      <c r="G2187" s="5">
        <f t="shared" si="75"/>
        <v>1.2805232558139534</v>
      </c>
    </row>
    <row r="2188" spans="1:7" ht="13">
      <c r="A2188" s="4" t="s">
        <v>118</v>
      </c>
      <c r="B2188" s="1">
        <v>8.6</v>
      </c>
      <c r="C2188" s="1">
        <v>1090</v>
      </c>
      <c r="D2188" s="1" t="s">
        <v>11</v>
      </c>
      <c r="E2188" s="1" t="s">
        <v>20</v>
      </c>
      <c r="F2188" s="1">
        <f t="shared" si="76"/>
        <v>860</v>
      </c>
      <c r="G2188" s="5">
        <f t="shared" si="75"/>
        <v>1.2674418604651163</v>
      </c>
    </row>
    <row r="2189" spans="1:7" ht="13">
      <c r="A2189" s="4" t="s">
        <v>118</v>
      </c>
      <c r="B2189" s="1">
        <v>4</v>
      </c>
      <c r="C2189" s="1">
        <v>308</v>
      </c>
      <c r="D2189" s="1" t="s">
        <v>11</v>
      </c>
      <c r="E2189" s="1" t="s">
        <v>49</v>
      </c>
      <c r="F2189" s="1">
        <f t="shared" si="76"/>
        <v>400</v>
      </c>
      <c r="G2189" s="5">
        <f t="shared" si="75"/>
        <v>0.77</v>
      </c>
    </row>
    <row r="2190" spans="1:7" ht="13">
      <c r="A2190" s="4" t="s">
        <v>118</v>
      </c>
      <c r="B2190" s="1">
        <v>8.4</v>
      </c>
      <c r="C2190" s="1">
        <v>920</v>
      </c>
      <c r="D2190" s="1" t="s">
        <v>33</v>
      </c>
      <c r="E2190" s="1" t="s">
        <v>15</v>
      </c>
      <c r="F2190" s="1">
        <f t="shared" si="76"/>
        <v>840</v>
      </c>
      <c r="G2190" s="5">
        <f t="shared" si="75"/>
        <v>1.0952380952380953</v>
      </c>
    </row>
    <row r="2191" spans="1:7" ht="13">
      <c r="A2191" s="4" t="s">
        <v>119</v>
      </c>
      <c r="B2191" s="1">
        <v>9.98</v>
      </c>
      <c r="C2191" s="1">
        <v>990</v>
      </c>
      <c r="D2191" s="1" t="s">
        <v>33</v>
      </c>
      <c r="E2191" s="1" t="s">
        <v>21</v>
      </c>
      <c r="F2191" s="1">
        <f t="shared" si="76"/>
        <v>998</v>
      </c>
      <c r="G2191" s="5">
        <f t="shared" si="75"/>
        <v>0.99198396793587174</v>
      </c>
    </row>
    <row r="2192" spans="1:7" ht="13">
      <c r="A2192" s="4" t="s">
        <v>119</v>
      </c>
      <c r="B2192" s="1">
        <v>8.1999999999999993</v>
      </c>
      <c r="C2192" s="1">
        <v>830</v>
      </c>
      <c r="D2192" s="1" t="s">
        <v>39</v>
      </c>
      <c r="E2192" s="1" t="s">
        <v>16</v>
      </c>
      <c r="F2192" s="1">
        <f t="shared" si="76"/>
        <v>819.99999999999989</v>
      </c>
      <c r="G2192" s="5">
        <f t="shared" si="75"/>
        <v>1.0121951219512197</v>
      </c>
    </row>
    <row r="2193" spans="1:7" ht="13">
      <c r="A2193" s="4" t="s">
        <v>119</v>
      </c>
      <c r="B2193" s="1">
        <v>6.5</v>
      </c>
      <c r="C2193" s="1">
        <v>765</v>
      </c>
      <c r="D2193" s="1" t="s">
        <v>72</v>
      </c>
      <c r="E2193" s="1" t="s">
        <v>8</v>
      </c>
      <c r="F2193" s="1">
        <f t="shared" si="76"/>
        <v>650</v>
      </c>
      <c r="G2193" s="5">
        <f t="shared" si="75"/>
        <v>1.176923076923077</v>
      </c>
    </row>
    <row r="2194" spans="1:7" ht="13">
      <c r="A2194" s="4" t="s">
        <v>119</v>
      </c>
      <c r="B2194" s="1">
        <v>7.5</v>
      </c>
      <c r="C2194" s="1">
        <v>755</v>
      </c>
      <c r="D2194" s="1" t="s">
        <v>11</v>
      </c>
      <c r="E2194" s="1" t="s">
        <v>16</v>
      </c>
      <c r="F2194" s="1">
        <f t="shared" si="76"/>
        <v>750</v>
      </c>
      <c r="G2194" s="5">
        <f t="shared" si="75"/>
        <v>1.0066666666666666</v>
      </c>
    </row>
    <row r="2195" spans="1:7" ht="13">
      <c r="A2195" s="4" t="s">
        <v>119</v>
      </c>
      <c r="B2195" s="1">
        <v>4.8600000000000003</v>
      </c>
      <c r="C2195" s="1">
        <v>450</v>
      </c>
      <c r="D2195" s="1" t="s">
        <v>11</v>
      </c>
      <c r="E2195" s="1" t="s">
        <v>18</v>
      </c>
      <c r="F2195" s="1">
        <f t="shared" si="76"/>
        <v>486.00000000000006</v>
      </c>
      <c r="G2195" s="5">
        <f t="shared" si="75"/>
        <v>0.92592592592592582</v>
      </c>
    </row>
    <row r="2196" spans="1:7" ht="13">
      <c r="A2196" s="4" t="s">
        <v>119</v>
      </c>
      <c r="B2196" s="1">
        <v>8.9</v>
      </c>
      <c r="C2196" s="1">
        <v>861</v>
      </c>
      <c r="D2196" s="1" t="s">
        <v>11</v>
      </c>
      <c r="E2196" s="1" t="s">
        <v>31</v>
      </c>
      <c r="F2196" s="1">
        <f t="shared" si="76"/>
        <v>890</v>
      </c>
      <c r="G2196" s="5">
        <f t="shared" si="75"/>
        <v>0.96741573033707862</v>
      </c>
    </row>
    <row r="2197" spans="1:7" ht="13">
      <c r="A2197" s="4" t="s">
        <v>119</v>
      </c>
      <c r="B2197" s="1">
        <v>6.4</v>
      </c>
      <c r="C2197" s="1">
        <v>614</v>
      </c>
      <c r="D2197" s="1" t="s">
        <v>11</v>
      </c>
      <c r="E2197" s="1" t="s">
        <v>17</v>
      </c>
      <c r="F2197" s="1">
        <f t="shared" si="76"/>
        <v>640</v>
      </c>
      <c r="G2197" s="5">
        <f t="shared" si="75"/>
        <v>0.95937499999999998</v>
      </c>
    </row>
    <row r="2198" spans="1:7" ht="13">
      <c r="A2198" s="4" t="s">
        <v>119</v>
      </c>
      <c r="B2198" s="1">
        <v>5.46</v>
      </c>
      <c r="C2198" s="1">
        <v>650</v>
      </c>
      <c r="D2198" s="1" t="s">
        <v>47</v>
      </c>
      <c r="E2198" s="1" t="s">
        <v>10</v>
      </c>
      <c r="F2198" s="1">
        <f t="shared" si="76"/>
        <v>546</v>
      </c>
      <c r="G2198" s="5">
        <f t="shared" si="75"/>
        <v>1.1904761904761905</v>
      </c>
    </row>
    <row r="2199" spans="1:7" ht="13">
      <c r="A2199" s="4" t="s">
        <v>119</v>
      </c>
      <c r="B2199" s="1">
        <v>7.83</v>
      </c>
      <c r="C2199" s="1">
        <v>837</v>
      </c>
      <c r="D2199" s="1" t="s">
        <v>35</v>
      </c>
      <c r="E2199" s="1" t="s">
        <v>23</v>
      </c>
      <c r="F2199" s="1">
        <f t="shared" si="76"/>
        <v>783</v>
      </c>
      <c r="G2199" s="5">
        <f t="shared" si="75"/>
        <v>1.0689655172413792</v>
      </c>
    </row>
    <row r="2200" spans="1:7" ht="13">
      <c r="A2200" s="4" t="s">
        <v>119</v>
      </c>
      <c r="B2200" s="1">
        <v>4.4000000000000004</v>
      </c>
      <c r="C2200" s="1">
        <v>420</v>
      </c>
      <c r="D2200" s="1" t="s">
        <v>11</v>
      </c>
      <c r="E2200" s="1" t="s">
        <v>12</v>
      </c>
      <c r="F2200" s="1">
        <f t="shared" si="76"/>
        <v>440.00000000000006</v>
      </c>
      <c r="G2200" s="5">
        <f t="shared" si="75"/>
        <v>0.95454545454545447</v>
      </c>
    </row>
    <row r="2201" spans="1:7" ht="13">
      <c r="A2201" s="4" t="s">
        <v>119</v>
      </c>
      <c r="B2201" s="1">
        <v>6.4</v>
      </c>
      <c r="C2201" s="1">
        <v>665</v>
      </c>
      <c r="D2201" s="1" t="s">
        <v>38</v>
      </c>
      <c r="E2201" s="1" t="s">
        <v>9</v>
      </c>
      <c r="F2201" s="1">
        <f t="shared" si="76"/>
        <v>640</v>
      </c>
      <c r="G2201" s="5">
        <f t="shared" si="75"/>
        <v>1.0390625</v>
      </c>
    </row>
    <row r="2202" spans="1:7" ht="13">
      <c r="A2202" s="4" t="s">
        <v>119</v>
      </c>
      <c r="B2202" s="1">
        <v>8.8000000000000007</v>
      </c>
      <c r="C2202" s="1">
        <v>917</v>
      </c>
      <c r="D2202" s="1" t="s">
        <v>11</v>
      </c>
      <c r="E2202" s="1" t="s">
        <v>8</v>
      </c>
      <c r="F2202" s="1">
        <f t="shared" si="76"/>
        <v>880.00000000000011</v>
      </c>
      <c r="G2202" s="5">
        <f t="shared" si="75"/>
        <v>1.0420454545454545</v>
      </c>
    </row>
    <row r="2203" spans="1:7" ht="13">
      <c r="A2203" s="4" t="s">
        <v>119</v>
      </c>
      <c r="B2203" s="1">
        <v>6</v>
      </c>
      <c r="C2203" s="1">
        <v>617</v>
      </c>
      <c r="D2203" s="1" t="s">
        <v>35</v>
      </c>
      <c r="E2203" s="1" t="s">
        <v>15</v>
      </c>
      <c r="F2203" s="1">
        <f t="shared" si="76"/>
        <v>600</v>
      </c>
      <c r="G2203" s="5">
        <f t="shared" si="75"/>
        <v>1.0283333333333333</v>
      </c>
    </row>
    <row r="2204" spans="1:7" ht="13">
      <c r="A2204" s="4" t="s">
        <v>119</v>
      </c>
      <c r="B2204" s="1">
        <v>6.72</v>
      </c>
      <c r="C2204" s="1">
        <v>738</v>
      </c>
      <c r="D2204" s="1" t="s">
        <v>11</v>
      </c>
      <c r="E2204" s="1" t="s">
        <v>24</v>
      </c>
      <c r="F2204" s="1">
        <f t="shared" si="76"/>
        <v>672</v>
      </c>
      <c r="G2204" s="5">
        <f t="shared" si="75"/>
        <v>1.0982142857142858</v>
      </c>
    </row>
    <row r="2205" spans="1:7" ht="13">
      <c r="A2205" s="4" t="s">
        <v>119</v>
      </c>
      <c r="B2205" s="1">
        <v>6.2</v>
      </c>
      <c r="C2205" s="1">
        <v>617</v>
      </c>
      <c r="D2205" s="1" t="s">
        <v>11</v>
      </c>
      <c r="E2205" s="1" t="s">
        <v>7</v>
      </c>
      <c r="F2205" s="1">
        <f t="shared" si="76"/>
        <v>620</v>
      </c>
      <c r="G2205" s="5">
        <f t="shared" si="75"/>
        <v>0.99516129032258061</v>
      </c>
    </row>
    <row r="2206" spans="1:7" ht="13">
      <c r="A2206" s="4" t="s">
        <v>119</v>
      </c>
      <c r="B2206" s="1">
        <v>8.6</v>
      </c>
      <c r="C2206" s="1">
        <v>856</v>
      </c>
      <c r="D2206" s="1" t="s">
        <v>11</v>
      </c>
      <c r="E2206" s="1" t="s">
        <v>68</v>
      </c>
      <c r="F2206" s="1">
        <f t="shared" si="76"/>
        <v>860</v>
      </c>
      <c r="G2206" s="5">
        <f t="shared" si="75"/>
        <v>0.99534883720930234</v>
      </c>
    </row>
    <row r="2207" spans="1:7" ht="13">
      <c r="A2207" s="4" t="s">
        <v>119</v>
      </c>
      <c r="B2207" s="1">
        <v>12</v>
      </c>
      <c r="C2207" s="1">
        <v>980</v>
      </c>
      <c r="D2207" s="1" t="s">
        <v>33</v>
      </c>
      <c r="E2207" s="1" t="s">
        <v>20</v>
      </c>
      <c r="F2207" s="1">
        <f t="shared" si="76"/>
        <v>1200</v>
      </c>
      <c r="G2207" s="5">
        <f t="shared" si="75"/>
        <v>0.81666666666666665</v>
      </c>
    </row>
    <row r="2208" spans="1:7" ht="13">
      <c r="A2208" s="4" t="s">
        <v>119</v>
      </c>
      <c r="B2208" s="1">
        <v>5.8</v>
      </c>
      <c r="C2208" s="1">
        <v>438</v>
      </c>
      <c r="D2208" s="1" t="s">
        <v>67</v>
      </c>
      <c r="E2208" s="1" t="s">
        <v>17</v>
      </c>
      <c r="F2208" s="1">
        <f t="shared" si="76"/>
        <v>580</v>
      </c>
      <c r="G2208" s="5">
        <f t="shared" si="75"/>
        <v>0.7551724137931034</v>
      </c>
    </row>
    <row r="2209" spans="1:7" ht="13">
      <c r="A2209" s="4" t="s">
        <v>119</v>
      </c>
      <c r="B2209" s="1">
        <v>8.4</v>
      </c>
      <c r="C2209" s="1">
        <v>778</v>
      </c>
      <c r="D2209" s="1" t="s">
        <v>105</v>
      </c>
      <c r="E2209" s="1" t="s">
        <v>32</v>
      </c>
      <c r="F2209" s="1">
        <f t="shared" si="76"/>
        <v>840</v>
      </c>
      <c r="G2209" s="5">
        <f t="shared" si="75"/>
        <v>0.92619047619047623</v>
      </c>
    </row>
    <row r="2210" spans="1:7" ht="13">
      <c r="A2210" s="4" t="s">
        <v>119</v>
      </c>
      <c r="B2210" s="1">
        <v>4.5</v>
      </c>
      <c r="C2210" s="1">
        <v>560</v>
      </c>
      <c r="D2210" s="1" t="s">
        <v>39</v>
      </c>
      <c r="E2210" s="1" t="s">
        <v>15</v>
      </c>
      <c r="F2210" s="1">
        <f t="shared" si="76"/>
        <v>450</v>
      </c>
      <c r="G2210" s="5">
        <f t="shared" si="75"/>
        <v>1.2444444444444445</v>
      </c>
    </row>
    <row r="2211" spans="1:7" ht="13">
      <c r="A2211" s="4" t="s">
        <v>119</v>
      </c>
      <c r="B2211" s="1">
        <v>5</v>
      </c>
      <c r="C2211" s="1">
        <v>560</v>
      </c>
      <c r="D2211" s="1" t="s">
        <v>11</v>
      </c>
      <c r="E2211" s="1" t="s">
        <v>15</v>
      </c>
      <c r="F2211" s="1">
        <f t="shared" si="76"/>
        <v>500</v>
      </c>
      <c r="G2211" s="5">
        <f t="shared" si="75"/>
        <v>1.1200000000000001</v>
      </c>
    </row>
    <row r="2212" spans="1:7" ht="13">
      <c r="A2212" s="4" t="s">
        <v>119</v>
      </c>
      <c r="B2212" s="1">
        <v>7.7</v>
      </c>
      <c r="C2212" s="1">
        <v>815</v>
      </c>
      <c r="D2212" s="1" t="s">
        <v>11</v>
      </c>
      <c r="E2212" s="1" t="s">
        <v>25</v>
      </c>
      <c r="F2212" s="1">
        <f t="shared" si="76"/>
        <v>770</v>
      </c>
      <c r="G2212" s="5">
        <f t="shared" si="75"/>
        <v>1.0584415584415585</v>
      </c>
    </row>
    <row r="2213" spans="1:7" ht="13">
      <c r="A2213" s="4" t="s">
        <v>119</v>
      </c>
      <c r="B2213" s="1">
        <v>5.74</v>
      </c>
      <c r="C2213" s="1">
        <v>644</v>
      </c>
      <c r="D2213" s="1" t="s">
        <v>11</v>
      </c>
      <c r="E2213" s="1" t="s">
        <v>21</v>
      </c>
      <c r="F2213" s="1">
        <f t="shared" si="76"/>
        <v>574</v>
      </c>
      <c r="G2213" s="5">
        <f t="shared" si="75"/>
        <v>1.1219512195121952</v>
      </c>
    </row>
    <row r="2214" spans="1:7" ht="13">
      <c r="A2214" s="4" t="s">
        <v>119</v>
      </c>
      <c r="B2214" s="1">
        <v>7.4</v>
      </c>
      <c r="C2214" s="1">
        <v>794</v>
      </c>
      <c r="D2214" s="1" t="s">
        <v>33</v>
      </c>
      <c r="E2214" s="1" t="s">
        <v>23</v>
      </c>
      <c r="F2214" s="1">
        <f t="shared" si="76"/>
        <v>740</v>
      </c>
      <c r="G2214" s="5">
        <f t="shared" si="75"/>
        <v>1.0729729729729729</v>
      </c>
    </row>
    <row r="2215" spans="1:7" ht="13">
      <c r="A2215" s="4" t="s">
        <v>119</v>
      </c>
      <c r="B2215" s="1">
        <v>7.5</v>
      </c>
      <c r="C2215" s="1">
        <v>647.97</v>
      </c>
      <c r="D2215" s="1" t="s">
        <v>40</v>
      </c>
      <c r="E2215" s="1" t="s">
        <v>16</v>
      </c>
      <c r="F2215" s="1">
        <f t="shared" si="76"/>
        <v>750</v>
      </c>
      <c r="G2215" s="5">
        <f t="shared" si="75"/>
        <v>0.86396000000000006</v>
      </c>
    </row>
    <row r="2216" spans="1:7" ht="13">
      <c r="A2216" s="4" t="s">
        <v>119</v>
      </c>
      <c r="B2216" s="1">
        <v>7.56</v>
      </c>
      <c r="C2216" s="1">
        <v>689</v>
      </c>
      <c r="D2216" s="1" t="s">
        <v>33</v>
      </c>
      <c r="E2216" s="1" t="s">
        <v>31</v>
      </c>
      <c r="F2216" s="1">
        <f t="shared" si="76"/>
        <v>756</v>
      </c>
      <c r="G2216" s="5">
        <f t="shared" si="75"/>
        <v>0.91137566137566139</v>
      </c>
    </row>
    <row r="2217" spans="1:7" ht="13">
      <c r="A2217" s="4" t="s">
        <v>119</v>
      </c>
      <c r="B2217" s="1">
        <v>4.3499999999999996</v>
      </c>
      <c r="C2217" s="1">
        <v>477</v>
      </c>
      <c r="D2217" s="1" t="s">
        <v>11</v>
      </c>
      <c r="E2217" s="1" t="s">
        <v>8</v>
      </c>
      <c r="F2217" s="1">
        <f t="shared" si="76"/>
        <v>434.99999999999994</v>
      </c>
      <c r="G2217" s="5">
        <f t="shared" si="75"/>
        <v>1.0965517241379312</v>
      </c>
    </row>
    <row r="2218" spans="1:7" ht="13">
      <c r="A2218" s="4" t="s">
        <v>119</v>
      </c>
      <c r="B2218" s="1">
        <v>7.5</v>
      </c>
      <c r="C2218" s="1">
        <v>734</v>
      </c>
      <c r="D2218" s="1" t="s">
        <v>43</v>
      </c>
      <c r="E2218" s="1" t="s">
        <v>16</v>
      </c>
      <c r="F2218" s="1">
        <f t="shared" si="76"/>
        <v>750</v>
      </c>
      <c r="G2218" s="5">
        <f t="shared" si="75"/>
        <v>0.97866666666666668</v>
      </c>
    </row>
    <row r="2219" spans="1:7" ht="13">
      <c r="A2219" s="4" t="s">
        <v>119</v>
      </c>
      <c r="B2219" s="1">
        <v>5.8</v>
      </c>
      <c r="C2219" s="1">
        <v>6.12</v>
      </c>
      <c r="D2219" s="1" t="s">
        <v>43</v>
      </c>
      <c r="E2219" s="1" t="s">
        <v>10</v>
      </c>
      <c r="F2219" s="1">
        <f t="shared" si="76"/>
        <v>580</v>
      </c>
      <c r="G2219" s="5">
        <f t="shared" si="75"/>
        <v>1.0551724137931035E-2</v>
      </c>
    </row>
    <row r="2220" spans="1:7" ht="13">
      <c r="A2220" s="4" t="s">
        <v>119</v>
      </c>
      <c r="B2220" s="1">
        <v>5</v>
      </c>
      <c r="C2220" s="1">
        <v>553</v>
      </c>
      <c r="D2220" s="1" t="s">
        <v>43</v>
      </c>
      <c r="E2220" s="1" t="s">
        <v>22</v>
      </c>
      <c r="F2220" s="1">
        <f t="shared" si="76"/>
        <v>500</v>
      </c>
      <c r="G2220" s="5">
        <f t="shared" si="75"/>
        <v>1.1060000000000001</v>
      </c>
    </row>
    <row r="2221" spans="1:7" ht="13">
      <c r="A2221" s="4" t="s">
        <v>119</v>
      </c>
      <c r="B2221" s="1">
        <v>9.67</v>
      </c>
      <c r="C2221" s="1">
        <v>949</v>
      </c>
      <c r="D2221" s="1" t="s">
        <v>11</v>
      </c>
      <c r="E2221" s="1" t="s">
        <v>10</v>
      </c>
      <c r="F2221" s="1">
        <f t="shared" si="76"/>
        <v>967</v>
      </c>
      <c r="G2221" s="5">
        <f t="shared" si="75"/>
        <v>0.98138572905894517</v>
      </c>
    </row>
    <row r="2222" spans="1:7" ht="13">
      <c r="A2222" s="4" t="s">
        <v>119</v>
      </c>
      <c r="B2222" s="1">
        <v>8.6999999999999993</v>
      </c>
      <c r="C2222" s="1">
        <v>949</v>
      </c>
      <c r="D2222" s="1" t="s">
        <v>11</v>
      </c>
      <c r="E2222" s="1" t="s">
        <v>24</v>
      </c>
      <c r="F2222" s="1">
        <f t="shared" si="76"/>
        <v>869.99999999999989</v>
      </c>
      <c r="G2222" s="5">
        <f t="shared" si="75"/>
        <v>1.0908045977011496</v>
      </c>
    </row>
    <row r="2223" spans="1:7" ht="13">
      <c r="A2223" s="4" t="s">
        <v>119</v>
      </c>
      <c r="B2223" s="1">
        <v>6.96</v>
      </c>
      <c r="C2223" s="1">
        <v>636</v>
      </c>
      <c r="D2223" s="1" t="s">
        <v>33</v>
      </c>
      <c r="E2223" s="1" t="s">
        <v>9</v>
      </c>
      <c r="F2223" s="1">
        <f t="shared" si="76"/>
        <v>696</v>
      </c>
      <c r="G2223" s="5">
        <f t="shared" si="75"/>
        <v>0.91379310344827591</v>
      </c>
    </row>
    <row r="2224" spans="1:7" ht="13">
      <c r="A2224" s="4" t="s">
        <v>119</v>
      </c>
      <c r="B2224" s="1">
        <v>5</v>
      </c>
      <c r="C2224" s="1">
        <v>503</v>
      </c>
      <c r="D2224" s="1" t="s">
        <v>50</v>
      </c>
      <c r="E2224" s="1" t="s">
        <v>15</v>
      </c>
      <c r="F2224" s="1">
        <f t="shared" si="76"/>
        <v>500</v>
      </c>
      <c r="G2224" s="5">
        <f t="shared" si="75"/>
        <v>1.006</v>
      </c>
    </row>
    <row r="2225" spans="1:7" ht="13">
      <c r="A2225" s="4" t="s">
        <v>119</v>
      </c>
      <c r="B2225" s="1">
        <v>5.6</v>
      </c>
      <c r="C2225" s="1">
        <v>485</v>
      </c>
      <c r="D2225" s="1" t="s">
        <v>102</v>
      </c>
      <c r="E2225" s="1" t="s">
        <v>26</v>
      </c>
      <c r="F2225" s="1">
        <f t="shared" si="76"/>
        <v>560</v>
      </c>
      <c r="G2225" s="5">
        <f t="shared" si="75"/>
        <v>0.8660714285714286</v>
      </c>
    </row>
    <row r="2226" spans="1:7" ht="13">
      <c r="A2226" s="4" t="s">
        <v>119</v>
      </c>
      <c r="B2226" s="1">
        <v>7.5</v>
      </c>
      <c r="C2226" s="1">
        <v>745</v>
      </c>
      <c r="D2226" s="1" t="s">
        <v>43</v>
      </c>
      <c r="E2226" s="1" t="s">
        <v>24</v>
      </c>
      <c r="F2226" s="1">
        <f t="shared" si="76"/>
        <v>750</v>
      </c>
      <c r="G2226" s="5">
        <f t="shared" si="75"/>
        <v>0.99333333333333329</v>
      </c>
    </row>
    <row r="2227" spans="1:7" ht="13">
      <c r="A2227" s="4" t="s">
        <v>119</v>
      </c>
      <c r="B2227" s="1">
        <v>7.5</v>
      </c>
      <c r="C2227" s="1">
        <v>694</v>
      </c>
      <c r="D2227" s="1" t="s">
        <v>11</v>
      </c>
      <c r="E2227" s="1" t="s">
        <v>16</v>
      </c>
      <c r="F2227" s="1">
        <f t="shared" si="76"/>
        <v>750</v>
      </c>
      <c r="G2227" s="5">
        <f t="shared" si="75"/>
        <v>0.92533333333333334</v>
      </c>
    </row>
    <row r="2228" spans="1:7" ht="13">
      <c r="A2228" s="4" t="s">
        <v>119</v>
      </c>
      <c r="B2228" s="1">
        <v>200</v>
      </c>
      <c r="C2228" s="1">
        <v>18912</v>
      </c>
      <c r="D2228" s="1" t="s">
        <v>33</v>
      </c>
      <c r="E2228" s="1" t="s">
        <v>9</v>
      </c>
      <c r="F2228" s="1">
        <f t="shared" si="76"/>
        <v>20000</v>
      </c>
      <c r="G2228" s="5">
        <f t="shared" si="75"/>
        <v>0.9456</v>
      </c>
    </row>
    <row r="2229" spans="1:7" ht="13">
      <c r="A2229" s="4" t="s">
        <v>119</v>
      </c>
      <c r="B2229" s="1">
        <v>6.09</v>
      </c>
      <c r="C2229" s="1">
        <v>619</v>
      </c>
      <c r="D2229" s="1" t="s">
        <v>42</v>
      </c>
      <c r="E2229" s="1" t="s">
        <v>8</v>
      </c>
      <c r="F2229" s="1">
        <f t="shared" si="76"/>
        <v>609</v>
      </c>
      <c r="G2229" s="5">
        <f t="shared" si="75"/>
        <v>1.0164203612479474</v>
      </c>
    </row>
    <row r="2230" spans="1:7" ht="13">
      <c r="A2230" s="4" t="s">
        <v>119</v>
      </c>
      <c r="B2230" s="1">
        <v>3.44</v>
      </c>
      <c r="C2230" s="1">
        <v>412</v>
      </c>
      <c r="D2230" s="1" t="s">
        <v>43</v>
      </c>
      <c r="E2230" s="1" t="s">
        <v>8</v>
      </c>
      <c r="F2230" s="1">
        <f t="shared" si="76"/>
        <v>344</v>
      </c>
      <c r="G2230" s="5">
        <f t="shared" si="75"/>
        <v>1.1976744186046511</v>
      </c>
    </row>
    <row r="2231" spans="1:7" ht="13">
      <c r="A2231" s="4" t="s">
        <v>119</v>
      </c>
      <c r="B2231" s="1">
        <v>6.76</v>
      </c>
      <c r="C2231" s="1">
        <v>836</v>
      </c>
      <c r="D2231" s="1" t="s">
        <v>11</v>
      </c>
      <c r="E2231" s="1" t="s">
        <v>8</v>
      </c>
      <c r="F2231" s="1">
        <f t="shared" si="76"/>
        <v>676</v>
      </c>
      <c r="G2231" s="5">
        <f t="shared" si="75"/>
        <v>1.2366863905325445</v>
      </c>
    </row>
    <row r="2232" spans="1:7" ht="13">
      <c r="A2232" s="4" t="s">
        <v>119</v>
      </c>
      <c r="B2232" s="1">
        <v>5.04</v>
      </c>
      <c r="C2232" s="1">
        <v>484</v>
      </c>
      <c r="D2232" s="1" t="s">
        <v>11</v>
      </c>
      <c r="E2232" s="1" t="s">
        <v>15</v>
      </c>
      <c r="F2232" s="1">
        <f t="shared" si="76"/>
        <v>504</v>
      </c>
      <c r="G2232" s="5">
        <f t="shared" si="75"/>
        <v>0.96031746031746035</v>
      </c>
    </row>
    <row r="2233" spans="1:7" ht="13">
      <c r="A2233" s="4" t="s">
        <v>119</v>
      </c>
      <c r="B2233" s="1">
        <v>6.88</v>
      </c>
      <c r="C2233" s="1">
        <v>672</v>
      </c>
      <c r="D2233" s="1" t="s">
        <v>33</v>
      </c>
      <c r="E2233" s="1" t="s">
        <v>8</v>
      </c>
      <c r="F2233" s="1">
        <f t="shared" si="76"/>
        <v>688</v>
      </c>
      <c r="G2233" s="5">
        <f t="shared" si="75"/>
        <v>0.97674418604651159</v>
      </c>
    </row>
    <row r="2234" spans="1:7" ht="13">
      <c r="A2234" s="4" t="s">
        <v>119</v>
      </c>
      <c r="B2234" s="1">
        <v>8.6</v>
      </c>
      <c r="C2234" s="1">
        <v>1001</v>
      </c>
      <c r="D2234" s="1" t="s">
        <v>42</v>
      </c>
      <c r="E2234" s="1" t="s">
        <v>8</v>
      </c>
      <c r="F2234" s="1">
        <f t="shared" si="76"/>
        <v>860</v>
      </c>
      <c r="G2234" s="5">
        <f t="shared" si="75"/>
        <v>1.163953488372093</v>
      </c>
    </row>
    <row r="2235" spans="1:7" ht="13">
      <c r="A2235" s="4" t="s">
        <v>119</v>
      </c>
      <c r="B2235" s="1">
        <v>7.5</v>
      </c>
      <c r="C2235" s="1">
        <v>860</v>
      </c>
      <c r="D2235" s="1" t="s">
        <v>47</v>
      </c>
      <c r="E2235" s="1" t="s">
        <v>21</v>
      </c>
      <c r="F2235" s="1">
        <f t="shared" si="76"/>
        <v>750</v>
      </c>
      <c r="G2235" s="5">
        <f t="shared" si="75"/>
        <v>1.1466666666666667</v>
      </c>
    </row>
    <row r="2236" spans="1:7" ht="13">
      <c r="A2236" s="4" t="s">
        <v>119</v>
      </c>
      <c r="B2236" s="1">
        <v>3.48</v>
      </c>
      <c r="C2236" s="1">
        <v>376</v>
      </c>
      <c r="D2236" s="1" t="s">
        <v>39</v>
      </c>
      <c r="E2236" s="1" t="s">
        <v>15</v>
      </c>
      <c r="F2236" s="1">
        <f t="shared" si="76"/>
        <v>348</v>
      </c>
      <c r="G2236" s="5">
        <f t="shared" si="75"/>
        <v>1.0804597701149425</v>
      </c>
    </row>
    <row r="2237" spans="1:7" ht="13">
      <c r="A2237" s="4" t="s">
        <v>119</v>
      </c>
      <c r="B2237" s="1">
        <v>8.6999999999999993</v>
      </c>
      <c r="C2237" s="1">
        <v>793</v>
      </c>
      <c r="D2237" s="1" t="s">
        <v>33</v>
      </c>
      <c r="E2237" s="1" t="s">
        <v>14</v>
      </c>
      <c r="F2237" s="1">
        <f t="shared" si="76"/>
        <v>869.99999999999989</v>
      </c>
      <c r="G2237" s="5">
        <f t="shared" si="75"/>
        <v>0.91149425287356334</v>
      </c>
    </row>
    <row r="2238" spans="1:7" ht="13">
      <c r="A2238" s="4" t="s">
        <v>119</v>
      </c>
      <c r="B2238" s="1">
        <v>12</v>
      </c>
      <c r="C2238" s="1">
        <v>1120</v>
      </c>
      <c r="D2238" s="1" t="s">
        <v>39</v>
      </c>
      <c r="E2238" s="1" t="s">
        <v>41</v>
      </c>
      <c r="F2238" s="1">
        <f t="shared" si="76"/>
        <v>1200</v>
      </c>
      <c r="G2238" s="5">
        <f t="shared" si="75"/>
        <v>0.93333333333333335</v>
      </c>
    </row>
    <row r="2239" spans="1:7" ht="13">
      <c r="A2239" s="4" t="s">
        <v>119</v>
      </c>
      <c r="B2239" s="1">
        <v>6</v>
      </c>
      <c r="C2239" s="1">
        <v>635</v>
      </c>
      <c r="D2239" s="1" t="s">
        <v>33</v>
      </c>
      <c r="E2239" s="1" t="s">
        <v>8</v>
      </c>
      <c r="F2239" s="1">
        <f t="shared" si="76"/>
        <v>600</v>
      </c>
      <c r="G2239" s="5">
        <f t="shared" si="75"/>
        <v>1.0583333333333333</v>
      </c>
    </row>
    <row r="2240" spans="1:7" ht="13">
      <c r="A2240" s="4" t="s">
        <v>119</v>
      </c>
      <c r="B2240" s="1">
        <v>7.6</v>
      </c>
      <c r="C2240" s="1">
        <v>948</v>
      </c>
      <c r="D2240" s="1" t="s">
        <v>34</v>
      </c>
      <c r="E2240" s="1" t="s">
        <v>10</v>
      </c>
      <c r="F2240" s="1">
        <f t="shared" si="76"/>
        <v>760</v>
      </c>
      <c r="G2240" s="5">
        <f t="shared" si="75"/>
        <v>1.2473684210526317</v>
      </c>
    </row>
    <row r="2241" spans="1:7" ht="13">
      <c r="A2241" s="4" t="s">
        <v>119</v>
      </c>
      <c r="B2241" s="1">
        <v>12</v>
      </c>
      <c r="C2241" s="1">
        <v>2250</v>
      </c>
      <c r="D2241" s="1" t="s">
        <v>11</v>
      </c>
      <c r="E2241" s="1" t="s">
        <v>12</v>
      </c>
      <c r="F2241" s="1">
        <f t="shared" si="76"/>
        <v>1200</v>
      </c>
      <c r="G2241" s="5">
        <f t="shared" si="75"/>
        <v>1.875</v>
      </c>
    </row>
    <row r="2242" spans="1:7" ht="13">
      <c r="A2242" s="4" t="s">
        <v>119</v>
      </c>
      <c r="B2242" s="1">
        <v>3.9</v>
      </c>
      <c r="C2242" s="1">
        <v>429</v>
      </c>
      <c r="D2242" s="1" t="s">
        <v>11</v>
      </c>
      <c r="E2242" s="1" t="s">
        <v>15</v>
      </c>
      <c r="F2242" s="1">
        <f t="shared" si="76"/>
        <v>390</v>
      </c>
      <c r="G2242" s="5">
        <f t="shared" ref="G2242:G2305" si="77">C2242/F2242</f>
        <v>1.1000000000000001</v>
      </c>
    </row>
    <row r="2243" spans="1:7" ht="13">
      <c r="A2243" s="4" t="s">
        <v>119</v>
      </c>
      <c r="B2243" s="1">
        <v>4.3</v>
      </c>
      <c r="C2243" s="1">
        <v>368</v>
      </c>
      <c r="D2243" s="1" t="s">
        <v>33</v>
      </c>
      <c r="E2243" s="1" t="s">
        <v>30</v>
      </c>
      <c r="F2243" s="1">
        <f t="shared" ref="F2243:F2306" si="78">B2243*100</f>
        <v>430</v>
      </c>
      <c r="G2243" s="5">
        <f t="shared" si="77"/>
        <v>0.85581395348837208</v>
      </c>
    </row>
    <row r="2244" spans="1:7" ht="13">
      <c r="A2244" s="4" t="s">
        <v>119</v>
      </c>
      <c r="B2244" s="1">
        <v>5.6</v>
      </c>
      <c r="C2244" s="1">
        <v>590</v>
      </c>
      <c r="D2244" s="1" t="s">
        <v>33</v>
      </c>
      <c r="E2244" s="1" t="s">
        <v>29</v>
      </c>
      <c r="F2244" s="1">
        <f t="shared" si="78"/>
        <v>560</v>
      </c>
      <c r="G2244" s="5">
        <f t="shared" si="77"/>
        <v>1.0535714285714286</v>
      </c>
    </row>
    <row r="2245" spans="1:7" ht="13">
      <c r="A2245" s="4" t="s">
        <v>119</v>
      </c>
      <c r="B2245" s="1">
        <v>5.7</v>
      </c>
      <c r="C2245" s="1">
        <v>550</v>
      </c>
      <c r="D2245" s="1" t="s">
        <v>47</v>
      </c>
      <c r="E2245" s="1" t="s">
        <v>8</v>
      </c>
      <c r="F2245" s="1">
        <f t="shared" si="78"/>
        <v>570</v>
      </c>
      <c r="G2245" s="5">
        <f t="shared" si="77"/>
        <v>0.96491228070175439</v>
      </c>
    </row>
    <row r="2246" spans="1:7" ht="13">
      <c r="A2246" s="4" t="s">
        <v>119</v>
      </c>
      <c r="B2246" s="1">
        <v>5.22</v>
      </c>
      <c r="C2246" s="1">
        <v>657</v>
      </c>
      <c r="D2246" s="1" t="s">
        <v>39</v>
      </c>
      <c r="E2246" s="1" t="s">
        <v>9</v>
      </c>
      <c r="F2246" s="1">
        <f t="shared" si="78"/>
        <v>522</v>
      </c>
      <c r="G2246" s="5">
        <f t="shared" si="77"/>
        <v>1.2586206896551724</v>
      </c>
    </row>
    <row r="2247" spans="1:7" ht="13">
      <c r="A2247" s="4" t="s">
        <v>119</v>
      </c>
      <c r="B2247" s="1">
        <v>4.2</v>
      </c>
      <c r="C2247" s="1">
        <v>409</v>
      </c>
      <c r="D2247" s="1" t="s">
        <v>33</v>
      </c>
      <c r="E2247" s="1" t="s">
        <v>17</v>
      </c>
      <c r="F2247" s="1">
        <f t="shared" si="78"/>
        <v>420</v>
      </c>
      <c r="G2247" s="5">
        <f t="shared" si="77"/>
        <v>0.97380952380952379</v>
      </c>
    </row>
    <row r="2248" spans="1:7" ht="13">
      <c r="A2248" s="4" t="s">
        <v>119</v>
      </c>
      <c r="B2248" s="1">
        <v>7.8</v>
      </c>
      <c r="C2248" s="1">
        <v>804</v>
      </c>
      <c r="D2248" s="1" t="s">
        <v>39</v>
      </c>
      <c r="E2248" s="1" t="s">
        <v>9</v>
      </c>
      <c r="F2248" s="1">
        <f t="shared" si="78"/>
        <v>780</v>
      </c>
      <c r="G2248" s="5">
        <f t="shared" si="77"/>
        <v>1.0307692307692307</v>
      </c>
    </row>
    <row r="2249" spans="1:7" ht="13">
      <c r="A2249" s="4" t="s">
        <v>119</v>
      </c>
      <c r="B2249" s="1">
        <v>6</v>
      </c>
      <c r="C2249" s="1">
        <v>599</v>
      </c>
      <c r="D2249" s="1" t="s">
        <v>11</v>
      </c>
      <c r="E2249" s="1" t="s">
        <v>19</v>
      </c>
      <c r="F2249" s="1">
        <f t="shared" si="78"/>
        <v>600</v>
      </c>
      <c r="G2249" s="5">
        <f t="shared" si="77"/>
        <v>0.99833333333333329</v>
      </c>
    </row>
    <row r="2250" spans="1:7" ht="13">
      <c r="A2250" s="4" t="s">
        <v>119</v>
      </c>
      <c r="B2250" s="1">
        <v>9.1999999999999993</v>
      </c>
      <c r="C2250" s="1">
        <v>822</v>
      </c>
      <c r="D2250" s="1" t="s">
        <v>37</v>
      </c>
      <c r="E2250" s="1" t="s">
        <v>18</v>
      </c>
      <c r="F2250" s="1">
        <f t="shared" si="78"/>
        <v>919.99999999999989</v>
      </c>
      <c r="G2250" s="5">
        <f t="shared" si="77"/>
        <v>0.89347826086956528</v>
      </c>
    </row>
    <row r="2251" spans="1:7" ht="13">
      <c r="A2251" s="4" t="s">
        <v>119</v>
      </c>
      <c r="B2251" s="1">
        <v>4.3499999999999996</v>
      </c>
      <c r="C2251" s="1">
        <v>588</v>
      </c>
      <c r="D2251" s="1" t="s">
        <v>39</v>
      </c>
      <c r="E2251" s="1" t="s">
        <v>30</v>
      </c>
      <c r="F2251" s="1">
        <f t="shared" si="78"/>
        <v>434.99999999999994</v>
      </c>
      <c r="G2251" s="5">
        <f t="shared" si="77"/>
        <v>1.3517241379310347</v>
      </c>
    </row>
    <row r="2252" spans="1:7" ht="13">
      <c r="A2252" s="4" t="s">
        <v>119</v>
      </c>
      <c r="B2252" s="1">
        <v>8.6999999999999993</v>
      </c>
      <c r="C2252" s="1">
        <v>848</v>
      </c>
      <c r="D2252" s="1" t="s">
        <v>33</v>
      </c>
      <c r="E2252" s="1" t="s">
        <v>26</v>
      </c>
      <c r="F2252" s="1">
        <f t="shared" si="78"/>
        <v>869.99999999999989</v>
      </c>
      <c r="G2252" s="5">
        <f t="shared" si="77"/>
        <v>0.97471264367816102</v>
      </c>
    </row>
    <row r="2253" spans="1:7" ht="13">
      <c r="A2253" s="4" t="s">
        <v>119</v>
      </c>
      <c r="B2253" s="1">
        <v>7.3</v>
      </c>
      <c r="C2253" s="1">
        <v>711</v>
      </c>
      <c r="D2253" s="1" t="s">
        <v>33</v>
      </c>
      <c r="E2253" s="1" t="s">
        <v>16</v>
      </c>
      <c r="F2253" s="1">
        <f t="shared" si="78"/>
        <v>730</v>
      </c>
      <c r="G2253" s="5">
        <f t="shared" si="77"/>
        <v>0.97397260273972608</v>
      </c>
    </row>
    <row r="2254" spans="1:7" ht="13">
      <c r="A2254" s="4" t="s">
        <v>119</v>
      </c>
      <c r="B2254" s="1">
        <v>5.12</v>
      </c>
      <c r="C2254" s="1">
        <v>577</v>
      </c>
      <c r="D2254" s="1" t="s">
        <v>39</v>
      </c>
      <c r="E2254" s="1" t="s">
        <v>15</v>
      </c>
      <c r="F2254" s="1">
        <f t="shared" si="78"/>
        <v>512</v>
      </c>
      <c r="G2254" s="5">
        <f t="shared" si="77"/>
        <v>1.126953125</v>
      </c>
    </row>
    <row r="2255" spans="1:7" ht="13">
      <c r="A2255" s="4" t="s">
        <v>119</v>
      </c>
      <c r="B2255" s="1">
        <v>4.4000000000000004</v>
      </c>
      <c r="C2255" s="1">
        <v>5.5</v>
      </c>
      <c r="D2255" s="1" t="s">
        <v>11</v>
      </c>
      <c r="E2255" s="1" t="s">
        <v>15</v>
      </c>
      <c r="F2255" s="1">
        <f t="shared" si="78"/>
        <v>440.00000000000006</v>
      </c>
      <c r="G2255" s="5">
        <f t="shared" si="77"/>
        <v>1.2499999999999999E-2</v>
      </c>
    </row>
    <row r="2256" spans="1:7" ht="13">
      <c r="A2256" s="4" t="s">
        <v>119</v>
      </c>
      <c r="B2256" s="1">
        <v>6.09</v>
      </c>
      <c r="C2256" s="1">
        <v>637</v>
      </c>
      <c r="D2256" s="1" t="s">
        <v>37</v>
      </c>
      <c r="E2256" s="1" t="s">
        <v>15</v>
      </c>
      <c r="F2256" s="1">
        <f t="shared" si="78"/>
        <v>609</v>
      </c>
      <c r="G2256" s="5">
        <f t="shared" si="77"/>
        <v>1.0459770114942528</v>
      </c>
    </row>
    <row r="2257" spans="1:7" ht="13">
      <c r="A2257" s="4" t="s">
        <v>119</v>
      </c>
      <c r="B2257" s="1">
        <v>8.1</v>
      </c>
      <c r="C2257" s="1">
        <v>954</v>
      </c>
      <c r="D2257" s="1" t="s">
        <v>42</v>
      </c>
      <c r="E2257" s="1" t="s">
        <v>10</v>
      </c>
      <c r="F2257" s="1">
        <f t="shared" si="78"/>
        <v>810</v>
      </c>
      <c r="G2257" s="5">
        <f t="shared" si="77"/>
        <v>1.1777777777777778</v>
      </c>
    </row>
    <row r="2258" spans="1:7" ht="13">
      <c r="A2258" s="4" t="s">
        <v>119</v>
      </c>
      <c r="B2258" s="1">
        <v>4.8</v>
      </c>
      <c r="C2258" s="1">
        <v>613</v>
      </c>
      <c r="D2258" s="1" t="s">
        <v>11</v>
      </c>
      <c r="E2258" s="1" t="s">
        <v>15</v>
      </c>
      <c r="F2258" s="1">
        <f t="shared" si="78"/>
        <v>480</v>
      </c>
      <c r="G2258" s="5">
        <f t="shared" si="77"/>
        <v>1.2770833333333333</v>
      </c>
    </row>
    <row r="2259" spans="1:7" ht="13">
      <c r="A2259" s="4" t="s">
        <v>119</v>
      </c>
      <c r="B2259" s="1">
        <v>6.4</v>
      </c>
      <c r="C2259" s="1">
        <v>694</v>
      </c>
      <c r="D2259" s="1" t="s">
        <v>11</v>
      </c>
      <c r="E2259" s="1" t="s">
        <v>32</v>
      </c>
      <c r="F2259" s="1">
        <f t="shared" si="78"/>
        <v>640</v>
      </c>
      <c r="G2259" s="5">
        <f t="shared" si="77"/>
        <v>1.0843750000000001</v>
      </c>
    </row>
    <row r="2260" spans="1:7" ht="13">
      <c r="A2260" s="4" t="s">
        <v>119</v>
      </c>
      <c r="B2260" s="1">
        <v>7.74</v>
      </c>
      <c r="C2260" s="1">
        <v>725</v>
      </c>
      <c r="D2260" s="1" t="s">
        <v>33</v>
      </c>
      <c r="E2260" s="1" t="s">
        <v>15</v>
      </c>
      <c r="F2260" s="1">
        <f t="shared" si="78"/>
        <v>774</v>
      </c>
      <c r="G2260" s="5">
        <f t="shared" si="77"/>
        <v>0.93669250645994828</v>
      </c>
    </row>
    <row r="2261" spans="1:7" ht="13">
      <c r="A2261" s="4" t="s">
        <v>119</v>
      </c>
      <c r="B2261" s="1">
        <v>8.5</v>
      </c>
      <c r="C2261" s="1">
        <v>693</v>
      </c>
      <c r="D2261" s="1" t="s">
        <v>33</v>
      </c>
      <c r="E2261" s="1" t="s">
        <v>46</v>
      </c>
      <c r="F2261" s="1">
        <f t="shared" si="78"/>
        <v>850</v>
      </c>
      <c r="G2261" s="5">
        <f t="shared" si="77"/>
        <v>0.81529411764705884</v>
      </c>
    </row>
    <row r="2262" spans="1:7" ht="13">
      <c r="A2262" s="4" t="s">
        <v>119</v>
      </c>
      <c r="B2262" s="1">
        <v>7.1</v>
      </c>
      <c r="C2262" s="1">
        <v>722</v>
      </c>
      <c r="D2262" s="1" t="s">
        <v>104</v>
      </c>
      <c r="E2262" s="1" t="s">
        <v>26</v>
      </c>
      <c r="F2262" s="1">
        <f t="shared" si="78"/>
        <v>710</v>
      </c>
      <c r="G2262" s="5">
        <f t="shared" si="77"/>
        <v>1.0169014084507042</v>
      </c>
    </row>
    <row r="2263" spans="1:7" ht="13">
      <c r="A2263" s="4" t="s">
        <v>119</v>
      </c>
      <c r="B2263" s="1">
        <v>9.5</v>
      </c>
      <c r="C2263" s="1">
        <v>925</v>
      </c>
      <c r="D2263" s="1" t="s">
        <v>11</v>
      </c>
      <c r="E2263" s="1" t="s">
        <v>14</v>
      </c>
      <c r="F2263" s="1">
        <f t="shared" si="78"/>
        <v>950</v>
      </c>
      <c r="G2263" s="5">
        <f t="shared" si="77"/>
        <v>0.97368421052631582</v>
      </c>
    </row>
    <row r="2264" spans="1:7" ht="13">
      <c r="A2264" s="4" t="s">
        <v>119</v>
      </c>
      <c r="B2264" s="1">
        <v>7.74</v>
      </c>
      <c r="C2264" s="1">
        <v>724</v>
      </c>
      <c r="D2264" s="1" t="s">
        <v>77</v>
      </c>
      <c r="E2264" s="1" t="s">
        <v>8</v>
      </c>
      <c r="F2264" s="1">
        <f t="shared" si="78"/>
        <v>774</v>
      </c>
      <c r="G2264" s="5">
        <f t="shared" si="77"/>
        <v>0.93540051679586567</v>
      </c>
    </row>
    <row r="2265" spans="1:7" ht="13">
      <c r="A2265" s="4" t="s">
        <v>119</v>
      </c>
      <c r="B2265" s="1">
        <v>6.1</v>
      </c>
      <c r="C2265" s="1">
        <v>783</v>
      </c>
      <c r="D2265" s="1" t="s">
        <v>11</v>
      </c>
      <c r="E2265" s="1" t="s">
        <v>15</v>
      </c>
      <c r="F2265" s="1">
        <f t="shared" si="78"/>
        <v>610</v>
      </c>
      <c r="G2265" s="5">
        <f t="shared" si="77"/>
        <v>1.2836065573770492</v>
      </c>
    </row>
    <row r="2266" spans="1:7" ht="13">
      <c r="A2266" s="4" t="s">
        <v>119</v>
      </c>
      <c r="B2266" s="1">
        <v>7.2</v>
      </c>
      <c r="C2266" s="1">
        <v>689.57</v>
      </c>
      <c r="D2266" s="1" t="s">
        <v>33</v>
      </c>
      <c r="E2266" s="1" t="s">
        <v>25</v>
      </c>
      <c r="F2266" s="1">
        <f t="shared" si="78"/>
        <v>720</v>
      </c>
      <c r="G2266" s="5">
        <f t="shared" si="77"/>
        <v>0.95773611111111123</v>
      </c>
    </row>
    <row r="2267" spans="1:7" ht="13">
      <c r="A2267" s="4" t="s">
        <v>119</v>
      </c>
      <c r="B2267" s="1">
        <v>9.6</v>
      </c>
      <c r="C2267" s="1">
        <v>583</v>
      </c>
      <c r="D2267" s="1" t="s">
        <v>50</v>
      </c>
      <c r="E2267" s="1" t="s">
        <v>8</v>
      </c>
      <c r="F2267" s="1">
        <f t="shared" si="78"/>
        <v>960</v>
      </c>
      <c r="G2267" s="5">
        <f t="shared" si="77"/>
        <v>0.60729166666666667</v>
      </c>
    </row>
    <row r="2268" spans="1:7" ht="13">
      <c r="A2268" s="4" t="s">
        <v>119</v>
      </c>
      <c r="B2268" s="1">
        <v>6.96</v>
      </c>
      <c r="C2268" s="1">
        <v>735</v>
      </c>
      <c r="D2268" s="1" t="s">
        <v>11</v>
      </c>
      <c r="E2268" s="1" t="s">
        <v>31</v>
      </c>
      <c r="F2268" s="1">
        <f t="shared" si="78"/>
        <v>696</v>
      </c>
      <c r="G2268" s="5">
        <f t="shared" si="77"/>
        <v>1.0560344827586208</v>
      </c>
    </row>
    <row r="2269" spans="1:7" ht="13">
      <c r="A2269" s="4" t="s">
        <v>119</v>
      </c>
      <c r="B2269" s="1">
        <v>6.96</v>
      </c>
      <c r="C2269" s="1">
        <v>571</v>
      </c>
      <c r="D2269" s="1" t="s">
        <v>38</v>
      </c>
      <c r="E2269" s="1" t="s">
        <v>41</v>
      </c>
      <c r="F2269" s="1">
        <f t="shared" si="78"/>
        <v>696</v>
      </c>
      <c r="G2269" s="5">
        <f t="shared" si="77"/>
        <v>0.8204022988505747</v>
      </c>
    </row>
    <row r="2270" spans="1:7" ht="13">
      <c r="A2270" s="4" t="s">
        <v>119</v>
      </c>
      <c r="B2270" s="1">
        <v>4.9800000000000004</v>
      </c>
      <c r="C2270" s="1">
        <v>536</v>
      </c>
      <c r="D2270" s="1" t="s">
        <v>11</v>
      </c>
      <c r="E2270" s="1" t="s">
        <v>23</v>
      </c>
      <c r="F2270" s="1">
        <f t="shared" si="78"/>
        <v>498.00000000000006</v>
      </c>
      <c r="G2270" s="5">
        <f t="shared" si="77"/>
        <v>1.076305220883534</v>
      </c>
    </row>
    <row r="2271" spans="1:7" ht="13">
      <c r="A2271" s="4" t="s">
        <v>119</v>
      </c>
      <c r="B2271" s="1">
        <v>4.2</v>
      </c>
      <c r="C2271" s="1">
        <v>23.56</v>
      </c>
      <c r="D2271" s="1" t="s">
        <v>39</v>
      </c>
      <c r="E2271" s="1" t="s">
        <v>17</v>
      </c>
      <c r="F2271" s="1">
        <f t="shared" si="78"/>
        <v>420</v>
      </c>
      <c r="G2271" s="5">
        <f t="shared" si="77"/>
        <v>5.6095238095238094E-2</v>
      </c>
    </row>
    <row r="2272" spans="1:7" ht="13">
      <c r="A2272" s="4" t="s">
        <v>119</v>
      </c>
      <c r="B2272" s="1">
        <v>5.9</v>
      </c>
      <c r="C2272" s="1">
        <v>556</v>
      </c>
      <c r="D2272" s="1" t="s">
        <v>39</v>
      </c>
      <c r="E2272" s="1" t="s">
        <v>22</v>
      </c>
      <c r="F2272" s="1">
        <f t="shared" si="78"/>
        <v>590</v>
      </c>
      <c r="G2272" s="5">
        <f t="shared" si="77"/>
        <v>0.94237288135593222</v>
      </c>
    </row>
    <row r="2273" spans="1:7" ht="13">
      <c r="A2273" s="4" t="s">
        <v>119</v>
      </c>
      <c r="B2273" s="1">
        <v>8</v>
      </c>
      <c r="C2273" s="1">
        <v>715</v>
      </c>
      <c r="D2273" s="1" t="s">
        <v>11</v>
      </c>
      <c r="E2273" s="1" t="s">
        <v>12</v>
      </c>
      <c r="F2273" s="1">
        <f t="shared" si="78"/>
        <v>800</v>
      </c>
      <c r="G2273" s="5">
        <f t="shared" si="77"/>
        <v>0.89375000000000004</v>
      </c>
    </row>
    <row r="2274" spans="1:7" ht="13">
      <c r="A2274" s="4" t="s">
        <v>119</v>
      </c>
      <c r="B2274" s="1">
        <v>9.6999999999999993</v>
      </c>
      <c r="C2274" s="1">
        <v>902</v>
      </c>
      <c r="D2274" s="1" t="s">
        <v>11</v>
      </c>
      <c r="E2274" s="1" t="s">
        <v>14</v>
      </c>
      <c r="F2274" s="1">
        <f t="shared" si="78"/>
        <v>969.99999999999989</v>
      </c>
      <c r="G2274" s="5">
        <f t="shared" si="77"/>
        <v>0.92989690721649498</v>
      </c>
    </row>
    <row r="2275" spans="1:7" ht="13">
      <c r="A2275" s="4" t="s">
        <v>119</v>
      </c>
      <c r="B2275" s="1">
        <v>8.6</v>
      </c>
      <c r="C2275" s="1">
        <v>860</v>
      </c>
      <c r="D2275" s="1" t="s">
        <v>11</v>
      </c>
      <c r="E2275" s="1" t="s">
        <v>68</v>
      </c>
      <c r="F2275" s="1">
        <f t="shared" si="78"/>
        <v>860</v>
      </c>
      <c r="G2275" s="5">
        <f t="shared" si="77"/>
        <v>1</v>
      </c>
    </row>
    <row r="2276" spans="1:7" ht="13">
      <c r="A2276" s="4" t="s">
        <v>119</v>
      </c>
      <c r="B2276" s="1">
        <v>5.5</v>
      </c>
      <c r="C2276" s="1">
        <v>637</v>
      </c>
      <c r="D2276" s="1" t="s">
        <v>35</v>
      </c>
      <c r="E2276" s="1" t="s">
        <v>8</v>
      </c>
      <c r="F2276" s="1">
        <f t="shared" si="78"/>
        <v>550</v>
      </c>
      <c r="G2276" s="5">
        <f t="shared" si="77"/>
        <v>1.1581818181818182</v>
      </c>
    </row>
    <row r="2277" spans="1:7" ht="13">
      <c r="A2277" s="4" t="s">
        <v>119</v>
      </c>
      <c r="B2277" s="1">
        <v>5.6</v>
      </c>
      <c r="C2277" s="1">
        <v>549</v>
      </c>
      <c r="D2277" s="1" t="s">
        <v>33</v>
      </c>
      <c r="E2277" s="1" t="s">
        <v>9</v>
      </c>
      <c r="F2277" s="1">
        <f t="shared" si="78"/>
        <v>560</v>
      </c>
      <c r="G2277" s="5">
        <f t="shared" si="77"/>
        <v>0.98035714285714282</v>
      </c>
    </row>
    <row r="2278" spans="1:7" ht="13">
      <c r="A2278" s="4" t="s">
        <v>119</v>
      </c>
      <c r="B2278" s="1">
        <v>5.6</v>
      </c>
      <c r="C2278" s="1">
        <v>482</v>
      </c>
      <c r="D2278" s="1" t="s">
        <v>43</v>
      </c>
      <c r="E2278" s="1" t="s">
        <v>62</v>
      </c>
      <c r="F2278" s="1">
        <f t="shared" si="78"/>
        <v>560</v>
      </c>
      <c r="G2278" s="5">
        <f t="shared" si="77"/>
        <v>0.86071428571428577</v>
      </c>
    </row>
    <row r="2279" spans="1:7" ht="13">
      <c r="A2279" s="4" t="s">
        <v>119</v>
      </c>
      <c r="B2279" s="1">
        <v>5.625</v>
      </c>
      <c r="C2279" s="1">
        <v>571</v>
      </c>
      <c r="D2279" s="1" t="s">
        <v>11</v>
      </c>
      <c r="E2279" s="1" t="s">
        <v>15</v>
      </c>
      <c r="F2279" s="1">
        <f t="shared" si="78"/>
        <v>562.5</v>
      </c>
      <c r="G2279" s="5">
        <f t="shared" si="77"/>
        <v>1.0151111111111111</v>
      </c>
    </row>
    <row r="2280" spans="1:7" ht="13">
      <c r="A2280" s="4" t="s">
        <v>119</v>
      </c>
      <c r="B2280" s="1">
        <v>9.57</v>
      </c>
      <c r="C2280" s="1">
        <v>815</v>
      </c>
      <c r="D2280" s="1" t="s">
        <v>35</v>
      </c>
      <c r="E2280" s="1" t="s">
        <v>18</v>
      </c>
      <c r="F2280" s="1">
        <f t="shared" si="78"/>
        <v>957</v>
      </c>
      <c r="G2280" s="5">
        <f t="shared" si="77"/>
        <v>0.85161964472309304</v>
      </c>
    </row>
    <row r="2281" spans="1:7" ht="13">
      <c r="A2281" s="4" t="s">
        <v>119</v>
      </c>
      <c r="B2281" s="1">
        <v>6.45</v>
      </c>
      <c r="C2281" s="1">
        <v>620</v>
      </c>
      <c r="D2281" s="1" t="s">
        <v>42</v>
      </c>
      <c r="E2281" s="1" t="s">
        <v>18</v>
      </c>
      <c r="F2281" s="1">
        <f t="shared" si="78"/>
        <v>645</v>
      </c>
      <c r="G2281" s="5">
        <f t="shared" si="77"/>
        <v>0.96124031007751942</v>
      </c>
    </row>
    <row r="2282" spans="1:7" ht="13">
      <c r="A2282" s="4" t="s">
        <v>119</v>
      </c>
      <c r="B2282" s="1">
        <v>6.96</v>
      </c>
      <c r="C2282" s="1">
        <v>729</v>
      </c>
      <c r="D2282" s="1" t="s">
        <v>33</v>
      </c>
      <c r="E2282" s="1" t="s">
        <v>8</v>
      </c>
      <c r="F2282" s="1">
        <f t="shared" si="78"/>
        <v>696</v>
      </c>
      <c r="G2282" s="5">
        <f t="shared" si="77"/>
        <v>1.0474137931034482</v>
      </c>
    </row>
    <row r="2283" spans="1:7" ht="13">
      <c r="A2283" s="4" t="s">
        <v>119</v>
      </c>
      <c r="B2283" s="1">
        <v>9.6</v>
      </c>
      <c r="C2283" s="1">
        <v>952</v>
      </c>
      <c r="D2283" s="1" t="s">
        <v>33</v>
      </c>
      <c r="E2283" s="1" t="s">
        <v>26</v>
      </c>
      <c r="F2283" s="1">
        <f t="shared" si="78"/>
        <v>960</v>
      </c>
      <c r="G2283" s="5">
        <f t="shared" si="77"/>
        <v>0.9916666666666667</v>
      </c>
    </row>
    <row r="2284" spans="1:7" ht="13">
      <c r="A2284" s="4" t="s">
        <v>119</v>
      </c>
      <c r="B2284" s="1">
        <v>7.83</v>
      </c>
      <c r="C2284" s="1">
        <v>804</v>
      </c>
      <c r="D2284" s="1" t="s">
        <v>38</v>
      </c>
      <c r="E2284" s="1" t="s">
        <v>8</v>
      </c>
      <c r="F2284" s="1">
        <f t="shared" si="78"/>
        <v>783</v>
      </c>
      <c r="G2284" s="5">
        <f t="shared" si="77"/>
        <v>1.0268199233716475</v>
      </c>
    </row>
    <row r="2285" spans="1:7" ht="13">
      <c r="A2285" s="4" t="s">
        <v>119</v>
      </c>
      <c r="B2285" s="1">
        <v>7.76</v>
      </c>
      <c r="C2285" s="1">
        <v>869</v>
      </c>
      <c r="D2285" s="1" t="s">
        <v>11</v>
      </c>
      <c r="E2285" s="1" t="s">
        <v>16</v>
      </c>
      <c r="F2285" s="1">
        <f t="shared" si="78"/>
        <v>776</v>
      </c>
      <c r="G2285" s="5">
        <f t="shared" si="77"/>
        <v>1.1198453608247423</v>
      </c>
    </row>
    <row r="2286" spans="1:7" ht="13">
      <c r="A2286" s="4" t="s">
        <v>119</v>
      </c>
      <c r="B2286" s="1">
        <v>5.81</v>
      </c>
      <c r="C2286" s="1">
        <v>625</v>
      </c>
      <c r="D2286" s="1" t="s">
        <v>38</v>
      </c>
      <c r="E2286" s="1" t="s">
        <v>8</v>
      </c>
      <c r="F2286" s="1">
        <f t="shared" si="78"/>
        <v>581</v>
      </c>
      <c r="G2286" s="5">
        <f t="shared" si="77"/>
        <v>1.0757314974182444</v>
      </c>
    </row>
    <row r="2287" spans="1:7" ht="13">
      <c r="A2287" s="4" t="s">
        <v>119</v>
      </c>
      <c r="B2287" s="1">
        <v>6</v>
      </c>
      <c r="C2287" s="1">
        <v>631</v>
      </c>
      <c r="D2287" s="1" t="s">
        <v>11</v>
      </c>
      <c r="E2287" s="1" t="s">
        <v>23</v>
      </c>
      <c r="F2287" s="1">
        <f t="shared" si="78"/>
        <v>600</v>
      </c>
      <c r="G2287" s="5">
        <f t="shared" si="77"/>
        <v>1.0516666666666667</v>
      </c>
    </row>
    <row r="2288" spans="1:7" ht="13">
      <c r="A2288" s="4" t="s">
        <v>119</v>
      </c>
      <c r="B2288" s="1">
        <v>6.8</v>
      </c>
      <c r="C2288" s="1">
        <v>828</v>
      </c>
      <c r="D2288" s="1" t="s">
        <v>11</v>
      </c>
      <c r="E2288" s="1" t="s">
        <v>10</v>
      </c>
      <c r="F2288" s="1">
        <f t="shared" si="78"/>
        <v>680</v>
      </c>
      <c r="G2288" s="5">
        <f t="shared" si="77"/>
        <v>1.2176470588235293</v>
      </c>
    </row>
    <row r="2289" spans="1:7" ht="13">
      <c r="A2289" s="4" t="s">
        <v>119</v>
      </c>
      <c r="B2289" s="1">
        <v>6.4</v>
      </c>
      <c r="C2289" s="1">
        <v>705</v>
      </c>
      <c r="D2289" s="1" t="s">
        <v>11</v>
      </c>
      <c r="E2289" s="1" t="s">
        <v>16</v>
      </c>
      <c r="F2289" s="1">
        <f t="shared" si="78"/>
        <v>640</v>
      </c>
      <c r="G2289" s="5">
        <f t="shared" si="77"/>
        <v>1.1015625</v>
      </c>
    </row>
    <row r="2290" spans="1:7" ht="13">
      <c r="A2290" s="4" t="s">
        <v>119</v>
      </c>
      <c r="B2290" s="1">
        <v>6.6</v>
      </c>
      <c r="C2290" s="1">
        <v>700</v>
      </c>
      <c r="D2290" s="1" t="s">
        <v>35</v>
      </c>
      <c r="E2290" s="1" t="s">
        <v>22</v>
      </c>
      <c r="F2290" s="1">
        <f t="shared" si="78"/>
        <v>660</v>
      </c>
      <c r="G2290" s="5">
        <f t="shared" si="77"/>
        <v>1.0606060606060606</v>
      </c>
    </row>
    <row r="2291" spans="1:7" ht="13">
      <c r="A2291" s="4" t="s">
        <v>119</v>
      </c>
      <c r="B2291" s="1">
        <v>8.1</v>
      </c>
      <c r="C2291" s="1">
        <v>444</v>
      </c>
      <c r="D2291" s="1" t="s">
        <v>33</v>
      </c>
      <c r="E2291" s="1" t="s">
        <v>68</v>
      </c>
      <c r="F2291" s="1">
        <f t="shared" si="78"/>
        <v>810</v>
      </c>
      <c r="G2291" s="5">
        <f t="shared" si="77"/>
        <v>0.54814814814814816</v>
      </c>
    </row>
    <row r="2292" spans="1:7" ht="13">
      <c r="A2292" s="4" t="s">
        <v>119</v>
      </c>
      <c r="B2292" s="1">
        <v>6.9</v>
      </c>
      <c r="C2292" s="1">
        <v>683</v>
      </c>
      <c r="D2292" s="1" t="s">
        <v>33</v>
      </c>
      <c r="E2292" s="1" t="s">
        <v>16</v>
      </c>
      <c r="F2292" s="1">
        <f t="shared" si="78"/>
        <v>690</v>
      </c>
      <c r="G2292" s="5">
        <f t="shared" si="77"/>
        <v>0.98985507246376814</v>
      </c>
    </row>
    <row r="2293" spans="1:7" ht="13">
      <c r="A2293" s="4" t="s">
        <v>119</v>
      </c>
      <c r="B2293" s="1">
        <v>6.1</v>
      </c>
      <c r="C2293" s="1">
        <v>620</v>
      </c>
      <c r="D2293" s="1" t="s">
        <v>53</v>
      </c>
      <c r="E2293" s="1" t="s">
        <v>8</v>
      </c>
      <c r="F2293" s="1">
        <f t="shared" si="78"/>
        <v>610</v>
      </c>
      <c r="G2293" s="5">
        <f t="shared" si="77"/>
        <v>1.0163934426229508</v>
      </c>
    </row>
    <row r="2294" spans="1:7" ht="13">
      <c r="A2294" s="4" t="s">
        <v>119</v>
      </c>
      <c r="B2294" s="1">
        <v>7.74</v>
      </c>
      <c r="C2294" s="1">
        <v>843.71</v>
      </c>
      <c r="D2294" s="1" t="s">
        <v>11</v>
      </c>
      <c r="E2294" s="1" t="s">
        <v>17</v>
      </c>
      <c r="F2294" s="1">
        <f t="shared" si="78"/>
        <v>774</v>
      </c>
      <c r="G2294" s="5">
        <f t="shared" si="77"/>
        <v>1.0900645994832041</v>
      </c>
    </row>
    <row r="2295" spans="1:7" ht="13">
      <c r="A2295" s="4" t="s">
        <v>119</v>
      </c>
      <c r="B2295" s="1">
        <v>4.8</v>
      </c>
      <c r="C2295" s="1">
        <v>469</v>
      </c>
      <c r="D2295" s="1" t="s">
        <v>11</v>
      </c>
      <c r="E2295" s="1" t="s">
        <v>24</v>
      </c>
      <c r="F2295" s="1">
        <f t="shared" si="78"/>
        <v>480</v>
      </c>
      <c r="G2295" s="5">
        <f t="shared" si="77"/>
        <v>0.9770833333333333</v>
      </c>
    </row>
    <row r="2296" spans="1:7" ht="13">
      <c r="A2296" s="4" t="s">
        <v>119</v>
      </c>
      <c r="B2296" s="1">
        <v>6.09</v>
      </c>
      <c r="C2296" s="1">
        <v>567.95000000000005</v>
      </c>
      <c r="D2296" s="1" t="s">
        <v>42</v>
      </c>
      <c r="E2296" s="1" t="s">
        <v>15</v>
      </c>
      <c r="F2296" s="1">
        <f t="shared" si="78"/>
        <v>609</v>
      </c>
      <c r="G2296" s="5">
        <f t="shared" si="77"/>
        <v>0.93259441707717572</v>
      </c>
    </row>
    <row r="2297" spans="1:7" ht="13">
      <c r="A2297" s="4" t="s">
        <v>119</v>
      </c>
      <c r="B2297" s="1">
        <v>5.16</v>
      </c>
      <c r="C2297" s="1">
        <v>508</v>
      </c>
      <c r="D2297" s="1" t="s">
        <v>106</v>
      </c>
      <c r="E2297" s="1" t="s">
        <v>16</v>
      </c>
      <c r="F2297" s="1">
        <f t="shared" si="78"/>
        <v>516</v>
      </c>
      <c r="G2297" s="5">
        <f t="shared" si="77"/>
        <v>0.98449612403100772</v>
      </c>
    </row>
    <row r="2298" spans="1:7" ht="13">
      <c r="A2298" s="4" t="s">
        <v>119</v>
      </c>
      <c r="B2298" s="1">
        <v>7.56</v>
      </c>
      <c r="C2298" s="1">
        <v>763</v>
      </c>
      <c r="D2298" s="1" t="s">
        <v>11</v>
      </c>
      <c r="E2298" s="1" t="s">
        <v>27</v>
      </c>
      <c r="F2298" s="1">
        <f t="shared" si="78"/>
        <v>756</v>
      </c>
      <c r="G2298" s="5">
        <f t="shared" si="77"/>
        <v>1.0092592592592593</v>
      </c>
    </row>
    <row r="2299" spans="1:7" ht="13">
      <c r="A2299" s="4" t="s">
        <v>119</v>
      </c>
      <c r="B2299" s="1">
        <v>5.5</v>
      </c>
      <c r="C2299" s="1">
        <v>717</v>
      </c>
      <c r="D2299" s="1" t="s">
        <v>11</v>
      </c>
      <c r="E2299" s="1" t="s">
        <v>8</v>
      </c>
      <c r="F2299" s="1">
        <f t="shared" si="78"/>
        <v>550</v>
      </c>
      <c r="G2299" s="5">
        <f t="shared" si="77"/>
        <v>1.3036363636363637</v>
      </c>
    </row>
    <row r="2300" spans="1:7" ht="13">
      <c r="A2300" s="4" t="s">
        <v>119</v>
      </c>
      <c r="B2300" s="1">
        <v>5.2</v>
      </c>
      <c r="C2300" s="1">
        <v>646</v>
      </c>
      <c r="D2300" s="1" t="s">
        <v>11</v>
      </c>
      <c r="E2300" s="1" t="s">
        <v>26</v>
      </c>
      <c r="F2300" s="1">
        <f t="shared" si="78"/>
        <v>520</v>
      </c>
      <c r="G2300" s="5">
        <f t="shared" si="77"/>
        <v>1.2423076923076923</v>
      </c>
    </row>
    <row r="2301" spans="1:7" ht="13">
      <c r="A2301" s="4" t="s">
        <v>119</v>
      </c>
      <c r="B2301" s="1">
        <v>3</v>
      </c>
      <c r="C2301" s="1">
        <v>415</v>
      </c>
      <c r="D2301" s="1" t="s">
        <v>43</v>
      </c>
      <c r="E2301" s="1" t="s">
        <v>18</v>
      </c>
      <c r="F2301" s="1">
        <f t="shared" si="78"/>
        <v>300</v>
      </c>
      <c r="G2301" s="5">
        <f t="shared" si="77"/>
        <v>1.3833333333333333</v>
      </c>
    </row>
    <row r="2302" spans="1:7" ht="13">
      <c r="A2302" s="4" t="s">
        <v>119</v>
      </c>
      <c r="B2302" s="1">
        <v>6.8849999999999998</v>
      </c>
      <c r="C2302" s="1">
        <v>680</v>
      </c>
      <c r="D2302" s="1" t="s">
        <v>44</v>
      </c>
      <c r="E2302" s="1" t="s">
        <v>22</v>
      </c>
      <c r="F2302" s="1">
        <f t="shared" si="78"/>
        <v>688.5</v>
      </c>
      <c r="G2302" s="5">
        <f t="shared" si="77"/>
        <v>0.98765432098765427</v>
      </c>
    </row>
    <row r="2303" spans="1:7" ht="13">
      <c r="A2303" s="4" t="s">
        <v>119</v>
      </c>
      <c r="B2303" s="1">
        <v>7.48</v>
      </c>
      <c r="C2303" s="1">
        <v>798</v>
      </c>
      <c r="D2303" s="1" t="s">
        <v>11</v>
      </c>
      <c r="E2303" s="1" t="s">
        <v>21</v>
      </c>
      <c r="F2303" s="1">
        <f t="shared" si="78"/>
        <v>748</v>
      </c>
      <c r="G2303" s="5">
        <f t="shared" si="77"/>
        <v>1.0668449197860963</v>
      </c>
    </row>
    <row r="2304" spans="1:7" ht="13">
      <c r="A2304" s="4" t="s">
        <v>119</v>
      </c>
      <c r="B2304" s="1">
        <v>8.5</v>
      </c>
      <c r="C2304" s="1">
        <v>861</v>
      </c>
      <c r="D2304" s="1" t="s">
        <v>39</v>
      </c>
      <c r="E2304" s="1" t="s">
        <v>20</v>
      </c>
      <c r="F2304" s="1">
        <f t="shared" si="78"/>
        <v>850</v>
      </c>
      <c r="G2304" s="5">
        <f t="shared" si="77"/>
        <v>1.0129411764705882</v>
      </c>
    </row>
    <row r="2305" spans="1:7" ht="13">
      <c r="A2305" s="4" t="s">
        <v>119</v>
      </c>
      <c r="B2305" s="1">
        <v>7.2</v>
      </c>
      <c r="C2305" s="1">
        <v>775</v>
      </c>
      <c r="D2305" s="1" t="s">
        <v>11</v>
      </c>
      <c r="E2305" s="1" t="s">
        <v>7</v>
      </c>
      <c r="F2305" s="1">
        <f t="shared" si="78"/>
        <v>720</v>
      </c>
      <c r="G2305" s="5">
        <f t="shared" si="77"/>
        <v>1.0763888888888888</v>
      </c>
    </row>
    <row r="2306" spans="1:7" ht="13">
      <c r="A2306" s="4" t="s">
        <v>119</v>
      </c>
      <c r="B2306" s="1">
        <v>6.88</v>
      </c>
      <c r="C2306" s="1">
        <v>673</v>
      </c>
      <c r="D2306" s="1" t="s">
        <v>38</v>
      </c>
      <c r="E2306" s="1" t="s">
        <v>7</v>
      </c>
      <c r="F2306" s="1">
        <f t="shared" si="78"/>
        <v>688</v>
      </c>
      <c r="G2306" s="5">
        <f t="shared" ref="G2306:G2369" si="79">C2306/F2306</f>
        <v>0.97819767441860461</v>
      </c>
    </row>
    <row r="2307" spans="1:7" ht="13">
      <c r="A2307" s="4" t="s">
        <v>119</v>
      </c>
      <c r="B2307" s="1">
        <v>7.8</v>
      </c>
      <c r="C2307" s="1">
        <v>910</v>
      </c>
      <c r="D2307" s="1" t="s">
        <v>11</v>
      </c>
      <c r="E2307" s="1" t="s">
        <v>9</v>
      </c>
      <c r="F2307" s="1">
        <f t="shared" ref="F2307:F2370" si="80">B2307*100</f>
        <v>780</v>
      </c>
      <c r="G2307" s="5">
        <f t="shared" si="79"/>
        <v>1.1666666666666667</v>
      </c>
    </row>
    <row r="2308" spans="1:7" ht="13">
      <c r="A2308" s="4" t="s">
        <v>119</v>
      </c>
      <c r="B2308" s="1">
        <v>5</v>
      </c>
      <c r="C2308" s="1">
        <v>452</v>
      </c>
      <c r="D2308" s="1" t="s">
        <v>43</v>
      </c>
      <c r="E2308" s="1" t="s">
        <v>22</v>
      </c>
      <c r="F2308" s="1">
        <f t="shared" si="80"/>
        <v>500</v>
      </c>
      <c r="G2308" s="5">
        <f t="shared" si="79"/>
        <v>0.90400000000000003</v>
      </c>
    </row>
    <row r="2309" spans="1:7" ht="13">
      <c r="A2309" s="4" t="s">
        <v>119</v>
      </c>
      <c r="B2309" s="1">
        <v>7.7</v>
      </c>
      <c r="C2309" s="1">
        <v>788</v>
      </c>
      <c r="D2309" s="1" t="s">
        <v>11</v>
      </c>
      <c r="E2309" s="1" t="s">
        <v>49</v>
      </c>
      <c r="F2309" s="1">
        <f t="shared" si="80"/>
        <v>770</v>
      </c>
      <c r="G2309" s="5">
        <f t="shared" si="79"/>
        <v>1.0233766233766233</v>
      </c>
    </row>
    <row r="2310" spans="1:7" ht="13">
      <c r="A2310" s="4" t="s">
        <v>119</v>
      </c>
      <c r="B2310" s="1">
        <v>4.9000000000000004</v>
      </c>
      <c r="C2310" s="1">
        <v>433</v>
      </c>
      <c r="D2310" s="1" t="s">
        <v>35</v>
      </c>
      <c r="E2310" s="1" t="s">
        <v>25</v>
      </c>
      <c r="F2310" s="1">
        <f t="shared" si="80"/>
        <v>490.00000000000006</v>
      </c>
      <c r="G2310" s="5">
        <f t="shared" si="79"/>
        <v>0.88367346938775504</v>
      </c>
    </row>
    <row r="2311" spans="1:7" ht="13">
      <c r="A2311" s="4" t="s">
        <v>119</v>
      </c>
      <c r="B2311" s="1">
        <v>9.1</v>
      </c>
      <c r="C2311" s="1">
        <v>824</v>
      </c>
      <c r="D2311" s="1" t="s">
        <v>37</v>
      </c>
      <c r="E2311" s="1" t="s">
        <v>22</v>
      </c>
      <c r="F2311" s="1">
        <f t="shared" si="80"/>
        <v>910</v>
      </c>
      <c r="G2311" s="5">
        <f t="shared" si="79"/>
        <v>0.9054945054945055</v>
      </c>
    </row>
    <row r="2312" spans="1:7" ht="13">
      <c r="A2312" s="4" t="s">
        <v>119</v>
      </c>
      <c r="B2312" s="1">
        <v>5.2</v>
      </c>
      <c r="C2312" s="1">
        <v>535</v>
      </c>
      <c r="D2312" s="1" t="s">
        <v>39</v>
      </c>
      <c r="E2312" s="1" t="s">
        <v>10</v>
      </c>
      <c r="F2312" s="1">
        <f t="shared" si="80"/>
        <v>520</v>
      </c>
      <c r="G2312" s="5">
        <f t="shared" si="79"/>
        <v>1.0288461538461537</v>
      </c>
    </row>
    <row r="2313" spans="1:7" ht="13">
      <c r="A2313" s="4" t="s">
        <v>119</v>
      </c>
      <c r="B2313" s="1">
        <v>7.92</v>
      </c>
      <c r="C2313" s="1">
        <v>714</v>
      </c>
      <c r="D2313" s="1" t="s">
        <v>33</v>
      </c>
      <c r="E2313" s="1" t="s">
        <v>8</v>
      </c>
      <c r="F2313" s="1">
        <f t="shared" si="80"/>
        <v>792</v>
      </c>
      <c r="G2313" s="5">
        <f t="shared" si="79"/>
        <v>0.90151515151515149</v>
      </c>
    </row>
    <row r="2314" spans="1:7" ht="13">
      <c r="A2314" s="4" t="s">
        <v>119</v>
      </c>
      <c r="B2314" s="1">
        <v>9.3000000000000007</v>
      </c>
      <c r="C2314" s="1">
        <v>965</v>
      </c>
      <c r="D2314" s="1" t="s">
        <v>45</v>
      </c>
      <c r="E2314" s="1" t="s">
        <v>10</v>
      </c>
      <c r="F2314" s="1">
        <f t="shared" si="80"/>
        <v>930.00000000000011</v>
      </c>
      <c r="G2314" s="5">
        <f t="shared" si="79"/>
        <v>1.0376344086021505</v>
      </c>
    </row>
    <row r="2315" spans="1:7" ht="13">
      <c r="A2315" s="4" t="s">
        <v>119</v>
      </c>
      <c r="B2315" s="1">
        <v>6.88</v>
      </c>
      <c r="C2315" s="1">
        <v>731</v>
      </c>
      <c r="D2315" s="1" t="s">
        <v>33</v>
      </c>
      <c r="E2315" s="1" t="s">
        <v>10</v>
      </c>
      <c r="F2315" s="1">
        <f t="shared" si="80"/>
        <v>688</v>
      </c>
      <c r="G2315" s="5">
        <f t="shared" si="79"/>
        <v>1.0625</v>
      </c>
    </row>
    <row r="2316" spans="1:7" ht="13">
      <c r="A2316" s="4" t="s">
        <v>119</v>
      </c>
      <c r="B2316" s="1">
        <v>5.2</v>
      </c>
      <c r="C2316" s="1">
        <v>555</v>
      </c>
      <c r="D2316" s="1" t="s">
        <v>44</v>
      </c>
      <c r="E2316" s="1" t="s">
        <v>15</v>
      </c>
      <c r="F2316" s="1">
        <f t="shared" si="80"/>
        <v>520</v>
      </c>
      <c r="G2316" s="5">
        <f t="shared" si="79"/>
        <v>1.0673076923076923</v>
      </c>
    </row>
    <row r="2317" spans="1:7" ht="13">
      <c r="A2317" s="4" t="s">
        <v>119</v>
      </c>
      <c r="B2317" s="1">
        <v>3.4</v>
      </c>
      <c r="C2317" s="1">
        <v>360</v>
      </c>
      <c r="D2317" s="1" t="s">
        <v>11</v>
      </c>
      <c r="E2317" s="1" t="s">
        <v>19</v>
      </c>
      <c r="F2317" s="1">
        <f t="shared" si="80"/>
        <v>340</v>
      </c>
      <c r="G2317" s="5">
        <f t="shared" si="79"/>
        <v>1.0588235294117647</v>
      </c>
    </row>
    <row r="2318" spans="1:7" ht="13">
      <c r="A2318" s="4" t="s">
        <v>119</v>
      </c>
      <c r="B2318" s="1">
        <v>4.4000000000000004</v>
      </c>
      <c r="C2318" s="1">
        <v>515</v>
      </c>
      <c r="D2318" s="1" t="s">
        <v>11</v>
      </c>
      <c r="E2318" s="1" t="s">
        <v>15</v>
      </c>
      <c r="F2318" s="1">
        <f t="shared" si="80"/>
        <v>440.00000000000006</v>
      </c>
      <c r="G2318" s="5">
        <f t="shared" si="79"/>
        <v>1.1704545454545454</v>
      </c>
    </row>
    <row r="2319" spans="1:7" ht="13">
      <c r="A2319" s="4" t="s">
        <v>119</v>
      </c>
      <c r="B2319" s="1">
        <v>9.3000000000000007</v>
      </c>
      <c r="C2319" s="1">
        <v>893</v>
      </c>
      <c r="D2319" s="1" t="s">
        <v>11</v>
      </c>
      <c r="E2319" s="1" t="s">
        <v>20</v>
      </c>
      <c r="F2319" s="1">
        <f t="shared" si="80"/>
        <v>930.00000000000011</v>
      </c>
      <c r="G2319" s="5">
        <f t="shared" si="79"/>
        <v>0.96021505376344074</v>
      </c>
    </row>
    <row r="2320" spans="1:7" ht="13">
      <c r="A2320" s="4" t="s">
        <v>119</v>
      </c>
      <c r="B2320" s="1">
        <v>5.74</v>
      </c>
      <c r="C2320" s="1">
        <v>551</v>
      </c>
      <c r="D2320" s="1" t="s">
        <v>42</v>
      </c>
      <c r="E2320" s="1" t="s">
        <v>32</v>
      </c>
      <c r="F2320" s="1">
        <f t="shared" si="80"/>
        <v>574</v>
      </c>
      <c r="G2320" s="5">
        <f t="shared" si="79"/>
        <v>0.95993031358885017</v>
      </c>
    </row>
    <row r="2321" spans="1:7" ht="13">
      <c r="A2321" s="4" t="s">
        <v>119</v>
      </c>
      <c r="B2321" s="1">
        <v>843</v>
      </c>
      <c r="C2321" s="1">
        <v>811</v>
      </c>
      <c r="D2321" s="1" t="s">
        <v>33</v>
      </c>
      <c r="E2321" s="1" t="s">
        <v>26</v>
      </c>
      <c r="F2321" s="1">
        <f t="shared" si="80"/>
        <v>84300</v>
      </c>
      <c r="G2321" s="5">
        <f t="shared" si="79"/>
        <v>9.6204033214709363E-3</v>
      </c>
    </row>
    <row r="2322" spans="1:7" ht="13">
      <c r="A2322" s="4" t="s">
        <v>119</v>
      </c>
      <c r="B2322" s="1">
        <v>6</v>
      </c>
      <c r="C2322" s="1">
        <v>566</v>
      </c>
      <c r="D2322" s="1" t="s">
        <v>60</v>
      </c>
      <c r="E2322" s="1" t="s">
        <v>17</v>
      </c>
      <c r="F2322" s="1">
        <f t="shared" si="80"/>
        <v>600</v>
      </c>
      <c r="G2322" s="5">
        <f t="shared" si="79"/>
        <v>0.94333333333333336</v>
      </c>
    </row>
    <row r="2323" spans="1:7" ht="13">
      <c r="A2323" s="4" t="s">
        <v>119</v>
      </c>
      <c r="B2323" s="1">
        <v>5.22</v>
      </c>
      <c r="C2323" s="1">
        <v>444</v>
      </c>
      <c r="D2323" s="1" t="s">
        <v>70</v>
      </c>
      <c r="E2323" s="1" t="s">
        <v>22</v>
      </c>
      <c r="F2323" s="1">
        <f t="shared" si="80"/>
        <v>522</v>
      </c>
      <c r="G2323" s="5">
        <f t="shared" si="79"/>
        <v>0.85057471264367812</v>
      </c>
    </row>
    <row r="2324" spans="1:7" ht="13">
      <c r="A2324" s="4" t="s">
        <v>119</v>
      </c>
      <c r="B2324" s="1">
        <v>9</v>
      </c>
      <c r="C2324" s="1">
        <v>883</v>
      </c>
      <c r="D2324" s="1" t="s">
        <v>11</v>
      </c>
      <c r="E2324" s="1" t="s">
        <v>28</v>
      </c>
      <c r="F2324" s="1">
        <f t="shared" si="80"/>
        <v>900</v>
      </c>
      <c r="G2324" s="5">
        <f t="shared" si="79"/>
        <v>0.98111111111111116</v>
      </c>
    </row>
    <row r="2325" spans="1:7" ht="13">
      <c r="A2325" s="4" t="s">
        <v>119</v>
      </c>
      <c r="B2325" s="1">
        <v>7.2</v>
      </c>
      <c r="C2325" s="1">
        <v>679</v>
      </c>
      <c r="D2325" s="1" t="s">
        <v>47</v>
      </c>
      <c r="E2325" s="1" t="s">
        <v>17</v>
      </c>
      <c r="F2325" s="1">
        <f t="shared" si="80"/>
        <v>720</v>
      </c>
      <c r="G2325" s="5">
        <f t="shared" si="79"/>
        <v>0.94305555555555554</v>
      </c>
    </row>
    <row r="2326" spans="1:7" ht="13">
      <c r="A2326" s="4" t="s">
        <v>119</v>
      </c>
      <c r="B2326" s="1">
        <v>6.7</v>
      </c>
      <c r="C2326" s="1">
        <v>596</v>
      </c>
      <c r="D2326" s="1" t="s">
        <v>33</v>
      </c>
      <c r="E2326" s="1" t="s">
        <v>21</v>
      </c>
      <c r="F2326" s="1">
        <f t="shared" si="80"/>
        <v>670</v>
      </c>
      <c r="G2326" s="5">
        <f t="shared" si="79"/>
        <v>0.88955223880597012</v>
      </c>
    </row>
    <row r="2327" spans="1:7" ht="13">
      <c r="A2327" s="4" t="s">
        <v>119</v>
      </c>
      <c r="B2327" s="1">
        <v>6.8</v>
      </c>
      <c r="C2327" s="1">
        <v>724</v>
      </c>
      <c r="D2327" s="1" t="s">
        <v>43</v>
      </c>
      <c r="E2327" s="1" t="s">
        <v>22</v>
      </c>
      <c r="F2327" s="1">
        <f t="shared" si="80"/>
        <v>680</v>
      </c>
      <c r="G2327" s="5">
        <f t="shared" si="79"/>
        <v>1.0647058823529412</v>
      </c>
    </row>
    <row r="2328" spans="1:7" ht="13">
      <c r="A2328" s="4" t="s">
        <v>119</v>
      </c>
      <c r="B2328" s="1">
        <v>4.8</v>
      </c>
      <c r="C2328" s="1">
        <v>508.8</v>
      </c>
      <c r="D2328" s="1" t="s">
        <v>33</v>
      </c>
      <c r="E2328" s="1" t="s">
        <v>26</v>
      </c>
      <c r="F2328" s="1">
        <f t="shared" si="80"/>
        <v>480</v>
      </c>
      <c r="G2328" s="5">
        <f t="shared" si="79"/>
        <v>1.06</v>
      </c>
    </row>
    <row r="2329" spans="1:7" ht="13">
      <c r="A2329" s="4" t="s">
        <v>119</v>
      </c>
      <c r="B2329" s="1">
        <v>6.09</v>
      </c>
      <c r="C2329" s="1">
        <v>654</v>
      </c>
      <c r="D2329" s="1" t="s">
        <v>11</v>
      </c>
      <c r="E2329" s="1" t="s">
        <v>26</v>
      </c>
      <c r="F2329" s="1">
        <f t="shared" si="80"/>
        <v>609</v>
      </c>
      <c r="G2329" s="5">
        <f t="shared" si="79"/>
        <v>1.0738916256157636</v>
      </c>
    </row>
    <row r="2330" spans="1:7" ht="13">
      <c r="A2330" s="4" t="s">
        <v>119</v>
      </c>
      <c r="B2330" s="1">
        <v>6.4</v>
      </c>
      <c r="C2330" s="1">
        <v>625.6</v>
      </c>
      <c r="D2330" s="1" t="s">
        <v>33</v>
      </c>
      <c r="E2330" s="1" t="s">
        <v>15</v>
      </c>
      <c r="F2330" s="1">
        <f t="shared" si="80"/>
        <v>640</v>
      </c>
      <c r="G2330" s="5">
        <f t="shared" si="79"/>
        <v>0.97750000000000004</v>
      </c>
    </row>
    <row r="2331" spans="1:7" ht="13">
      <c r="A2331" s="4" t="s">
        <v>119</v>
      </c>
      <c r="B2331" s="1">
        <v>5.4</v>
      </c>
      <c r="C2331" s="1">
        <v>600</v>
      </c>
      <c r="D2331" s="1" t="s">
        <v>11</v>
      </c>
      <c r="E2331" s="1" t="s">
        <v>8</v>
      </c>
      <c r="F2331" s="1">
        <f t="shared" si="80"/>
        <v>540</v>
      </c>
      <c r="G2331" s="5">
        <f t="shared" si="79"/>
        <v>1.1111111111111112</v>
      </c>
    </row>
    <row r="2332" spans="1:7" ht="13">
      <c r="A2332" s="4" t="s">
        <v>119</v>
      </c>
      <c r="B2332" s="1">
        <v>3.8</v>
      </c>
      <c r="C2332" s="1">
        <v>304</v>
      </c>
      <c r="D2332" s="1" t="s">
        <v>42</v>
      </c>
      <c r="E2332" s="1" t="s">
        <v>10</v>
      </c>
      <c r="F2332" s="1">
        <f t="shared" si="80"/>
        <v>380</v>
      </c>
      <c r="G2332" s="5">
        <f t="shared" si="79"/>
        <v>0.8</v>
      </c>
    </row>
    <row r="2333" spans="1:7" ht="13">
      <c r="A2333" s="4" t="s">
        <v>119</v>
      </c>
      <c r="B2333" s="1">
        <v>6.4</v>
      </c>
      <c r="C2333" s="1">
        <v>760</v>
      </c>
      <c r="D2333" s="1" t="s">
        <v>11</v>
      </c>
      <c r="E2333" s="1" t="s">
        <v>26</v>
      </c>
      <c r="F2333" s="1">
        <f t="shared" si="80"/>
        <v>640</v>
      </c>
      <c r="G2333" s="5">
        <f t="shared" si="79"/>
        <v>1.1875</v>
      </c>
    </row>
    <row r="2334" spans="1:7" ht="13">
      <c r="A2334" s="4" t="s">
        <v>119</v>
      </c>
      <c r="B2334" s="1">
        <v>4</v>
      </c>
      <c r="C2334" s="1">
        <v>409</v>
      </c>
      <c r="D2334" s="1" t="s">
        <v>43</v>
      </c>
      <c r="E2334" s="1" t="s">
        <v>68</v>
      </c>
      <c r="F2334" s="1">
        <f t="shared" si="80"/>
        <v>400</v>
      </c>
      <c r="G2334" s="5">
        <f t="shared" si="79"/>
        <v>1.0225</v>
      </c>
    </row>
    <row r="2335" spans="1:7" ht="13">
      <c r="A2335" s="4" t="s">
        <v>119</v>
      </c>
      <c r="B2335" s="1">
        <v>4</v>
      </c>
      <c r="C2335" s="1">
        <v>392</v>
      </c>
      <c r="D2335" s="1" t="s">
        <v>11</v>
      </c>
      <c r="E2335" s="1" t="s">
        <v>28</v>
      </c>
      <c r="F2335" s="1">
        <f t="shared" si="80"/>
        <v>400</v>
      </c>
      <c r="G2335" s="5">
        <f t="shared" si="79"/>
        <v>0.98</v>
      </c>
    </row>
    <row r="2336" spans="1:7" ht="13">
      <c r="A2336" s="4" t="s">
        <v>119</v>
      </c>
      <c r="B2336" s="1">
        <v>3.85</v>
      </c>
      <c r="C2336" s="1">
        <v>464</v>
      </c>
      <c r="D2336" s="1" t="s">
        <v>55</v>
      </c>
      <c r="E2336" s="1" t="s">
        <v>15</v>
      </c>
      <c r="F2336" s="1">
        <f t="shared" si="80"/>
        <v>385</v>
      </c>
      <c r="G2336" s="5">
        <f t="shared" si="79"/>
        <v>1.2051948051948052</v>
      </c>
    </row>
    <row r="2337" spans="1:7" ht="13">
      <c r="A2337" s="4" t="s">
        <v>119</v>
      </c>
      <c r="B2337" s="1">
        <v>7.3</v>
      </c>
      <c r="C2337" s="1">
        <v>748</v>
      </c>
      <c r="D2337" s="1" t="s">
        <v>47</v>
      </c>
      <c r="E2337" s="1" t="s">
        <v>28</v>
      </c>
      <c r="F2337" s="1">
        <f t="shared" si="80"/>
        <v>730</v>
      </c>
      <c r="G2337" s="5">
        <f t="shared" si="79"/>
        <v>1.0246575342465754</v>
      </c>
    </row>
    <row r="2338" spans="1:7" ht="13">
      <c r="A2338" s="4" t="s">
        <v>119</v>
      </c>
      <c r="B2338" s="1">
        <v>6.02</v>
      </c>
      <c r="C2338" s="1">
        <v>605</v>
      </c>
      <c r="D2338" s="1" t="s">
        <v>58</v>
      </c>
      <c r="E2338" s="1" t="s">
        <v>9</v>
      </c>
      <c r="F2338" s="1">
        <f t="shared" si="80"/>
        <v>602</v>
      </c>
      <c r="G2338" s="5">
        <f t="shared" si="79"/>
        <v>1.0049833887043189</v>
      </c>
    </row>
    <row r="2339" spans="1:7" ht="13">
      <c r="A2339" s="4" t="s">
        <v>119</v>
      </c>
      <c r="B2339" s="1">
        <v>6.88</v>
      </c>
      <c r="C2339" s="1">
        <v>580</v>
      </c>
      <c r="D2339" s="1" t="s">
        <v>64</v>
      </c>
      <c r="E2339" s="1" t="s">
        <v>32</v>
      </c>
      <c r="F2339" s="1">
        <f t="shared" si="80"/>
        <v>688</v>
      </c>
      <c r="G2339" s="5">
        <f t="shared" si="79"/>
        <v>0.84302325581395354</v>
      </c>
    </row>
    <row r="2340" spans="1:7" ht="13">
      <c r="A2340" s="4" t="s">
        <v>119</v>
      </c>
      <c r="B2340" s="1">
        <v>2.87</v>
      </c>
      <c r="C2340" s="1">
        <v>349</v>
      </c>
      <c r="D2340" s="1" t="s">
        <v>11</v>
      </c>
      <c r="E2340" s="1" t="s">
        <v>8</v>
      </c>
      <c r="F2340" s="1">
        <f t="shared" si="80"/>
        <v>287</v>
      </c>
      <c r="G2340" s="5">
        <f t="shared" si="79"/>
        <v>1.2160278745644599</v>
      </c>
    </row>
    <row r="2341" spans="1:7" ht="13">
      <c r="A2341" s="4" t="s">
        <v>119</v>
      </c>
      <c r="B2341" s="1">
        <v>7.7</v>
      </c>
      <c r="C2341" s="1">
        <v>769</v>
      </c>
      <c r="D2341" s="1" t="s">
        <v>88</v>
      </c>
      <c r="E2341" s="1" t="s">
        <v>9</v>
      </c>
      <c r="F2341" s="1">
        <f t="shared" si="80"/>
        <v>770</v>
      </c>
      <c r="G2341" s="5">
        <f t="shared" si="79"/>
        <v>0.99870129870129876</v>
      </c>
    </row>
    <row r="2342" spans="1:7" ht="13">
      <c r="A2342" s="4" t="s">
        <v>119</v>
      </c>
      <c r="B2342" s="1">
        <v>5.52</v>
      </c>
      <c r="C2342" s="1">
        <v>602</v>
      </c>
      <c r="D2342" s="1" t="s">
        <v>11</v>
      </c>
      <c r="E2342" s="1" t="s">
        <v>26</v>
      </c>
      <c r="F2342" s="1">
        <f t="shared" si="80"/>
        <v>552</v>
      </c>
      <c r="G2342" s="5">
        <f t="shared" si="79"/>
        <v>1.0905797101449275</v>
      </c>
    </row>
    <row r="2343" spans="1:7" ht="13">
      <c r="A2343" s="4" t="s">
        <v>119</v>
      </c>
      <c r="B2343" s="1">
        <v>6</v>
      </c>
      <c r="C2343" s="1">
        <v>554</v>
      </c>
      <c r="D2343" s="1" t="s">
        <v>11</v>
      </c>
      <c r="E2343" s="1" t="s">
        <v>14</v>
      </c>
      <c r="F2343" s="1">
        <f t="shared" si="80"/>
        <v>600</v>
      </c>
      <c r="G2343" s="5">
        <f t="shared" si="79"/>
        <v>0.92333333333333334</v>
      </c>
    </row>
    <row r="2344" spans="1:7" ht="13">
      <c r="A2344" s="4" t="s">
        <v>119</v>
      </c>
      <c r="B2344" s="1">
        <v>5.88</v>
      </c>
      <c r="C2344" s="1">
        <v>596</v>
      </c>
      <c r="D2344" s="1" t="s">
        <v>38</v>
      </c>
      <c r="E2344" s="1" t="s">
        <v>22</v>
      </c>
      <c r="F2344" s="1">
        <f t="shared" si="80"/>
        <v>588</v>
      </c>
      <c r="G2344" s="5">
        <f t="shared" si="79"/>
        <v>1.0136054421768708</v>
      </c>
    </row>
    <row r="2345" spans="1:7" ht="13">
      <c r="A2345" s="4" t="s">
        <v>119</v>
      </c>
      <c r="B2345" s="1">
        <v>7.29</v>
      </c>
      <c r="C2345" s="1">
        <v>709</v>
      </c>
      <c r="D2345" s="1" t="s">
        <v>11</v>
      </c>
      <c r="E2345" s="1" t="s">
        <v>27</v>
      </c>
      <c r="F2345" s="1">
        <f t="shared" si="80"/>
        <v>729</v>
      </c>
      <c r="G2345" s="5">
        <f t="shared" si="79"/>
        <v>0.97256515775034291</v>
      </c>
    </row>
    <row r="2346" spans="1:7" ht="13">
      <c r="A2346" s="4" t="s">
        <v>119</v>
      </c>
      <c r="B2346" s="1">
        <v>7.29</v>
      </c>
      <c r="C2346" s="1">
        <v>801</v>
      </c>
      <c r="D2346" s="1" t="s">
        <v>11</v>
      </c>
      <c r="E2346" s="1" t="s">
        <v>7</v>
      </c>
      <c r="F2346" s="1">
        <f t="shared" si="80"/>
        <v>729</v>
      </c>
      <c r="G2346" s="5">
        <f t="shared" si="79"/>
        <v>1.0987654320987654</v>
      </c>
    </row>
    <row r="2347" spans="1:7" ht="13">
      <c r="A2347" s="4" t="s">
        <v>119</v>
      </c>
      <c r="B2347" s="1">
        <v>6.8</v>
      </c>
      <c r="C2347" s="1">
        <v>640</v>
      </c>
      <c r="D2347" s="1" t="s">
        <v>11</v>
      </c>
      <c r="E2347" s="1" t="s">
        <v>8</v>
      </c>
      <c r="F2347" s="1">
        <f t="shared" si="80"/>
        <v>680</v>
      </c>
      <c r="G2347" s="5">
        <f t="shared" si="79"/>
        <v>0.94117647058823528</v>
      </c>
    </row>
    <row r="2348" spans="1:7" ht="13">
      <c r="A2348" s="4" t="s">
        <v>119</v>
      </c>
      <c r="B2348" s="1">
        <v>6</v>
      </c>
      <c r="C2348" s="1">
        <v>582</v>
      </c>
      <c r="D2348" s="1" t="s">
        <v>33</v>
      </c>
      <c r="E2348" s="1" t="s">
        <v>15</v>
      </c>
      <c r="F2348" s="1">
        <f t="shared" si="80"/>
        <v>600</v>
      </c>
      <c r="G2348" s="5">
        <f t="shared" si="79"/>
        <v>0.97</v>
      </c>
    </row>
    <row r="2349" spans="1:7" ht="13">
      <c r="A2349" s="4" t="s">
        <v>119</v>
      </c>
      <c r="B2349" s="1">
        <v>7.5</v>
      </c>
      <c r="C2349" s="1">
        <v>717</v>
      </c>
      <c r="D2349" s="1" t="s">
        <v>35</v>
      </c>
      <c r="E2349" s="1" t="s">
        <v>8</v>
      </c>
      <c r="F2349" s="1">
        <f t="shared" si="80"/>
        <v>750</v>
      </c>
      <c r="G2349" s="5">
        <f t="shared" si="79"/>
        <v>0.95599999999999996</v>
      </c>
    </row>
    <row r="2350" spans="1:7" ht="13">
      <c r="A2350" s="4" t="s">
        <v>119</v>
      </c>
      <c r="B2350" s="1">
        <v>6.88</v>
      </c>
      <c r="C2350" s="1">
        <v>662</v>
      </c>
      <c r="D2350" s="1" t="s">
        <v>53</v>
      </c>
      <c r="E2350" s="1" t="s">
        <v>16</v>
      </c>
      <c r="F2350" s="1">
        <f t="shared" si="80"/>
        <v>688</v>
      </c>
      <c r="G2350" s="5">
        <f t="shared" si="79"/>
        <v>0.96220930232558144</v>
      </c>
    </row>
    <row r="2351" spans="1:7" ht="13">
      <c r="A2351" s="4" t="s">
        <v>119</v>
      </c>
      <c r="B2351" s="1">
        <v>6.2</v>
      </c>
      <c r="C2351" s="1">
        <v>704</v>
      </c>
      <c r="D2351" s="1" t="s">
        <v>39</v>
      </c>
      <c r="E2351" s="1" t="s">
        <v>26</v>
      </c>
      <c r="F2351" s="1">
        <f t="shared" si="80"/>
        <v>620</v>
      </c>
      <c r="G2351" s="5">
        <f t="shared" si="79"/>
        <v>1.1354838709677419</v>
      </c>
    </row>
    <row r="2352" spans="1:7" ht="13">
      <c r="A2352" s="4" t="s">
        <v>119</v>
      </c>
      <c r="B2352" s="1">
        <v>5.16</v>
      </c>
      <c r="C2352" s="1">
        <v>514</v>
      </c>
      <c r="D2352" s="1" t="s">
        <v>42</v>
      </c>
      <c r="E2352" s="1" t="s">
        <v>22</v>
      </c>
      <c r="F2352" s="1">
        <f t="shared" si="80"/>
        <v>516</v>
      </c>
      <c r="G2352" s="5">
        <f t="shared" si="79"/>
        <v>0.99612403100775193</v>
      </c>
    </row>
    <row r="2353" spans="1:7" ht="13">
      <c r="A2353" s="4" t="s">
        <v>119</v>
      </c>
      <c r="B2353" s="1">
        <v>7.83</v>
      </c>
      <c r="C2353" s="1">
        <v>749</v>
      </c>
      <c r="D2353" s="1" t="s">
        <v>11</v>
      </c>
      <c r="E2353" s="1" t="s">
        <v>32</v>
      </c>
      <c r="F2353" s="1">
        <f t="shared" si="80"/>
        <v>783</v>
      </c>
      <c r="G2353" s="5">
        <f t="shared" si="79"/>
        <v>0.95657726692209455</v>
      </c>
    </row>
    <row r="2354" spans="1:7" ht="13">
      <c r="A2354" s="4" t="s">
        <v>119</v>
      </c>
      <c r="B2354" s="1">
        <v>7</v>
      </c>
      <c r="C2354" s="1">
        <v>765</v>
      </c>
      <c r="D2354" s="1" t="s">
        <v>36</v>
      </c>
      <c r="E2354" s="1" t="s">
        <v>15</v>
      </c>
      <c r="F2354" s="1">
        <f t="shared" si="80"/>
        <v>700</v>
      </c>
      <c r="G2354" s="5">
        <f t="shared" si="79"/>
        <v>1.0928571428571427</v>
      </c>
    </row>
    <row r="2355" spans="1:7" ht="13">
      <c r="A2355" s="4" t="s">
        <v>119</v>
      </c>
      <c r="B2355" s="1">
        <v>4</v>
      </c>
      <c r="C2355" s="1">
        <v>431</v>
      </c>
      <c r="D2355" s="1" t="s">
        <v>35</v>
      </c>
      <c r="E2355" s="1" t="s">
        <v>21</v>
      </c>
      <c r="F2355" s="1">
        <f t="shared" si="80"/>
        <v>400</v>
      </c>
      <c r="G2355" s="5">
        <f t="shared" si="79"/>
        <v>1.0774999999999999</v>
      </c>
    </row>
    <row r="2356" spans="1:7" ht="13">
      <c r="A2356" s="4" t="s">
        <v>119</v>
      </c>
      <c r="B2356" s="1">
        <v>7.3949999999999996</v>
      </c>
      <c r="C2356" s="1">
        <v>716</v>
      </c>
      <c r="D2356" s="1" t="s">
        <v>42</v>
      </c>
      <c r="E2356" s="1" t="s">
        <v>25</v>
      </c>
      <c r="F2356" s="1">
        <f t="shared" si="80"/>
        <v>739.5</v>
      </c>
      <c r="G2356" s="5">
        <f t="shared" si="79"/>
        <v>0.96822177146720756</v>
      </c>
    </row>
    <row r="2357" spans="1:7" ht="13">
      <c r="A2357" s="4" t="s">
        <v>119</v>
      </c>
      <c r="B2357" s="1">
        <v>7.7</v>
      </c>
      <c r="C2357" s="1">
        <v>768</v>
      </c>
      <c r="D2357" s="1" t="s">
        <v>33</v>
      </c>
      <c r="E2357" s="1" t="s">
        <v>16</v>
      </c>
      <c r="F2357" s="1">
        <f t="shared" si="80"/>
        <v>770</v>
      </c>
      <c r="G2357" s="5">
        <f t="shared" si="79"/>
        <v>0.9974025974025974</v>
      </c>
    </row>
    <row r="2358" spans="1:7" ht="13">
      <c r="A2358" s="4" t="s">
        <v>119</v>
      </c>
      <c r="B2358" s="1">
        <v>6</v>
      </c>
      <c r="C2358" s="1">
        <v>660</v>
      </c>
      <c r="D2358" s="1" t="s">
        <v>44</v>
      </c>
      <c r="E2358" s="1" t="s">
        <v>8</v>
      </c>
      <c r="F2358" s="1">
        <f t="shared" si="80"/>
        <v>600</v>
      </c>
      <c r="G2358" s="5">
        <f t="shared" si="79"/>
        <v>1.1000000000000001</v>
      </c>
    </row>
    <row r="2359" spans="1:7" ht="13">
      <c r="A2359" s="4" t="s">
        <v>119</v>
      </c>
      <c r="B2359" s="1">
        <v>3.44</v>
      </c>
      <c r="C2359" s="1">
        <v>384</v>
      </c>
      <c r="D2359" s="1" t="s">
        <v>39</v>
      </c>
      <c r="E2359" s="1" t="s">
        <v>15</v>
      </c>
      <c r="F2359" s="1">
        <f t="shared" si="80"/>
        <v>344</v>
      </c>
      <c r="G2359" s="5">
        <f t="shared" si="79"/>
        <v>1.1162790697674418</v>
      </c>
    </row>
    <row r="2360" spans="1:7" ht="13">
      <c r="A2360" s="4" t="s">
        <v>119</v>
      </c>
      <c r="B2360" s="1">
        <v>5.39</v>
      </c>
      <c r="C2360" s="1">
        <v>659</v>
      </c>
      <c r="D2360" s="1" t="s">
        <v>11</v>
      </c>
      <c r="E2360" s="1" t="s">
        <v>26</v>
      </c>
      <c r="F2360" s="1">
        <f t="shared" si="80"/>
        <v>539</v>
      </c>
      <c r="G2360" s="5">
        <f t="shared" si="79"/>
        <v>1.2226345083487942</v>
      </c>
    </row>
    <row r="2361" spans="1:7" ht="13">
      <c r="A2361" s="4" t="s">
        <v>119</v>
      </c>
      <c r="B2361" s="1">
        <v>6.09</v>
      </c>
      <c r="C2361" s="1">
        <v>593</v>
      </c>
      <c r="D2361" s="1" t="s">
        <v>11</v>
      </c>
      <c r="E2361" s="1" t="s">
        <v>18</v>
      </c>
      <c r="F2361" s="1">
        <f t="shared" si="80"/>
        <v>609</v>
      </c>
      <c r="G2361" s="5">
        <f t="shared" si="79"/>
        <v>0.9737274220032841</v>
      </c>
    </row>
    <row r="2362" spans="1:7" ht="13">
      <c r="A2362" s="4" t="s">
        <v>119</v>
      </c>
      <c r="B2362" s="1">
        <v>6.3</v>
      </c>
      <c r="C2362" s="1">
        <v>574</v>
      </c>
      <c r="D2362" s="1" t="s">
        <v>43</v>
      </c>
      <c r="E2362" s="1" t="s">
        <v>29</v>
      </c>
      <c r="F2362" s="1">
        <f t="shared" si="80"/>
        <v>630</v>
      </c>
      <c r="G2362" s="5">
        <f t="shared" si="79"/>
        <v>0.91111111111111109</v>
      </c>
    </row>
    <row r="2363" spans="1:7" ht="13">
      <c r="A2363" s="4" t="s">
        <v>119</v>
      </c>
      <c r="B2363" s="1">
        <v>7.4</v>
      </c>
      <c r="C2363" s="1">
        <v>643</v>
      </c>
      <c r="D2363" s="1" t="s">
        <v>11</v>
      </c>
      <c r="E2363" s="1" t="s">
        <v>17</v>
      </c>
      <c r="F2363" s="1">
        <f t="shared" si="80"/>
        <v>740</v>
      </c>
      <c r="G2363" s="5">
        <f t="shared" si="79"/>
        <v>0.86891891891891893</v>
      </c>
    </row>
    <row r="2364" spans="1:7" ht="13">
      <c r="A2364" s="4" t="s">
        <v>119</v>
      </c>
      <c r="B2364" s="1">
        <v>5.0999999999999996</v>
      </c>
      <c r="C2364" s="1">
        <v>492</v>
      </c>
      <c r="D2364" s="1" t="s">
        <v>33</v>
      </c>
      <c r="E2364" s="1" t="s">
        <v>15</v>
      </c>
      <c r="F2364" s="1">
        <f t="shared" si="80"/>
        <v>509.99999999999994</v>
      </c>
      <c r="G2364" s="5">
        <f t="shared" si="79"/>
        <v>0.9647058823529413</v>
      </c>
    </row>
    <row r="2365" spans="1:7" ht="13">
      <c r="A2365" s="4" t="s">
        <v>119</v>
      </c>
      <c r="B2365" s="1">
        <v>6.96</v>
      </c>
      <c r="C2365" s="1">
        <v>690</v>
      </c>
      <c r="D2365" s="1" t="s">
        <v>45</v>
      </c>
      <c r="E2365" s="1" t="s">
        <v>24</v>
      </c>
      <c r="F2365" s="1">
        <f t="shared" si="80"/>
        <v>696</v>
      </c>
      <c r="G2365" s="5">
        <f t="shared" si="79"/>
        <v>0.99137931034482762</v>
      </c>
    </row>
    <row r="2366" spans="1:7" ht="13">
      <c r="A2366" s="4" t="s">
        <v>119</v>
      </c>
      <c r="B2366" s="1">
        <v>8.6</v>
      </c>
      <c r="C2366" s="1">
        <v>835</v>
      </c>
      <c r="D2366" s="1" t="s">
        <v>33</v>
      </c>
      <c r="E2366" s="1" t="s">
        <v>8</v>
      </c>
      <c r="F2366" s="1">
        <f t="shared" si="80"/>
        <v>860</v>
      </c>
      <c r="G2366" s="5">
        <f t="shared" si="79"/>
        <v>0.97093023255813948</v>
      </c>
    </row>
    <row r="2367" spans="1:7" ht="13">
      <c r="A2367" s="4" t="s">
        <v>119</v>
      </c>
      <c r="B2367" s="1">
        <v>6.8</v>
      </c>
      <c r="C2367" s="1">
        <v>705</v>
      </c>
      <c r="D2367" s="1" t="s">
        <v>38</v>
      </c>
      <c r="E2367" s="1" t="s">
        <v>41</v>
      </c>
      <c r="F2367" s="1">
        <f t="shared" si="80"/>
        <v>680</v>
      </c>
      <c r="G2367" s="5">
        <f t="shared" si="79"/>
        <v>1.036764705882353</v>
      </c>
    </row>
    <row r="2368" spans="1:7" ht="13">
      <c r="A2368" s="4" t="s">
        <v>119</v>
      </c>
      <c r="B2368" s="1">
        <v>6.88</v>
      </c>
      <c r="C2368" s="1">
        <v>713</v>
      </c>
      <c r="D2368" s="1" t="s">
        <v>11</v>
      </c>
      <c r="E2368" s="1" t="s">
        <v>8</v>
      </c>
      <c r="F2368" s="1">
        <f t="shared" si="80"/>
        <v>688</v>
      </c>
      <c r="G2368" s="5">
        <f t="shared" si="79"/>
        <v>1.0363372093023255</v>
      </c>
    </row>
    <row r="2369" spans="1:7" ht="13">
      <c r="A2369" s="4" t="s">
        <v>119</v>
      </c>
      <c r="B2369" s="1">
        <v>6</v>
      </c>
      <c r="C2369" s="1">
        <v>587</v>
      </c>
      <c r="D2369" s="1" t="s">
        <v>55</v>
      </c>
      <c r="E2369" s="1" t="s">
        <v>15</v>
      </c>
      <c r="F2369" s="1">
        <f t="shared" si="80"/>
        <v>600</v>
      </c>
      <c r="G2369" s="5">
        <f t="shared" si="79"/>
        <v>0.97833333333333339</v>
      </c>
    </row>
    <row r="2370" spans="1:7" ht="13">
      <c r="A2370" s="4" t="s">
        <v>119</v>
      </c>
      <c r="B2370" s="1">
        <v>8.6</v>
      </c>
      <c r="C2370" s="1">
        <v>911</v>
      </c>
      <c r="D2370" s="1" t="s">
        <v>11</v>
      </c>
      <c r="E2370" s="1" t="s">
        <v>9</v>
      </c>
      <c r="F2370" s="1">
        <f t="shared" si="80"/>
        <v>860</v>
      </c>
      <c r="G2370" s="5">
        <f t="shared" ref="G2370:G2433" si="81">C2370/F2370</f>
        <v>1.0593023255813954</v>
      </c>
    </row>
    <row r="2371" spans="1:7" ht="13">
      <c r="A2371" s="4" t="s">
        <v>119</v>
      </c>
      <c r="B2371" s="1">
        <v>7.65</v>
      </c>
      <c r="C2371" s="1">
        <v>570</v>
      </c>
      <c r="D2371" s="1" t="s">
        <v>33</v>
      </c>
      <c r="E2371" s="1" t="s">
        <v>19</v>
      </c>
      <c r="F2371" s="1">
        <f t="shared" ref="F2371:F2434" si="82">B2371*100</f>
        <v>765</v>
      </c>
      <c r="G2371" s="5">
        <f t="shared" si="81"/>
        <v>0.74509803921568629</v>
      </c>
    </row>
    <row r="2372" spans="1:7" ht="13">
      <c r="A2372" s="4" t="s">
        <v>119</v>
      </c>
      <c r="B2372" s="1">
        <v>6.8</v>
      </c>
      <c r="C2372" s="1">
        <v>712</v>
      </c>
      <c r="D2372" s="1" t="s">
        <v>44</v>
      </c>
      <c r="E2372" s="1" t="s">
        <v>26</v>
      </c>
      <c r="F2372" s="1">
        <f t="shared" si="82"/>
        <v>680</v>
      </c>
      <c r="G2372" s="5">
        <f t="shared" si="81"/>
        <v>1.0470588235294118</v>
      </c>
    </row>
    <row r="2373" spans="1:7" ht="13">
      <c r="A2373" s="4" t="s">
        <v>119</v>
      </c>
      <c r="B2373" s="1">
        <v>7.56</v>
      </c>
      <c r="C2373" s="1">
        <v>737</v>
      </c>
      <c r="D2373" s="1" t="s">
        <v>11</v>
      </c>
      <c r="E2373" s="1" t="s">
        <v>25</v>
      </c>
      <c r="F2373" s="1">
        <f t="shared" si="82"/>
        <v>756</v>
      </c>
      <c r="G2373" s="5">
        <f t="shared" si="81"/>
        <v>0.97486772486772488</v>
      </c>
    </row>
    <row r="2374" spans="1:7" ht="13">
      <c r="A2374" s="4" t="s">
        <v>119</v>
      </c>
      <c r="B2374" s="1">
        <v>5.6</v>
      </c>
      <c r="C2374" s="1">
        <v>617</v>
      </c>
      <c r="D2374" s="1" t="s">
        <v>54</v>
      </c>
      <c r="E2374" s="1" t="s">
        <v>22</v>
      </c>
      <c r="F2374" s="1">
        <f t="shared" si="82"/>
        <v>560</v>
      </c>
      <c r="G2374" s="5">
        <f t="shared" si="81"/>
        <v>1.1017857142857144</v>
      </c>
    </row>
    <row r="2375" spans="1:7" ht="13">
      <c r="A2375" s="4" t="s">
        <v>119</v>
      </c>
      <c r="B2375" s="1">
        <v>6.4</v>
      </c>
      <c r="C2375" s="1">
        <v>775.31</v>
      </c>
      <c r="D2375" s="1" t="s">
        <v>11</v>
      </c>
      <c r="E2375" s="1" t="s">
        <v>16</v>
      </c>
      <c r="F2375" s="1">
        <f t="shared" si="82"/>
        <v>640</v>
      </c>
      <c r="G2375" s="5">
        <f t="shared" si="81"/>
        <v>1.2114218749999999</v>
      </c>
    </row>
    <row r="2376" spans="1:7" ht="13">
      <c r="A2376" s="4" t="s">
        <v>119</v>
      </c>
      <c r="B2376" s="1">
        <v>5.81</v>
      </c>
      <c r="C2376" s="1">
        <v>638</v>
      </c>
      <c r="D2376" s="1" t="s">
        <v>38</v>
      </c>
      <c r="E2376" s="1" t="s">
        <v>8</v>
      </c>
      <c r="F2376" s="1">
        <f t="shared" si="82"/>
        <v>581</v>
      </c>
      <c r="G2376" s="5">
        <f t="shared" si="81"/>
        <v>1.0981067125645438</v>
      </c>
    </row>
    <row r="2377" spans="1:7" ht="13">
      <c r="A2377" s="4" t="s">
        <v>119</v>
      </c>
      <c r="B2377" s="1">
        <v>4.3</v>
      </c>
      <c r="C2377" s="1">
        <v>355</v>
      </c>
      <c r="D2377" s="1" t="s">
        <v>33</v>
      </c>
      <c r="E2377" s="1" t="s">
        <v>19</v>
      </c>
      <c r="F2377" s="1">
        <f t="shared" si="82"/>
        <v>430</v>
      </c>
      <c r="G2377" s="5">
        <f t="shared" si="81"/>
        <v>0.82558139534883723</v>
      </c>
    </row>
    <row r="2378" spans="1:7" ht="13">
      <c r="A2378" s="4" t="s">
        <v>119</v>
      </c>
      <c r="B2378" s="1">
        <v>7.83</v>
      </c>
      <c r="C2378" s="1">
        <v>700</v>
      </c>
      <c r="D2378" s="1" t="s">
        <v>33</v>
      </c>
      <c r="E2378" s="1" t="s">
        <v>21</v>
      </c>
      <c r="F2378" s="1">
        <f t="shared" si="82"/>
        <v>783</v>
      </c>
      <c r="G2378" s="5">
        <f t="shared" si="81"/>
        <v>0.89399744572158368</v>
      </c>
    </row>
    <row r="2379" spans="1:7" ht="13">
      <c r="A2379" s="4" t="s">
        <v>119</v>
      </c>
      <c r="B2379" s="1">
        <v>7.9</v>
      </c>
      <c r="C2379" s="1">
        <v>784</v>
      </c>
      <c r="D2379" s="1" t="s">
        <v>33</v>
      </c>
      <c r="E2379" s="1" t="s">
        <v>16</v>
      </c>
      <c r="F2379" s="1">
        <f t="shared" si="82"/>
        <v>790</v>
      </c>
      <c r="G2379" s="5">
        <f t="shared" si="81"/>
        <v>0.9924050632911392</v>
      </c>
    </row>
    <row r="2380" spans="1:7" ht="13">
      <c r="A2380" s="4" t="s">
        <v>119</v>
      </c>
      <c r="B2380" s="1">
        <v>7.83</v>
      </c>
      <c r="C2380" s="1">
        <v>830</v>
      </c>
      <c r="D2380" s="1" t="s">
        <v>11</v>
      </c>
      <c r="E2380" s="1" t="s">
        <v>21</v>
      </c>
      <c r="F2380" s="1">
        <f t="shared" si="82"/>
        <v>783</v>
      </c>
      <c r="G2380" s="5">
        <f t="shared" si="81"/>
        <v>1.0600255427841634</v>
      </c>
    </row>
    <row r="2381" spans="1:7" ht="13">
      <c r="A2381" s="4" t="s">
        <v>119</v>
      </c>
      <c r="B2381" s="1">
        <v>5.46</v>
      </c>
      <c r="C2381" s="1">
        <v>618</v>
      </c>
      <c r="D2381" s="1" t="s">
        <v>43</v>
      </c>
      <c r="E2381" s="1" t="s">
        <v>15</v>
      </c>
      <c r="F2381" s="1">
        <f t="shared" si="82"/>
        <v>546</v>
      </c>
      <c r="G2381" s="5">
        <f t="shared" si="81"/>
        <v>1.1318681318681318</v>
      </c>
    </row>
    <row r="2382" spans="1:7" ht="13">
      <c r="A2382" s="4" t="s">
        <v>119</v>
      </c>
      <c r="B2382" s="1">
        <v>4.8</v>
      </c>
      <c r="C2382" s="1">
        <v>440</v>
      </c>
      <c r="D2382" s="1" t="s">
        <v>11</v>
      </c>
      <c r="E2382" s="1" t="s">
        <v>10</v>
      </c>
      <c r="F2382" s="1">
        <f t="shared" si="82"/>
        <v>480</v>
      </c>
      <c r="G2382" s="5">
        <f t="shared" si="81"/>
        <v>0.91666666666666663</v>
      </c>
    </row>
    <row r="2383" spans="1:7" ht="13">
      <c r="A2383" s="4" t="s">
        <v>119</v>
      </c>
      <c r="B2383" s="1">
        <v>6.09</v>
      </c>
      <c r="C2383" s="1">
        <v>631</v>
      </c>
      <c r="D2383" s="1" t="s">
        <v>38</v>
      </c>
      <c r="E2383" s="1" t="s">
        <v>8</v>
      </c>
      <c r="F2383" s="1">
        <f t="shared" si="82"/>
        <v>609</v>
      </c>
      <c r="G2383" s="5">
        <f t="shared" si="81"/>
        <v>1.0361247947454844</v>
      </c>
    </row>
    <row r="2384" spans="1:7" ht="13">
      <c r="A2384" s="4" t="s">
        <v>119</v>
      </c>
      <c r="B2384" s="1">
        <v>6.9</v>
      </c>
      <c r="C2384" s="1">
        <v>741</v>
      </c>
      <c r="D2384" s="1" t="s">
        <v>11</v>
      </c>
      <c r="E2384" s="1" t="s">
        <v>28</v>
      </c>
      <c r="F2384" s="1">
        <f t="shared" si="82"/>
        <v>690</v>
      </c>
      <c r="G2384" s="5">
        <f t="shared" si="81"/>
        <v>1.0739130434782609</v>
      </c>
    </row>
    <row r="2385" spans="1:7" ht="13">
      <c r="A2385" s="4" t="s">
        <v>119</v>
      </c>
      <c r="B2385" s="1">
        <v>8.1999999999999993</v>
      </c>
      <c r="C2385" s="1">
        <v>755</v>
      </c>
      <c r="D2385" s="1" t="s">
        <v>11</v>
      </c>
      <c r="E2385" s="1" t="s">
        <v>12</v>
      </c>
      <c r="F2385" s="1">
        <f t="shared" si="82"/>
        <v>819.99999999999989</v>
      </c>
      <c r="G2385" s="5">
        <f t="shared" si="81"/>
        <v>0.92073170731707332</v>
      </c>
    </row>
    <row r="2386" spans="1:7" ht="13">
      <c r="A2386" s="4" t="s">
        <v>119</v>
      </c>
      <c r="B2386" s="1">
        <v>8.6999999999999993</v>
      </c>
      <c r="C2386" s="1">
        <v>873</v>
      </c>
      <c r="D2386" s="1" t="s">
        <v>11</v>
      </c>
      <c r="E2386" s="1" t="s">
        <v>27</v>
      </c>
      <c r="F2386" s="1">
        <f t="shared" si="82"/>
        <v>869.99999999999989</v>
      </c>
      <c r="G2386" s="5">
        <f t="shared" si="81"/>
        <v>1.0034482758620691</v>
      </c>
    </row>
    <row r="2387" spans="1:7" ht="13">
      <c r="A2387" s="4" t="s">
        <v>119</v>
      </c>
      <c r="B2387" s="1">
        <v>8.6</v>
      </c>
      <c r="C2387" s="1">
        <v>1000</v>
      </c>
      <c r="D2387" s="1" t="s">
        <v>11</v>
      </c>
      <c r="E2387" s="1" t="s">
        <v>20</v>
      </c>
      <c r="F2387" s="1">
        <f t="shared" si="82"/>
        <v>860</v>
      </c>
      <c r="G2387" s="5">
        <f t="shared" si="81"/>
        <v>1.1627906976744187</v>
      </c>
    </row>
    <row r="2388" spans="1:7" ht="13">
      <c r="A2388" s="4" t="s">
        <v>119</v>
      </c>
      <c r="B2388" s="1">
        <v>8.8000000000000007</v>
      </c>
      <c r="C2388" s="1">
        <v>831</v>
      </c>
      <c r="D2388" s="1" t="s">
        <v>11</v>
      </c>
      <c r="E2388" s="1" t="s">
        <v>7</v>
      </c>
      <c r="F2388" s="1">
        <f t="shared" si="82"/>
        <v>880.00000000000011</v>
      </c>
      <c r="G2388" s="5">
        <f t="shared" si="81"/>
        <v>0.94431818181818172</v>
      </c>
    </row>
    <row r="2389" spans="1:7" ht="13">
      <c r="A2389" s="4" t="s">
        <v>119</v>
      </c>
      <c r="B2389" s="1">
        <v>6.2</v>
      </c>
      <c r="C2389" s="1">
        <v>837</v>
      </c>
      <c r="D2389" s="1" t="s">
        <v>11</v>
      </c>
      <c r="E2389" s="1" t="s">
        <v>16</v>
      </c>
      <c r="F2389" s="1">
        <f t="shared" si="82"/>
        <v>620</v>
      </c>
      <c r="G2389" s="5">
        <f t="shared" si="81"/>
        <v>1.35</v>
      </c>
    </row>
    <row r="2390" spans="1:7" ht="13">
      <c r="A2390" s="4" t="s">
        <v>119</v>
      </c>
      <c r="B2390" s="1">
        <v>7.4</v>
      </c>
      <c r="C2390" s="1">
        <v>805</v>
      </c>
      <c r="D2390" s="1" t="s">
        <v>11</v>
      </c>
      <c r="E2390" s="1" t="s">
        <v>22</v>
      </c>
      <c r="F2390" s="1">
        <f t="shared" si="82"/>
        <v>740</v>
      </c>
      <c r="G2390" s="5">
        <f t="shared" si="81"/>
        <v>1.0878378378378379</v>
      </c>
    </row>
    <row r="2391" spans="1:7" ht="13">
      <c r="A2391" s="4" t="s">
        <v>119</v>
      </c>
      <c r="B2391" s="1">
        <v>3.5</v>
      </c>
      <c r="C2391" s="1">
        <v>363</v>
      </c>
      <c r="D2391" s="1" t="s">
        <v>55</v>
      </c>
      <c r="E2391" s="1" t="s">
        <v>15</v>
      </c>
      <c r="F2391" s="1">
        <f t="shared" si="82"/>
        <v>350</v>
      </c>
      <c r="G2391" s="5">
        <f t="shared" si="81"/>
        <v>1.0371428571428571</v>
      </c>
    </row>
    <row r="2392" spans="1:7" ht="13">
      <c r="A2392" s="4" t="s">
        <v>119</v>
      </c>
      <c r="B2392" s="1">
        <v>6.8</v>
      </c>
      <c r="C2392" s="1">
        <v>585</v>
      </c>
      <c r="D2392" s="1" t="s">
        <v>33</v>
      </c>
      <c r="E2392" s="1" t="s">
        <v>20</v>
      </c>
      <c r="F2392" s="1">
        <f t="shared" si="82"/>
        <v>680</v>
      </c>
      <c r="G2392" s="5">
        <f t="shared" si="81"/>
        <v>0.86029411764705888</v>
      </c>
    </row>
    <row r="2393" spans="1:7" ht="13">
      <c r="A2393" s="4" t="s">
        <v>119</v>
      </c>
      <c r="B2393" s="1">
        <v>8.6999999999999993</v>
      </c>
      <c r="C2393" s="1">
        <v>858</v>
      </c>
      <c r="D2393" s="1" t="s">
        <v>11</v>
      </c>
      <c r="E2393" s="1" t="s">
        <v>27</v>
      </c>
      <c r="F2393" s="1">
        <f t="shared" si="82"/>
        <v>869.99999999999989</v>
      </c>
      <c r="G2393" s="5">
        <f t="shared" si="81"/>
        <v>0.98620689655172422</v>
      </c>
    </row>
    <row r="2394" spans="1:7" ht="13">
      <c r="A2394" s="4" t="s">
        <v>119</v>
      </c>
      <c r="B2394" s="1">
        <v>7.74</v>
      </c>
      <c r="C2394" s="1">
        <v>756</v>
      </c>
      <c r="D2394" s="1" t="s">
        <v>53</v>
      </c>
      <c r="E2394" s="1" t="s">
        <v>15</v>
      </c>
      <c r="F2394" s="1">
        <f t="shared" si="82"/>
        <v>774</v>
      </c>
      <c r="G2394" s="5">
        <f t="shared" si="81"/>
        <v>0.97674418604651159</v>
      </c>
    </row>
    <row r="2395" spans="1:7" ht="13">
      <c r="A2395" s="4" t="s">
        <v>119</v>
      </c>
      <c r="B2395" s="1">
        <v>8</v>
      </c>
      <c r="C2395" s="1">
        <v>895</v>
      </c>
      <c r="D2395" s="1" t="s">
        <v>55</v>
      </c>
      <c r="E2395" s="1" t="s">
        <v>18</v>
      </c>
      <c r="F2395" s="1">
        <f t="shared" si="82"/>
        <v>800</v>
      </c>
      <c r="G2395" s="5">
        <f t="shared" si="81"/>
        <v>1.1187499999999999</v>
      </c>
    </row>
    <row r="2396" spans="1:7" ht="13">
      <c r="A2396" s="4" t="s">
        <v>119</v>
      </c>
      <c r="B2396" s="1">
        <v>7.2</v>
      </c>
      <c r="C2396" s="1">
        <v>635</v>
      </c>
      <c r="D2396" s="1" t="s">
        <v>11</v>
      </c>
      <c r="E2396" s="1" t="s">
        <v>13</v>
      </c>
      <c r="F2396" s="1">
        <f t="shared" si="82"/>
        <v>720</v>
      </c>
      <c r="G2396" s="5">
        <f t="shared" si="81"/>
        <v>0.88194444444444442</v>
      </c>
    </row>
    <row r="2397" spans="1:7" ht="13">
      <c r="A2397" s="4" t="s">
        <v>119</v>
      </c>
      <c r="B2397" s="1">
        <v>7.2</v>
      </c>
      <c r="C2397" s="1">
        <v>635</v>
      </c>
      <c r="D2397" s="1" t="s">
        <v>11</v>
      </c>
      <c r="E2397" s="1" t="s">
        <v>13</v>
      </c>
      <c r="F2397" s="1">
        <f t="shared" si="82"/>
        <v>720</v>
      </c>
      <c r="G2397" s="5">
        <f t="shared" si="81"/>
        <v>0.88194444444444442</v>
      </c>
    </row>
    <row r="2398" spans="1:7" ht="13">
      <c r="A2398" s="4" t="s">
        <v>119</v>
      </c>
      <c r="B2398" s="1">
        <v>6.96</v>
      </c>
      <c r="C2398" s="1">
        <v>679</v>
      </c>
      <c r="D2398" s="1" t="s">
        <v>11</v>
      </c>
      <c r="E2398" s="1" t="s">
        <v>18</v>
      </c>
      <c r="F2398" s="1">
        <f t="shared" si="82"/>
        <v>696</v>
      </c>
      <c r="G2398" s="5">
        <f t="shared" si="81"/>
        <v>0.97557471264367812</v>
      </c>
    </row>
    <row r="2399" spans="1:7" ht="13">
      <c r="A2399" s="4" t="s">
        <v>119</v>
      </c>
      <c r="B2399" s="1">
        <v>5</v>
      </c>
      <c r="C2399" s="1">
        <v>485</v>
      </c>
      <c r="D2399" s="1" t="s">
        <v>11</v>
      </c>
      <c r="E2399" s="1" t="s">
        <v>14</v>
      </c>
      <c r="F2399" s="1">
        <f t="shared" si="82"/>
        <v>500</v>
      </c>
      <c r="G2399" s="5">
        <f t="shared" si="81"/>
        <v>0.97</v>
      </c>
    </row>
    <row r="2400" spans="1:7" ht="13">
      <c r="A2400" s="4" t="s">
        <v>119</v>
      </c>
      <c r="B2400" s="1">
        <v>7.83</v>
      </c>
      <c r="C2400" s="1">
        <v>692</v>
      </c>
      <c r="D2400" s="1" t="s">
        <v>11</v>
      </c>
      <c r="E2400" s="1" t="s">
        <v>12</v>
      </c>
      <c r="F2400" s="1">
        <f t="shared" si="82"/>
        <v>783</v>
      </c>
      <c r="G2400" s="5">
        <f t="shared" si="81"/>
        <v>0.88378033205619411</v>
      </c>
    </row>
    <row r="2401" spans="1:7" ht="13">
      <c r="A2401" s="4" t="s">
        <v>119</v>
      </c>
      <c r="B2401" s="1">
        <v>6.25</v>
      </c>
      <c r="C2401" s="1">
        <v>681</v>
      </c>
      <c r="D2401" s="1" t="s">
        <v>11</v>
      </c>
      <c r="E2401" s="1" t="s">
        <v>7</v>
      </c>
      <c r="F2401" s="1">
        <f t="shared" si="82"/>
        <v>625</v>
      </c>
      <c r="G2401" s="5">
        <f t="shared" si="81"/>
        <v>1.0895999999999999</v>
      </c>
    </row>
    <row r="2402" spans="1:7" ht="13">
      <c r="A2402" s="4" t="s">
        <v>119</v>
      </c>
      <c r="B2402" s="1">
        <v>5</v>
      </c>
      <c r="C2402" s="1">
        <v>593</v>
      </c>
      <c r="D2402" s="1" t="s">
        <v>11</v>
      </c>
      <c r="E2402" s="1" t="s">
        <v>8</v>
      </c>
      <c r="F2402" s="1">
        <f t="shared" si="82"/>
        <v>500</v>
      </c>
      <c r="G2402" s="5">
        <f t="shared" si="81"/>
        <v>1.1859999999999999</v>
      </c>
    </row>
    <row r="2403" spans="1:7" ht="13">
      <c r="A2403" s="4" t="s">
        <v>119</v>
      </c>
      <c r="B2403" s="1">
        <v>8.35</v>
      </c>
      <c r="C2403" s="1">
        <v>780</v>
      </c>
      <c r="D2403" s="1" t="s">
        <v>11</v>
      </c>
      <c r="E2403" s="1" t="s">
        <v>15</v>
      </c>
      <c r="F2403" s="1">
        <f t="shared" si="82"/>
        <v>835</v>
      </c>
      <c r="G2403" s="5">
        <f t="shared" si="81"/>
        <v>0.93413173652694614</v>
      </c>
    </row>
    <row r="2404" spans="1:7" ht="13">
      <c r="A2404" s="4" t="s">
        <v>119</v>
      </c>
      <c r="B2404" s="1">
        <v>5.2</v>
      </c>
      <c r="C2404" s="1">
        <v>506</v>
      </c>
      <c r="D2404" s="1" t="s">
        <v>45</v>
      </c>
      <c r="E2404" s="1" t="s">
        <v>15</v>
      </c>
      <c r="F2404" s="1">
        <f t="shared" si="82"/>
        <v>520</v>
      </c>
      <c r="G2404" s="5">
        <f t="shared" si="81"/>
        <v>0.97307692307692306</v>
      </c>
    </row>
    <row r="2405" spans="1:7" ht="13">
      <c r="A2405" s="4" t="s">
        <v>119</v>
      </c>
      <c r="B2405" s="1">
        <v>7.6</v>
      </c>
      <c r="C2405" s="1">
        <v>629</v>
      </c>
      <c r="D2405" s="1" t="s">
        <v>33</v>
      </c>
      <c r="E2405" s="1" t="s">
        <v>17</v>
      </c>
      <c r="F2405" s="1">
        <f t="shared" si="82"/>
        <v>760</v>
      </c>
      <c r="G2405" s="5">
        <f t="shared" si="81"/>
        <v>0.82763157894736838</v>
      </c>
    </row>
    <row r="2406" spans="1:7" ht="13">
      <c r="A2406" s="4" t="s">
        <v>119</v>
      </c>
      <c r="B2406" s="1">
        <v>7.29</v>
      </c>
      <c r="C2406" s="1">
        <v>714</v>
      </c>
      <c r="D2406" s="1" t="s">
        <v>11</v>
      </c>
      <c r="E2406" s="1" t="s">
        <v>18</v>
      </c>
      <c r="F2406" s="1">
        <f t="shared" si="82"/>
        <v>729</v>
      </c>
      <c r="G2406" s="5">
        <f t="shared" si="81"/>
        <v>0.97942386831275718</v>
      </c>
    </row>
    <row r="2407" spans="1:7" ht="13">
      <c r="A2407" s="4" t="s">
        <v>119</v>
      </c>
      <c r="B2407" s="1">
        <v>9.1</v>
      </c>
      <c r="C2407" s="1">
        <v>766</v>
      </c>
      <c r="D2407" s="1" t="s">
        <v>38</v>
      </c>
      <c r="E2407" s="1" t="s">
        <v>14</v>
      </c>
      <c r="F2407" s="1">
        <f t="shared" si="82"/>
        <v>910</v>
      </c>
      <c r="G2407" s="5">
        <f t="shared" si="81"/>
        <v>0.84175824175824177</v>
      </c>
    </row>
    <row r="2408" spans="1:7" ht="13">
      <c r="A2408" s="4" t="s">
        <v>119</v>
      </c>
      <c r="B2408" s="1">
        <v>7.3</v>
      </c>
      <c r="C2408" s="1">
        <v>37.630000000000003</v>
      </c>
      <c r="D2408" s="1" t="s">
        <v>38</v>
      </c>
      <c r="E2408" s="1" t="s">
        <v>22</v>
      </c>
      <c r="F2408" s="1">
        <f t="shared" si="82"/>
        <v>730</v>
      </c>
      <c r="G2408" s="5">
        <f t="shared" si="81"/>
        <v>5.1547945205479458E-2</v>
      </c>
    </row>
    <row r="2409" spans="1:7" ht="13">
      <c r="A2409" s="4" t="s">
        <v>119</v>
      </c>
      <c r="B2409" s="1">
        <v>3.6</v>
      </c>
      <c r="C2409" s="1">
        <v>395</v>
      </c>
      <c r="D2409" s="1" t="s">
        <v>47</v>
      </c>
      <c r="E2409" s="1" t="s">
        <v>28</v>
      </c>
      <c r="F2409" s="1">
        <f t="shared" si="82"/>
        <v>360</v>
      </c>
      <c r="G2409" s="5">
        <f t="shared" si="81"/>
        <v>1.0972222222222223</v>
      </c>
    </row>
    <row r="2410" spans="1:7" ht="13">
      <c r="A2410" s="4" t="s">
        <v>119</v>
      </c>
      <c r="B2410" s="1">
        <v>6</v>
      </c>
      <c r="C2410" s="1">
        <v>482</v>
      </c>
      <c r="D2410" s="1" t="s">
        <v>11</v>
      </c>
      <c r="E2410" s="1" t="s">
        <v>12</v>
      </c>
      <c r="F2410" s="1">
        <f t="shared" si="82"/>
        <v>600</v>
      </c>
      <c r="G2410" s="5">
        <f t="shared" si="81"/>
        <v>0.80333333333333334</v>
      </c>
    </row>
    <row r="2411" spans="1:7" ht="13">
      <c r="A2411" s="4" t="s">
        <v>119</v>
      </c>
      <c r="B2411" s="1">
        <v>7.92</v>
      </c>
      <c r="C2411" s="1">
        <v>756</v>
      </c>
      <c r="D2411" s="1" t="s">
        <v>44</v>
      </c>
      <c r="E2411" s="1" t="s">
        <v>15</v>
      </c>
      <c r="F2411" s="1">
        <f t="shared" si="82"/>
        <v>792</v>
      </c>
      <c r="G2411" s="5">
        <f t="shared" si="81"/>
        <v>0.95454545454545459</v>
      </c>
    </row>
    <row r="2412" spans="1:7" ht="13">
      <c r="A2412" s="4" t="s">
        <v>119</v>
      </c>
      <c r="B2412" s="1">
        <v>10.199999999999999</v>
      </c>
      <c r="C2412" s="1">
        <v>820</v>
      </c>
      <c r="D2412" s="1" t="s">
        <v>38</v>
      </c>
      <c r="E2412" s="1" t="s">
        <v>7</v>
      </c>
      <c r="F2412" s="1">
        <f t="shared" si="82"/>
        <v>1019.9999999999999</v>
      </c>
      <c r="G2412" s="5">
        <f t="shared" si="81"/>
        <v>0.80392156862745112</v>
      </c>
    </row>
    <row r="2413" spans="1:7" ht="13">
      <c r="A2413" s="4" t="s">
        <v>119</v>
      </c>
      <c r="B2413" s="1">
        <v>7.3</v>
      </c>
      <c r="C2413" s="1">
        <v>747</v>
      </c>
      <c r="D2413" s="1" t="s">
        <v>38</v>
      </c>
      <c r="E2413" s="1" t="s">
        <v>22</v>
      </c>
      <c r="F2413" s="1">
        <f t="shared" si="82"/>
        <v>730</v>
      </c>
      <c r="G2413" s="5">
        <f t="shared" si="81"/>
        <v>1.0232876712328767</v>
      </c>
    </row>
    <row r="2414" spans="1:7" ht="13">
      <c r="A2414" s="4" t="s">
        <v>119</v>
      </c>
      <c r="B2414" s="1">
        <v>5.2</v>
      </c>
      <c r="C2414" s="1">
        <v>403</v>
      </c>
      <c r="D2414" s="1" t="s">
        <v>33</v>
      </c>
      <c r="E2414" s="1" t="s">
        <v>7</v>
      </c>
      <c r="F2414" s="1">
        <f t="shared" si="82"/>
        <v>520</v>
      </c>
      <c r="G2414" s="5">
        <f t="shared" si="81"/>
        <v>0.77500000000000002</v>
      </c>
    </row>
    <row r="2415" spans="1:7" ht="13">
      <c r="A2415" s="4" t="s">
        <v>119</v>
      </c>
      <c r="B2415" s="1">
        <v>5.3949999999999996</v>
      </c>
      <c r="C2415" s="1">
        <v>580</v>
      </c>
      <c r="D2415" s="1" t="s">
        <v>45</v>
      </c>
      <c r="E2415" s="1" t="s">
        <v>15</v>
      </c>
      <c r="F2415" s="1">
        <f t="shared" si="82"/>
        <v>539.5</v>
      </c>
      <c r="G2415" s="5">
        <f t="shared" si="81"/>
        <v>1.0750695088044486</v>
      </c>
    </row>
    <row r="2416" spans="1:7" ht="13">
      <c r="A2416" s="4" t="s">
        <v>119</v>
      </c>
      <c r="B2416" s="1">
        <v>7.4</v>
      </c>
      <c r="C2416" s="1">
        <v>834</v>
      </c>
      <c r="D2416" s="1" t="s">
        <v>11</v>
      </c>
      <c r="E2416" s="1" t="s">
        <v>10</v>
      </c>
      <c r="F2416" s="1">
        <f t="shared" si="82"/>
        <v>740</v>
      </c>
      <c r="G2416" s="5">
        <f t="shared" si="81"/>
        <v>1.1270270270270271</v>
      </c>
    </row>
    <row r="2417" spans="1:7" ht="13">
      <c r="A2417" s="4" t="s">
        <v>119</v>
      </c>
      <c r="B2417" s="1">
        <v>7.46</v>
      </c>
      <c r="C2417" s="1">
        <v>746</v>
      </c>
      <c r="D2417" s="1" t="s">
        <v>79</v>
      </c>
      <c r="E2417" s="1" t="s">
        <v>25</v>
      </c>
      <c r="F2417" s="1">
        <f t="shared" si="82"/>
        <v>746</v>
      </c>
      <c r="G2417" s="5">
        <f t="shared" si="81"/>
        <v>1</v>
      </c>
    </row>
    <row r="2418" spans="1:7" ht="13">
      <c r="A2418" s="4" t="s">
        <v>119</v>
      </c>
      <c r="B2418" s="1">
        <v>7</v>
      </c>
      <c r="C2418" s="1">
        <v>632</v>
      </c>
      <c r="D2418" s="1" t="s">
        <v>33</v>
      </c>
      <c r="E2418" s="1" t="s">
        <v>20</v>
      </c>
      <c r="F2418" s="1">
        <f t="shared" si="82"/>
        <v>700</v>
      </c>
      <c r="G2418" s="5">
        <f t="shared" si="81"/>
        <v>0.9028571428571428</v>
      </c>
    </row>
    <row r="2419" spans="1:7" ht="13">
      <c r="A2419" s="4" t="s">
        <v>119</v>
      </c>
      <c r="B2419" s="1">
        <v>9.24</v>
      </c>
      <c r="C2419" s="1">
        <v>777</v>
      </c>
      <c r="D2419" s="1" t="s">
        <v>42</v>
      </c>
      <c r="E2419" s="1" t="s">
        <v>12</v>
      </c>
      <c r="F2419" s="1">
        <f t="shared" si="82"/>
        <v>924</v>
      </c>
      <c r="G2419" s="5">
        <f t="shared" si="81"/>
        <v>0.84090909090909094</v>
      </c>
    </row>
    <row r="2420" spans="1:7" ht="13">
      <c r="A2420" s="4" t="s">
        <v>119</v>
      </c>
      <c r="B2420" s="1">
        <v>6.02</v>
      </c>
      <c r="C2420" s="1">
        <v>606.36</v>
      </c>
      <c r="D2420" s="1" t="s">
        <v>11</v>
      </c>
      <c r="E2420" s="1" t="s">
        <v>22</v>
      </c>
      <c r="F2420" s="1">
        <f t="shared" si="82"/>
        <v>602</v>
      </c>
      <c r="G2420" s="5">
        <f t="shared" si="81"/>
        <v>1.0072425249169434</v>
      </c>
    </row>
    <row r="2421" spans="1:7" ht="13">
      <c r="A2421" s="4" t="s">
        <v>119</v>
      </c>
      <c r="B2421" s="1">
        <v>8.4600000000000009</v>
      </c>
      <c r="C2421" s="1">
        <v>747</v>
      </c>
      <c r="D2421" s="1" t="s">
        <v>79</v>
      </c>
      <c r="E2421" s="1" t="s">
        <v>25</v>
      </c>
      <c r="F2421" s="1">
        <f t="shared" si="82"/>
        <v>846.00000000000011</v>
      </c>
      <c r="G2421" s="5">
        <f t="shared" si="81"/>
        <v>0.88297872340425521</v>
      </c>
    </row>
    <row r="2422" spans="1:7" ht="13">
      <c r="A2422" s="4" t="s">
        <v>119</v>
      </c>
      <c r="B2422" s="1">
        <v>6.2</v>
      </c>
      <c r="C2422" s="1">
        <v>469.22</v>
      </c>
      <c r="D2422" s="1" t="s">
        <v>45</v>
      </c>
      <c r="E2422" s="1" t="s">
        <v>27</v>
      </c>
      <c r="F2422" s="1">
        <f t="shared" si="82"/>
        <v>620</v>
      </c>
      <c r="G2422" s="5">
        <f t="shared" si="81"/>
        <v>0.75680645161290327</v>
      </c>
    </row>
    <row r="2423" spans="1:7" ht="13">
      <c r="A2423" s="4" t="s">
        <v>119</v>
      </c>
      <c r="B2423" s="1">
        <v>4.9000000000000004</v>
      </c>
      <c r="C2423" s="1">
        <v>567</v>
      </c>
      <c r="D2423" s="1" t="s">
        <v>38</v>
      </c>
      <c r="E2423" s="1" t="s">
        <v>15</v>
      </c>
      <c r="F2423" s="1">
        <f t="shared" si="82"/>
        <v>490.00000000000006</v>
      </c>
      <c r="G2423" s="5">
        <f t="shared" si="81"/>
        <v>1.157142857142857</v>
      </c>
    </row>
    <row r="2424" spans="1:7" ht="13">
      <c r="A2424" s="4" t="s">
        <v>119</v>
      </c>
      <c r="B2424" s="1">
        <v>4.1500000000000004</v>
      </c>
      <c r="C2424" s="1">
        <v>485</v>
      </c>
      <c r="D2424" s="1" t="s">
        <v>38</v>
      </c>
      <c r="E2424" s="1" t="s">
        <v>8</v>
      </c>
      <c r="F2424" s="1">
        <f t="shared" si="82"/>
        <v>415.00000000000006</v>
      </c>
      <c r="G2424" s="5">
        <f t="shared" si="81"/>
        <v>1.1686746987951806</v>
      </c>
    </row>
    <row r="2425" spans="1:7" ht="13">
      <c r="A2425" s="4" t="s">
        <v>119</v>
      </c>
      <c r="B2425" s="1">
        <v>6.88</v>
      </c>
      <c r="C2425" s="1">
        <v>720</v>
      </c>
      <c r="D2425" s="1" t="s">
        <v>58</v>
      </c>
      <c r="E2425" s="1" t="s">
        <v>22</v>
      </c>
      <c r="F2425" s="1">
        <f t="shared" si="82"/>
        <v>688</v>
      </c>
      <c r="G2425" s="5">
        <f t="shared" si="81"/>
        <v>1.0465116279069768</v>
      </c>
    </row>
    <row r="2426" spans="1:7" ht="13">
      <c r="A2426" s="4" t="s">
        <v>119</v>
      </c>
      <c r="B2426" s="1">
        <v>9.6</v>
      </c>
      <c r="C2426" s="1">
        <v>870</v>
      </c>
      <c r="D2426" s="1" t="s">
        <v>80</v>
      </c>
      <c r="E2426" s="1" t="s">
        <v>7</v>
      </c>
      <c r="F2426" s="1">
        <f t="shared" si="82"/>
        <v>960</v>
      </c>
      <c r="G2426" s="5">
        <f t="shared" si="81"/>
        <v>0.90625</v>
      </c>
    </row>
    <row r="2427" spans="1:7" ht="13">
      <c r="A2427" s="4" t="s">
        <v>119</v>
      </c>
      <c r="B2427" s="1">
        <v>4.7300000000000004</v>
      </c>
      <c r="C2427" s="1">
        <v>491</v>
      </c>
      <c r="D2427" s="1" t="s">
        <v>33</v>
      </c>
      <c r="E2427" s="1" t="s">
        <v>8</v>
      </c>
      <c r="F2427" s="1">
        <f t="shared" si="82"/>
        <v>473.00000000000006</v>
      </c>
      <c r="G2427" s="5">
        <f t="shared" si="81"/>
        <v>1.0380549682875262</v>
      </c>
    </row>
    <row r="2428" spans="1:7" ht="13">
      <c r="A2428" s="4" t="s">
        <v>119</v>
      </c>
      <c r="B2428" s="1">
        <v>5.88</v>
      </c>
      <c r="C2428" s="1">
        <v>635</v>
      </c>
      <c r="D2428" s="1" t="s">
        <v>11</v>
      </c>
      <c r="E2428" s="1" t="s">
        <v>15</v>
      </c>
      <c r="F2428" s="1">
        <f t="shared" si="82"/>
        <v>588</v>
      </c>
      <c r="G2428" s="5">
        <f t="shared" si="81"/>
        <v>1.0799319727891157</v>
      </c>
    </row>
    <row r="2429" spans="1:7" ht="13">
      <c r="A2429" s="4" t="s">
        <v>119</v>
      </c>
      <c r="B2429" s="1">
        <v>6</v>
      </c>
      <c r="C2429" s="1">
        <v>543</v>
      </c>
      <c r="D2429" s="1" t="s">
        <v>38</v>
      </c>
      <c r="E2429" s="1" t="s">
        <v>8</v>
      </c>
      <c r="F2429" s="1">
        <f t="shared" si="82"/>
        <v>600</v>
      </c>
      <c r="G2429" s="5">
        <f t="shared" si="81"/>
        <v>0.90500000000000003</v>
      </c>
    </row>
    <row r="2430" spans="1:7" ht="13">
      <c r="A2430" s="4" t="s">
        <v>119</v>
      </c>
      <c r="B2430" s="1">
        <v>7.4</v>
      </c>
      <c r="C2430" s="1">
        <v>714</v>
      </c>
      <c r="D2430" s="1" t="s">
        <v>105</v>
      </c>
      <c r="E2430" s="1" t="s">
        <v>49</v>
      </c>
      <c r="F2430" s="1">
        <f t="shared" si="82"/>
        <v>740</v>
      </c>
      <c r="G2430" s="5">
        <f t="shared" si="81"/>
        <v>0.96486486486486489</v>
      </c>
    </row>
    <row r="2431" spans="1:7" ht="13">
      <c r="A2431" s="4" t="s">
        <v>119</v>
      </c>
      <c r="B2431" s="1">
        <v>6</v>
      </c>
      <c r="C2431" s="1">
        <v>745</v>
      </c>
      <c r="D2431" s="1" t="s">
        <v>11</v>
      </c>
      <c r="E2431" s="1" t="s">
        <v>22</v>
      </c>
      <c r="F2431" s="1">
        <f t="shared" si="82"/>
        <v>600</v>
      </c>
      <c r="G2431" s="5">
        <f t="shared" si="81"/>
        <v>1.2416666666666667</v>
      </c>
    </row>
    <row r="2432" spans="1:7" ht="13">
      <c r="A2432" s="4" t="s">
        <v>119</v>
      </c>
      <c r="B2432" s="1">
        <v>4.38</v>
      </c>
      <c r="C2432" s="1">
        <v>461</v>
      </c>
      <c r="D2432" s="1" t="s">
        <v>43</v>
      </c>
      <c r="E2432" s="1" t="s">
        <v>24</v>
      </c>
      <c r="F2432" s="1">
        <f t="shared" si="82"/>
        <v>438</v>
      </c>
      <c r="G2432" s="5">
        <f t="shared" si="81"/>
        <v>1.0525114155251141</v>
      </c>
    </row>
    <row r="2433" spans="1:7" ht="13">
      <c r="A2433" s="4" t="s">
        <v>119</v>
      </c>
      <c r="B2433" s="1">
        <v>6.4</v>
      </c>
      <c r="C2433" s="1">
        <v>711</v>
      </c>
      <c r="D2433" s="1" t="s">
        <v>11</v>
      </c>
      <c r="E2433" s="1" t="s">
        <v>8</v>
      </c>
      <c r="F2433" s="1">
        <f t="shared" si="82"/>
        <v>640</v>
      </c>
      <c r="G2433" s="5">
        <f t="shared" si="81"/>
        <v>1.1109374999999999</v>
      </c>
    </row>
    <row r="2434" spans="1:7" ht="13">
      <c r="A2434" s="4" t="s">
        <v>119</v>
      </c>
      <c r="B2434" s="1">
        <v>6.5</v>
      </c>
      <c r="C2434" s="1">
        <v>694</v>
      </c>
      <c r="D2434" s="1" t="s">
        <v>39</v>
      </c>
      <c r="E2434" s="1" t="s">
        <v>16</v>
      </c>
      <c r="F2434" s="1">
        <f t="shared" si="82"/>
        <v>650</v>
      </c>
      <c r="G2434" s="5">
        <f t="shared" ref="G2434:G2497" si="83">C2434/F2434</f>
        <v>1.0676923076923077</v>
      </c>
    </row>
    <row r="2435" spans="1:7" ht="13">
      <c r="A2435" s="4" t="s">
        <v>119</v>
      </c>
      <c r="B2435" s="1">
        <v>4.2</v>
      </c>
      <c r="C2435" s="1">
        <v>513</v>
      </c>
      <c r="D2435" s="1" t="s">
        <v>11</v>
      </c>
      <c r="E2435" s="1" t="s">
        <v>15</v>
      </c>
      <c r="F2435" s="1">
        <f t="shared" ref="F2435:F2498" si="84">B2435*100</f>
        <v>420</v>
      </c>
      <c r="G2435" s="5">
        <f t="shared" si="83"/>
        <v>1.2214285714285715</v>
      </c>
    </row>
    <row r="2436" spans="1:7" ht="13">
      <c r="A2436" s="4" t="s">
        <v>119</v>
      </c>
      <c r="B2436" s="1">
        <v>6.5</v>
      </c>
      <c r="C2436" s="1">
        <v>558.67999999999995</v>
      </c>
      <c r="D2436" s="1" t="s">
        <v>35</v>
      </c>
      <c r="E2436" s="1" t="s">
        <v>8</v>
      </c>
      <c r="F2436" s="1">
        <f t="shared" si="84"/>
        <v>650</v>
      </c>
      <c r="G2436" s="5">
        <f t="shared" si="83"/>
        <v>0.85950769230769219</v>
      </c>
    </row>
    <row r="2437" spans="1:7" ht="13">
      <c r="A2437" s="4" t="s">
        <v>119</v>
      </c>
      <c r="B2437" s="1">
        <v>6.72</v>
      </c>
      <c r="C2437" s="1">
        <v>710</v>
      </c>
      <c r="D2437" s="1" t="s">
        <v>33</v>
      </c>
      <c r="E2437" s="1" t="s">
        <v>8</v>
      </c>
      <c r="F2437" s="1">
        <f t="shared" si="84"/>
        <v>672</v>
      </c>
      <c r="G2437" s="5">
        <f t="shared" si="83"/>
        <v>1.0565476190476191</v>
      </c>
    </row>
    <row r="2438" spans="1:7" ht="13">
      <c r="A2438" s="4" t="s">
        <v>119</v>
      </c>
      <c r="B2438" s="1">
        <v>5.2</v>
      </c>
      <c r="C2438" s="1">
        <v>592</v>
      </c>
      <c r="D2438" s="1" t="s">
        <v>11</v>
      </c>
      <c r="E2438" s="1" t="s">
        <v>19</v>
      </c>
      <c r="F2438" s="1">
        <f t="shared" si="84"/>
        <v>520</v>
      </c>
      <c r="G2438" s="5">
        <f t="shared" si="83"/>
        <v>1.1384615384615384</v>
      </c>
    </row>
    <row r="2439" spans="1:7" ht="13">
      <c r="A2439" s="4" t="s">
        <v>119</v>
      </c>
      <c r="B2439" s="1">
        <v>3.48</v>
      </c>
      <c r="C2439" s="1">
        <v>345</v>
      </c>
      <c r="D2439" s="1" t="s">
        <v>11</v>
      </c>
      <c r="E2439" s="1" t="s">
        <v>7</v>
      </c>
      <c r="F2439" s="1">
        <f t="shared" si="84"/>
        <v>348</v>
      </c>
      <c r="G2439" s="5">
        <f t="shared" si="83"/>
        <v>0.99137931034482762</v>
      </c>
    </row>
    <row r="2440" spans="1:7" ht="13">
      <c r="A2440" s="4" t="s">
        <v>119</v>
      </c>
      <c r="B2440" s="1">
        <v>7.74</v>
      </c>
      <c r="C2440" s="1">
        <v>771</v>
      </c>
      <c r="D2440" s="1" t="s">
        <v>33</v>
      </c>
      <c r="E2440" s="1" t="s">
        <v>16</v>
      </c>
      <c r="F2440" s="1">
        <f t="shared" si="84"/>
        <v>774</v>
      </c>
      <c r="G2440" s="5">
        <f t="shared" si="83"/>
        <v>0.99612403100775193</v>
      </c>
    </row>
    <row r="2441" spans="1:7" ht="13">
      <c r="A2441" s="4" t="s">
        <v>119</v>
      </c>
      <c r="B2441" s="1">
        <v>7.6</v>
      </c>
      <c r="C2441" s="1">
        <v>750</v>
      </c>
      <c r="D2441" s="1" t="s">
        <v>44</v>
      </c>
      <c r="E2441" s="1" t="s">
        <v>17</v>
      </c>
      <c r="F2441" s="1">
        <f t="shared" si="84"/>
        <v>760</v>
      </c>
      <c r="G2441" s="5">
        <f t="shared" si="83"/>
        <v>0.98684210526315785</v>
      </c>
    </row>
    <row r="2442" spans="1:7" ht="13">
      <c r="A2442" s="4" t="s">
        <v>119</v>
      </c>
      <c r="B2442" s="1">
        <v>5.88</v>
      </c>
      <c r="C2442" s="1">
        <v>485</v>
      </c>
      <c r="D2442" s="1" t="s">
        <v>39</v>
      </c>
      <c r="E2442" s="1" t="s">
        <v>19</v>
      </c>
      <c r="F2442" s="1">
        <f t="shared" si="84"/>
        <v>588</v>
      </c>
      <c r="G2442" s="5">
        <f t="shared" si="83"/>
        <v>0.82482993197278909</v>
      </c>
    </row>
    <row r="2443" spans="1:7" ht="13">
      <c r="A2443" s="4" t="s">
        <v>119</v>
      </c>
      <c r="B2443" s="1">
        <v>4.03</v>
      </c>
      <c r="C2443" s="1">
        <v>462</v>
      </c>
      <c r="D2443" s="1" t="s">
        <v>11</v>
      </c>
      <c r="E2443" s="1" t="s">
        <v>9</v>
      </c>
      <c r="F2443" s="1">
        <f t="shared" si="84"/>
        <v>403</v>
      </c>
      <c r="G2443" s="5">
        <f t="shared" si="83"/>
        <v>1.1464019851116625</v>
      </c>
    </row>
    <row r="2444" spans="1:7" ht="13">
      <c r="A2444" s="4" t="s">
        <v>119</v>
      </c>
      <c r="B2444" s="1">
        <v>8.33</v>
      </c>
      <c r="C2444" s="1">
        <v>764</v>
      </c>
      <c r="D2444" s="1" t="s">
        <v>47</v>
      </c>
      <c r="E2444" s="1" t="s">
        <v>7</v>
      </c>
      <c r="F2444" s="1">
        <f t="shared" si="84"/>
        <v>833</v>
      </c>
      <c r="G2444" s="5">
        <f t="shared" si="83"/>
        <v>0.91716686674669867</v>
      </c>
    </row>
    <row r="2445" spans="1:7" ht="13">
      <c r="A2445" s="4" t="s">
        <v>119</v>
      </c>
      <c r="B2445" s="1">
        <v>9.1999999999999993</v>
      </c>
      <c r="C2445" s="1">
        <v>817.84</v>
      </c>
      <c r="D2445" s="1" t="s">
        <v>33</v>
      </c>
      <c r="E2445" s="1" t="s">
        <v>20</v>
      </c>
      <c r="F2445" s="1">
        <f t="shared" si="84"/>
        <v>919.99999999999989</v>
      </c>
      <c r="G2445" s="5">
        <f t="shared" si="83"/>
        <v>0.88895652173913053</v>
      </c>
    </row>
    <row r="2446" spans="1:7" ht="13">
      <c r="A2446" s="4" t="s">
        <v>119</v>
      </c>
      <c r="B2446" s="1">
        <v>6.25</v>
      </c>
      <c r="C2446" s="1">
        <v>659</v>
      </c>
      <c r="D2446" s="1" t="s">
        <v>11</v>
      </c>
      <c r="E2446" s="1" t="s">
        <v>32</v>
      </c>
      <c r="F2446" s="1">
        <f t="shared" si="84"/>
        <v>625</v>
      </c>
      <c r="G2446" s="5">
        <f t="shared" si="83"/>
        <v>1.0544</v>
      </c>
    </row>
    <row r="2447" spans="1:7" ht="13">
      <c r="A2447" s="4" t="s">
        <v>119</v>
      </c>
      <c r="B2447" s="1">
        <v>5.92</v>
      </c>
      <c r="C2447" s="1">
        <v>615</v>
      </c>
      <c r="D2447" s="1" t="s">
        <v>11</v>
      </c>
      <c r="E2447" s="1" t="s">
        <v>17</v>
      </c>
      <c r="F2447" s="1">
        <f t="shared" si="84"/>
        <v>592</v>
      </c>
      <c r="G2447" s="5">
        <f t="shared" si="83"/>
        <v>1.0388513513513513</v>
      </c>
    </row>
    <row r="2448" spans="1:7" ht="13">
      <c r="A2448" s="4" t="s">
        <v>119</v>
      </c>
      <c r="B2448" s="1">
        <v>4.2</v>
      </c>
      <c r="C2448" s="1">
        <v>522.4</v>
      </c>
      <c r="D2448" s="1" t="s">
        <v>11</v>
      </c>
      <c r="E2448" s="1" t="s">
        <v>21</v>
      </c>
      <c r="F2448" s="1">
        <f t="shared" si="84"/>
        <v>420</v>
      </c>
      <c r="G2448" s="5">
        <f t="shared" si="83"/>
        <v>1.2438095238095237</v>
      </c>
    </row>
    <row r="2449" spans="1:7" ht="13">
      <c r="A2449" s="4" t="s">
        <v>119</v>
      </c>
      <c r="B2449" s="1">
        <v>8.6999999999999993</v>
      </c>
      <c r="C2449" s="1">
        <v>982</v>
      </c>
      <c r="D2449" s="1" t="s">
        <v>11</v>
      </c>
      <c r="E2449" s="1" t="s">
        <v>10</v>
      </c>
      <c r="F2449" s="1">
        <f t="shared" si="84"/>
        <v>869.99999999999989</v>
      </c>
      <c r="G2449" s="5">
        <f t="shared" si="83"/>
        <v>1.1287356321839082</v>
      </c>
    </row>
    <row r="2450" spans="1:7" ht="13">
      <c r="A2450" s="4" t="s">
        <v>119</v>
      </c>
      <c r="B2450" s="1">
        <v>9.89</v>
      </c>
      <c r="C2450" s="1">
        <v>947</v>
      </c>
      <c r="D2450" s="1" t="s">
        <v>33</v>
      </c>
      <c r="E2450" s="1" t="s">
        <v>21</v>
      </c>
      <c r="F2450" s="1">
        <f t="shared" si="84"/>
        <v>989</v>
      </c>
      <c r="G2450" s="5">
        <f t="shared" si="83"/>
        <v>0.95753286147623862</v>
      </c>
    </row>
    <row r="2451" spans="1:7" ht="13">
      <c r="A2451" s="4" t="s">
        <v>119</v>
      </c>
      <c r="B2451" s="1">
        <v>6.75</v>
      </c>
      <c r="C2451" s="1">
        <v>698</v>
      </c>
      <c r="D2451" s="1" t="s">
        <v>40</v>
      </c>
      <c r="E2451" s="1" t="s">
        <v>15</v>
      </c>
      <c r="F2451" s="1">
        <f t="shared" si="84"/>
        <v>675</v>
      </c>
      <c r="G2451" s="5">
        <f t="shared" si="83"/>
        <v>1.0340740740740741</v>
      </c>
    </row>
    <row r="2452" spans="1:7" ht="13">
      <c r="A2452" s="4" t="s">
        <v>119</v>
      </c>
      <c r="B2452" s="1">
        <v>5.0999999999999996</v>
      </c>
      <c r="C2452" s="1">
        <v>558</v>
      </c>
      <c r="D2452" s="1" t="s">
        <v>42</v>
      </c>
      <c r="E2452" s="1" t="s">
        <v>30</v>
      </c>
      <c r="F2452" s="1">
        <f t="shared" si="84"/>
        <v>509.99999999999994</v>
      </c>
      <c r="G2452" s="5">
        <f t="shared" si="83"/>
        <v>1.0941176470588236</v>
      </c>
    </row>
    <row r="2453" spans="1:7" ht="13">
      <c r="A2453" s="4" t="s">
        <v>119</v>
      </c>
      <c r="B2453" s="1">
        <v>5</v>
      </c>
      <c r="C2453" s="1">
        <v>660</v>
      </c>
      <c r="D2453" s="1" t="s">
        <v>33</v>
      </c>
      <c r="E2453" s="1" t="s">
        <v>32</v>
      </c>
      <c r="F2453" s="1">
        <f t="shared" si="84"/>
        <v>500</v>
      </c>
      <c r="G2453" s="5">
        <f t="shared" si="83"/>
        <v>1.32</v>
      </c>
    </row>
    <row r="2454" spans="1:7" ht="13">
      <c r="A2454" s="4" t="s">
        <v>119</v>
      </c>
      <c r="B2454" s="1">
        <v>7.4</v>
      </c>
      <c r="C2454" s="1">
        <v>667</v>
      </c>
      <c r="D2454" s="1" t="s">
        <v>55</v>
      </c>
      <c r="E2454" s="1" t="s">
        <v>17</v>
      </c>
      <c r="F2454" s="1">
        <f t="shared" si="84"/>
        <v>740</v>
      </c>
      <c r="G2454" s="5">
        <f t="shared" si="83"/>
        <v>0.90135135135135136</v>
      </c>
    </row>
    <row r="2455" spans="1:7" ht="13">
      <c r="A2455" s="4" t="s">
        <v>119</v>
      </c>
      <c r="B2455" s="1">
        <v>9</v>
      </c>
      <c r="C2455" s="1">
        <v>1016</v>
      </c>
      <c r="D2455" s="1" t="s">
        <v>11</v>
      </c>
      <c r="E2455" s="1" t="s">
        <v>16</v>
      </c>
      <c r="F2455" s="1">
        <f t="shared" si="84"/>
        <v>900</v>
      </c>
      <c r="G2455" s="5">
        <f t="shared" si="83"/>
        <v>1.1288888888888888</v>
      </c>
    </row>
    <row r="2456" spans="1:7" ht="13">
      <c r="A2456" s="4" t="s">
        <v>119</v>
      </c>
      <c r="B2456" s="1">
        <v>8</v>
      </c>
      <c r="C2456" s="1">
        <v>1000</v>
      </c>
      <c r="D2456" s="1" t="s">
        <v>11</v>
      </c>
      <c r="E2456" s="1" t="s">
        <v>20</v>
      </c>
      <c r="F2456" s="1">
        <f t="shared" si="84"/>
        <v>800</v>
      </c>
      <c r="G2456" s="5">
        <f t="shared" si="83"/>
        <v>1.25</v>
      </c>
    </row>
    <row r="2457" spans="1:7" ht="13">
      <c r="A2457" s="4" t="s">
        <v>119</v>
      </c>
      <c r="B2457" s="1">
        <v>5</v>
      </c>
      <c r="C2457" s="1">
        <v>543</v>
      </c>
      <c r="D2457" s="1" t="s">
        <v>67</v>
      </c>
      <c r="E2457" s="1" t="s">
        <v>8</v>
      </c>
      <c r="F2457" s="1">
        <f t="shared" si="84"/>
        <v>500</v>
      </c>
      <c r="G2457" s="5">
        <f t="shared" si="83"/>
        <v>1.0860000000000001</v>
      </c>
    </row>
    <row r="2458" spans="1:7" ht="13">
      <c r="A2458" s="4" t="s">
        <v>119</v>
      </c>
      <c r="B2458" s="1">
        <v>6</v>
      </c>
      <c r="C2458" s="1">
        <v>770</v>
      </c>
      <c r="D2458" s="1" t="s">
        <v>11</v>
      </c>
      <c r="E2458" s="1" t="s">
        <v>23</v>
      </c>
      <c r="F2458" s="1">
        <f t="shared" si="84"/>
        <v>600</v>
      </c>
      <c r="G2458" s="5">
        <f t="shared" si="83"/>
        <v>1.2833333333333334</v>
      </c>
    </row>
    <row r="2459" spans="1:7" ht="13">
      <c r="A2459" s="4" t="s">
        <v>119</v>
      </c>
      <c r="B2459" s="1">
        <v>6.3</v>
      </c>
      <c r="C2459" s="1">
        <v>694</v>
      </c>
      <c r="D2459" s="1" t="s">
        <v>11</v>
      </c>
      <c r="E2459" s="1" t="s">
        <v>12</v>
      </c>
      <c r="F2459" s="1">
        <f t="shared" si="84"/>
        <v>630</v>
      </c>
      <c r="G2459" s="5">
        <f t="shared" si="83"/>
        <v>1.1015873015873017</v>
      </c>
    </row>
    <row r="2460" spans="1:7" ht="13">
      <c r="A2460" s="4" t="s">
        <v>119</v>
      </c>
      <c r="B2460" s="1">
        <v>7.3</v>
      </c>
      <c r="C2460" s="1">
        <v>736</v>
      </c>
      <c r="D2460" s="1" t="s">
        <v>11</v>
      </c>
      <c r="E2460" s="1" t="s">
        <v>17</v>
      </c>
      <c r="F2460" s="1">
        <f t="shared" si="84"/>
        <v>730</v>
      </c>
      <c r="G2460" s="5">
        <f t="shared" si="83"/>
        <v>1.0082191780821919</v>
      </c>
    </row>
    <row r="2461" spans="1:7" ht="13">
      <c r="A2461" s="4" t="s">
        <v>119</v>
      </c>
      <c r="B2461" s="1">
        <v>12.04</v>
      </c>
      <c r="C2461" s="1">
        <v>1150</v>
      </c>
      <c r="D2461" s="1" t="s">
        <v>11</v>
      </c>
      <c r="E2461" s="1" t="s">
        <v>8</v>
      </c>
      <c r="F2461" s="1">
        <f t="shared" si="84"/>
        <v>1204</v>
      </c>
      <c r="G2461" s="5">
        <f t="shared" si="83"/>
        <v>0.95514950166112955</v>
      </c>
    </row>
    <row r="2462" spans="1:7" ht="13">
      <c r="A2462" s="4" t="s">
        <v>119</v>
      </c>
      <c r="B2462" s="1">
        <v>6.5250000000000004</v>
      </c>
      <c r="C2462" s="1">
        <v>653</v>
      </c>
      <c r="D2462" s="1" t="s">
        <v>43</v>
      </c>
      <c r="E2462" s="1" t="s">
        <v>22</v>
      </c>
      <c r="F2462" s="1">
        <f t="shared" si="84"/>
        <v>652.5</v>
      </c>
      <c r="G2462" s="5">
        <f t="shared" si="83"/>
        <v>1.0007662835249043</v>
      </c>
    </row>
    <row r="2463" spans="1:7" ht="13">
      <c r="A2463" s="4" t="s">
        <v>119</v>
      </c>
      <c r="B2463" s="1">
        <v>7.39</v>
      </c>
      <c r="C2463" s="1">
        <v>672</v>
      </c>
      <c r="D2463" s="1" t="s">
        <v>52</v>
      </c>
      <c r="E2463" s="1" t="s">
        <v>25</v>
      </c>
      <c r="F2463" s="1">
        <f t="shared" si="84"/>
        <v>739</v>
      </c>
      <c r="G2463" s="5">
        <f t="shared" si="83"/>
        <v>0.90933694181326119</v>
      </c>
    </row>
    <row r="2464" spans="1:7" ht="13">
      <c r="A2464" s="4" t="s">
        <v>119</v>
      </c>
      <c r="B2464" s="1">
        <v>56.4</v>
      </c>
      <c r="C2464" s="1">
        <v>545.70000000000005</v>
      </c>
      <c r="D2464" s="1" t="s">
        <v>35</v>
      </c>
      <c r="E2464" s="1" t="s">
        <v>18</v>
      </c>
      <c r="F2464" s="1">
        <f t="shared" si="84"/>
        <v>5640</v>
      </c>
      <c r="G2464" s="5">
        <f t="shared" si="83"/>
        <v>9.6755319148936175E-2</v>
      </c>
    </row>
    <row r="2465" spans="1:7" ht="13">
      <c r="A2465" s="4" t="s">
        <v>119</v>
      </c>
      <c r="B2465" s="1">
        <v>8.5500000000000007</v>
      </c>
      <c r="C2465" s="1">
        <v>8128</v>
      </c>
      <c r="D2465" s="1" t="s">
        <v>11</v>
      </c>
      <c r="E2465" s="1" t="s">
        <v>8</v>
      </c>
      <c r="F2465" s="1">
        <f t="shared" si="84"/>
        <v>855.00000000000011</v>
      </c>
      <c r="G2465" s="5">
        <f t="shared" si="83"/>
        <v>9.5064327485380105</v>
      </c>
    </row>
    <row r="2466" spans="1:7" ht="13">
      <c r="A2466" s="4" t="s">
        <v>119</v>
      </c>
      <c r="B2466" s="1">
        <v>8.4</v>
      </c>
      <c r="C2466" s="1">
        <v>796</v>
      </c>
      <c r="D2466" s="1" t="s">
        <v>33</v>
      </c>
      <c r="E2466" s="1" t="s">
        <v>25</v>
      </c>
      <c r="F2466" s="1">
        <f t="shared" si="84"/>
        <v>840</v>
      </c>
      <c r="G2466" s="5">
        <f t="shared" si="83"/>
        <v>0.94761904761904758</v>
      </c>
    </row>
    <row r="2467" spans="1:7" ht="13">
      <c r="A2467" s="4" t="s">
        <v>119</v>
      </c>
      <c r="B2467" s="1">
        <v>4.3499999999999996</v>
      </c>
      <c r="C2467" s="1">
        <v>580</v>
      </c>
      <c r="D2467" s="1" t="s">
        <v>38</v>
      </c>
      <c r="E2467" s="1" t="s">
        <v>9</v>
      </c>
      <c r="F2467" s="1">
        <f t="shared" si="84"/>
        <v>434.99999999999994</v>
      </c>
      <c r="G2467" s="5">
        <f t="shared" si="83"/>
        <v>1.3333333333333335</v>
      </c>
    </row>
    <row r="2468" spans="1:7" ht="13">
      <c r="A2468" s="4" t="s">
        <v>119</v>
      </c>
      <c r="B2468" s="1">
        <v>9.4600000000000009</v>
      </c>
      <c r="C2468" s="1">
        <v>738</v>
      </c>
      <c r="D2468" s="1" t="s">
        <v>52</v>
      </c>
      <c r="E2468" s="1" t="s">
        <v>18</v>
      </c>
      <c r="F2468" s="1">
        <f t="shared" si="84"/>
        <v>946.00000000000011</v>
      </c>
      <c r="G2468" s="5">
        <f t="shared" si="83"/>
        <v>0.78012684989429171</v>
      </c>
    </row>
    <row r="2469" spans="1:7" ht="13">
      <c r="A2469" s="4" t="s">
        <v>119</v>
      </c>
      <c r="B2469" s="1">
        <v>7.74</v>
      </c>
      <c r="C2469" s="1">
        <v>721</v>
      </c>
      <c r="D2469" s="1" t="s">
        <v>42</v>
      </c>
      <c r="E2469" s="1" t="s">
        <v>49</v>
      </c>
      <c r="F2469" s="1">
        <f t="shared" si="84"/>
        <v>774</v>
      </c>
      <c r="G2469" s="5">
        <f t="shared" si="83"/>
        <v>0.9315245478036176</v>
      </c>
    </row>
    <row r="2470" spans="1:7" ht="13">
      <c r="A2470" s="4" t="s">
        <v>119</v>
      </c>
      <c r="B2470" s="1">
        <v>4.5999999999999996</v>
      </c>
      <c r="C2470" s="1">
        <v>503</v>
      </c>
      <c r="D2470" s="1" t="s">
        <v>11</v>
      </c>
      <c r="E2470" s="1" t="s">
        <v>9</v>
      </c>
      <c r="F2470" s="1">
        <f t="shared" si="84"/>
        <v>459.99999999999994</v>
      </c>
      <c r="G2470" s="5">
        <f t="shared" si="83"/>
        <v>1.0934782608695655</v>
      </c>
    </row>
    <row r="2471" spans="1:7" ht="13">
      <c r="A2471" s="4" t="s">
        <v>119</v>
      </c>
      <c r="B2471" s="1">
        <v>9</v>
      </c>
      <c r="C2471" s="1">
        <v>840</v>
      </c>
      <c r="D2471" s="1" t="s">
        <v>33</v>
      </c>
      <c r="E2471" s="1" t="s">
        <v>30</v>
      </c>
      <c r="F2471" s="1">
        <f t="shared" si="84"/>
        <v>900</v>
      </c>
      <c r="G2471" s="5">
        <f t="shared" si="83"/>
        <v>0.93333333333333335</v>
      </c>
    </row>
    <row r="2472" spans="1:7" ht="13">
      <c r="A2472" s="4" t="s">
        <v>119</v>
      </c>
      <c r="B2472" s="1">
        <v>8.75</v>
      </c>
      <c r="C2472" s="1">
        <v>884</v>
      </c>
      <c r="D2472" s="1" t="s">
        <v>47</v>
      </c>
      <c r="E2472" s="1" t="s">
        <v>31</v>
      </c>
      <c r="F2472" s="1">
        <f t="shared" si="84"/>
        <v>875</v>
      </c>
      <c r="G2472" s="5">
        <f t="shared" si="83"/>
        <v>1.0102857142857142</v>
      </c>
    </row>
    <row r="2473" spans="1:7" ht="13">
      <c r="A2473" s="4" t="s">
        <v>119</v>
      </c>
      <c r="B2473" s="1">
        <v>6.88</v>
      </c>
      <c r="C2473" s="1">
        <v>625</v>
      </c>
      <c r="D2473" s="1" t="s">
        <v>45</v>
      </c>
      <c r="E2473" s="1" t="s">
        <v>10</v>
      </c>
      <c r="F2473" s="1">
        <f t="shared" si="84"/>
        <v>688</v>
      </c>
      <c r="G2473" s="5">
        <f t="shared" si="83"/>
        <v>0.90843023255813948</v>
      </c>
    </row>
    <row r="2474" spans="1:7" ht="13">
      <c r="A2474" s="4" t="s">
        <v>119</v>
      </c>
      <c r="B2474" s="1">
        <v>5.4</v>
      </c>
      <c r="C2474" s="1">
        <v>500</v>
      </c>
      <c r="D2474" s="1" t="s">
        <v>33</v>
      </c>
      <c r="E2474" s="1" t="s">
        <v>22</v>
      </c>
      <c r="F2474" s="1">
        <f t="shared" si="84"/>
        <v>540</v>
      </c>
      <c r="G2474" s="5">
        <f t="shared" si="83"/>
        <v>0.92592592592592593</v>
      </c>
    </row>
    <row r="2475" spans="1:7" ht="13">
      <c r="A2475" s="4" t="s">
        <v>119</v>
      </c>
      <c r="B2475" s="1">
        <v>5.22</v>
      </c>
      <c r="C2475" s="1">
        <v>450</v>
      </c>
      <c r="D2475" s="1" t="s">
        <v>80</v>
      </c>
      <c r="E2475" s="1" t="s">
        <v>8</v>
      </c>
      <c r="F2475" s="1">
        <f t="shared" si="84"/>
        <v>522</v>
      </c>
      <c r="G2475" s="5">
        <f t="shared" si="83"/>
        <v>0.86206896551724133</v>
      </c>
    </row>
    <row r="2476" spans="1:7" ht="13">
      <c r="A2476" s="4" t="s">
        <v>119</v>
      </c>
      <c r="B2476" s="1">
        <v>5.4</v>
      </c>
      <c r="C2476" s="1">
        <v>544</v>
      </c>
      <c r="D2476" s="1" t="s">
        <v>35</v>
      </c>
      <c r="E2476" s="1" t="s">
        <v>8</v>
      </c>
      <c r="F2476" s="1">
        <f t="shared" si="84"/>
        <v>540</v>
      </c>
      <c r="G2476" s="5">
        <f t="shared" si="83"/>
        <v>1.0074074074074073</v>
      </c>
    </row>
    <row r="2477" spans="1:7" ht="13">
      <c r="A2477" s="4" t="s">
        <v>119</v>
      </c>
      <c r="B2477" s="1">
        <v>4.7300000000000004</v>
      </c>
      <c r="C2477" s="1">
        <v>440</v>
      </c>
      <c r="D2477" s="1" t="s">
        <v>11</v>
      </c>
      <c r="E2477" s="1" t="s">
        <v>22</v>
      </c>
      <c r="F2477" s="1">
        <f t="shared" si="84"/>
        <v>473.00000000000006</v>
      </c>
      <c r="G2477" s="5">
        <f t="shared" si="83"/>
        <v>0.93023255813953476</v>
      </c>
    </row>
    <row r="2478" spans="1:7" ht="13">
      <c r="A2478" s="4" t="s">
        <v>119</v>
      </c>
      <c r="B2478" s="1">
        <v>5</v>
      </c>
      <c r="C2478" s="1">
        <v>624</v>
      </c>
      <c r="D2478" s="1" t="s">
        <v>11</v>
      </c>
      <c r="E2478" s="1" t="s">
        <v>15</v>
      </c>
      <c r="F2478" s="1">
        <f t="shared" si="84"/>
        <v>500</v>
      </c>
      <c r="G2478" s="5">
        <f t="shared" si="83"/>
        <v>1.248</v>
      </c>
    </row>
    <row r="2479" spans="1:7" ht="13">
      <c r="A2479" s="4" t="s">
        <v>119</v>
      </c>
      <c r="B2479" s="1">
        <v>4.5</v>
      </c>
      <c r="C2479" s="1">
        <v>417</v>
      </c>
      <c r="D2479" s="1" t="s">
        <v>11</v>
      </c>
      <c r="E2479" s="1" t="s">
        <v>16</v>
      </c>
      <c r="F2479" s="1">
        <f t="shared" si="84"/>
        <v>450</v>
      </c>
      <c r="G2479" s="5">
        <f t="shared" si="83"/>
        <v>0.92666666666666664</v>
      </c>
    </row>
    <row r="2480" spans="1:7" ht="13">
      <c r="A2480" s="4" t="s">
        <v>119</v>
      </c>
      <c r="B2480" s="1">
        <v>3.4</v>
      </c>
      <c r="C2480" s="1">
        <v>401.5</v>
      </c>
      <c r="D2480" s="1" t="s">
        <v>43</v>
      </c>
      <c r="E2480" s="1" t="s">
        <v>22</v>
      </c>
      <c r="F2480" s="1">
        <f t="shared" si="84"/>
        <v>340</v>
      </c>
      <c r="G2480" s="5">
        <f t="shared" si="83"/>
        <v>1.1808823529411765</v>
      </c>
    </row>
    <row r="2481" spans="1:9" ht="13">
      <c r="A2481" s="4" t="s">
        <v>119</v>
      </c>
      <c r="B2481" s="1">
        <v>4.0999999999999996</v>
      </c>
      <c r="C2481" s="1">
        <v>483</v>
      </c>
      <c r="D2481" s="1" t="s">
        <v>38</v>
      </c>
      <c r="E2481" s="1" t="s">
        <v>16</v>
      </c>
      <c r="F2481" s="1">
        <f t="shared" si="84"/>
        <v>409.99999999999994</v>
      </c>
      <c r="G2481" s="5">
        <f t="shared" si="83"/>
        <v>1.178048780487805</v>
      </c>
    </row>
    <row r="2482" spans="1:9" ht="13">
      <c r="A2482" s="4" t="s">
        <v>119</v>
      </c>
      <c r="B2482" s="1">
        <v>3.68</v>
      </c>
      <c r="C2482" s="1">
        <v>480</v>
      </c>
      <c r="D2482" s="1" t="s">
        <v>11</v>
      </c>
      <c r="E2482" s="1" t="s">
        <v>26</v>
      </c>
      <c r="F2482" s="1">
        <f t="shared" si="84"/>
        <v>368</v>
      </c>
      <c r="G2482" s="5">
        <f t="shared" si="83"/>
        <v>1.3043478260869565</v>
      </c>
    </row>
    <row r="2483" spans="1:9" ht="13">
      <c r="A2483" s="4" t="s">
        <v>119</v>
      </c>
      <c r="B2483" s="1">
        <v>7.92</v>
      </c>
      <c r="C2483" s="1">
        <v>774</v>
      </c>
      <c r="D2483" s="1" t="s">
        <v>53</v>
      </c>
      <c r="E2483" s="1" t="s">
        <v>16</v>
      </c>
      <c r="F2483" s="1">
        <f t="shared" si="84"/>
        <v>792</v>
      </c>
      <c r="G2483" s="5">
        <f t="shared" si="83"/>
        <v>0.97727272727272729</v>
      </c>
    </row>
    <row r="2484" spans="1:9" ht="13">
      <c r="A2484" s="4" t="s">
        <v>119</v>
      </c>
      <c r="B2484" s="1">
        <v>7.9</v>
      </c>
      <c r="C2484" s="1">
        <v>790</v>
      </c>
      <c r="D2484" s="1" t="s">
        <v>11</v>
      </c>
      <c r="E2484" s="1" t="s">
        <v>27</v>
      </c>
      <c r="F2484" s="1">
        <f t="shared" si="84"/>
        <v>790</v>
      </c>
      <c r="G2484" s="5">
        <f t="shared" si="83"/>
        <v>1</v>
      </c>
    </row>
    <row r="2485" spans="1:9" ht="13">
      <c r="A2485" s="4" t="s">
        <v>119</v>
      </c>
      <c r="B2485" s="1">
        <v>5.16</v>
      </c>
      <c r="C2485" s="1">
        <v>553</v>
      </c>
      <c r="D2485" s="1" t="s">
        <v>48</v>
      </c>
      <c r="E2485" s="1" t="s">
        <v>30</v>
      </c>
      <c r="F2485" s="1">
        <f t="shared" si="84"/>
        <v>516</v>
      </c>
      <c r="G2485" s="5">
        <f t="shared" si="83"/>
        <v>1.0717054263565891</v>
      </c>
    </row>
    <row r="2486" spans="1:9" ht="13">
      <c r="A2486" s="4" t="s">
        <v>119</v>
      </c>
      <c r="B2486" s="1">
        <v>4.9000000000000004</v>
      </c>
      <c r="C2486" s="1">
        <v>553</v>
      </c>
      <c r="D2486" s="1" t="s">
        <v>48</v>
      </c>
      <c r="E2486" s="1" t="s">
        <v>15</v>
      </c>
      <c r="F2486" s="1">
        <f t="shared" si="84"/>
        <v>490.00000000000006</v>
      </c>
      <c r="G2486" s="5">
        <f t="shared" si="83"/>
        <v>1.1285714285714283</v>
      </c>
    </row>
    <row r="2487" spans="1:9" ht="13">
      <c r="A2487" s="4" t="s">
        <v>119</v>
      </c>
      <c r="B2487" s="1">
        <v>5.9</v>
      </c>
      <c r="C2487" s="1">
        <v>651</v>
      </c>
      <c r="D2487" s="1" t="s">
        <v>11</v>
      </c>
      <c r="E2487" s="1" t="s">
        <v>68</v>
      </c>
      <c r="F2487" s="1">
        <f t="shared" si="84"/>
        <v>590</v>
      </c>
      <c r="G2487" s="5">
        <f t="shared" si="83"/>
        <v>1.1033898305084746</v>
      </c>
    </row>
    <row r="2488" spans="1:9" ht="17">
      <c r="A2488" s="4" t="s">
        <v>119</v>
      </c>
      <c r="B2488" s="1">
        <v>4.62</v>
      </c>
      <c r="C2488" s="1">
        <v>495</v>
      </c>
      <c r="D2488" s="1" t="s">
        <v>11</v>
      </c>
      <c r="E2488" s="1" t="s">
        <v>15</v>
      </c>
      <c r="F2488" s="1">
        <f t="shared" si="84"/>
        <v>462</v>
      </c>
      <c r="G2488" s="5">
        <f t="shared" si="83"/>
        <v>1.0714285714285714</v>
      </c>
      <c r="I2488" s="6"/>
    </row>
    <row r="2489" spans="1:9" ht="13">
      <c r="A2489" s="4" t="s">
        <v>119</v>
      </c>
      <c r="B2489" s="1">
        <v>6.7</v>
      </c>
      <c r="C2489" s="1">
        <v>720</v>
      </c>
      <c r="D2489" s="1" t="s">
        <v>11</v>
      </c>
      <c r="E2489" s="1" t="s">
        <v>16</v>
      </c>
      <c r="F2489" s="1">
        <f t="shared" si="84"/>
        <v>670</v>
      </c>
      <c r="G2489" s="5">
        <f t="shared" si="83"/>
        <v>1.0746268656716418</v>
      </c>
    </row>
    <row r="2490" spans="1:9" ht="13">
      <c r="A2490" s="4" t="s">
        <v>119</v>
      </c>
      <c r="B2490" s="1">
        <v>7.39</v>
      </c>
      <c r="C2490" s="1">
        <v>717</v>
      </c>
      <c r="D2490" s="1" t="s">
        <v>39</v>
      </c>
      <c r="E2490" s="1" t="s">
        <v>21</v>
      </c>
      <c r="F2490" s="1">
        <f t="shared" si="84"/>
        <v>739</v>
      </c>
      <c r="G2490" s="5">
        <f t="shared" si="83"/>
        <v>0.97023004059539919</v>
      </c>
    </row>
    <row r="2491" spans="1:9" ht="13">
      <c r="A2491" s="4" t="s">
        <v>119</v>
      </c>
      <c r="B2491" s="1">
        <v>6.6</v>
      </c>
      <c r="C2491" s="1">
        <v>701</v>
      </c>
      <c r="D2491" s="1" t="s">
        <v>53</v>
      </c>
      <c r="E2491" s="1" t="s">
        <v>17</v>
      </c>
      <c r="F2491" s="1">
        <f t="shared" si="84"/>
        <v>660</v>
      </c>
      <c r="G2491" s="5">
        <f t="shared" si="83"/>
        <v>1.062121212121212</v>
      </c>
    </row>
    <row r="2492" spans="1:9" ht="13">
      <c r="A2492" s="4" t="s">
        <v>119</v>
      </c>
      <c r="B2492" s="1">
        <v>4.78</v>
      </c>
      <c r="C2492" s="1">
        <v>526</v>
      </c>
      <c r="D2492" s="1" t="s">
        <v>39</v>
      </c>
      <c r="E2492" s="1" t="s">
        <v>9</v>
      </c>
      <c r="F2492" s="1">
        <f t="shared" si="84"/>
        <v>478</v>
      </c>
      <c r="G2492" s="5">
        <f t="shared" si="83"/>
        <v>1.100418410041841</v>
      </c>
    </row>
    <row r="2493" spans="1:9" ht="13">
      <c r="A2493" s="4" t="s">
        <v>119</v>
      </c>
      <c r="B2493" s="1">
        <v>6.96</v>
      </c>
      <c r="C2493" s="1">
        <v>734</v>
      </c>
      <c r="D2493" s="1" t="s">
        <v>38</v>
      </c>
      <c r="E2493" s="1" t="s">
        <v>16</v>
      </c>
      <c r="F2493" s="1">
        <f t="shared" si="84"/>
        <v>696</v>
      </c>
      <c r="G2493" s="5">
        <f t="shared" si="83"/>
        <v>1.0545977011494252</v>
      </c>
    </row>
    <row r="2494" spans="1:9" ht="13">
      <c r="A2494" s="4" t="s">
        <v>119</v>
      </c>
      <c r="B2494" s="1">
        <v>5</v>
      </c>
      <c r="C2494" s="1">
        <v>652</v>
      </c>
      <c r="D2494" s="1" t="s">
        <v>43</v>
      </c>
      <c r="E2494" s="1" t="s">
        <v>15</v>
      </c>
      <c r="F2494" s="1">
        <f t="shared" si="84"/>
        <v>500</v>
      </c>
      <c r="G2494" s="5">
        <f t="shared" si="83"/>
        <v>1.304</v>
      </c>
    </row>
    <row r="2495" spans="1:9" ht="13">
      <c r="A2495" s="4" t="s">
        <v>119</v>
      </c>
      <c r="B2495" s="1">
        <v>5.25</v>
      </c>
      <c r="C2495" s="1">
        <v>595</v>
      </c>
      <c r="D2495" s="1" t="s">
        <v>11</v>
      </c>
      <c r="E2495" s="1" t="s">
        <v>16</v>
      </c>
      <c r="F2495" s="1">
        <f t="shared" si="84"/>
        <v>525</v>
      </c>
      <c r="G2495" s="5">
        <f t="shared" si="83"/>
        <v>1.1333333333333333</v>
      </c>
    </row>
    <row r="2496" spans="1:9" ht="13">
      <c r="A2496" s="4" t="s">
        <v>119</v>
      </c>
      <c r="B2496" s="1">
        <v>7.74</v>
      </c>
      <c r="C2496" s="1">
        <v>852</v>
      </c>
      <c r="D2496" s="1" t="s">
        <v>11</v>
      </c>
      <c r="E2496" s="1" t="s">
        <v>29</v>
      </c>
      <c r="F2496" s="1">
        <f t="shared" si="84"/>
        <v>774</v>
      </c>
      <c r="G2496" s="5">
        <f t="shared" si="83"/>
        <v>1.1007751937984496</v>
      </c>
    </row>
    <row r="2497" spans="1:7" ht="13">
      <c r="A2497" s="4" t="s">
        <v>119</v>
      </c>
      <c r="B2497" s="1">
        <v>7.3</v>
      </c>
      <c r="C2497" s="1">
        <v>628</v>
      </c>
      <c r="D2497" s="1" t="s">
        <v>55</v>
      </c>
      <c r="E2497" s="1" t="s">
        <v>31</v>
      </c>
      <c r="F2497" s="1">
        <f t="shared" si="84"/>
        <v>730</v>
      </c>
      <c r="G2497" s="5">
        <f t="shared" si="83"/>
        <v>0.86027397260273974</v>
      </c>
    </row>
    <row r="2498" spans="1:7" ht="13">
      <c r="A2498" s="4" t="s">
        <v>119</v>
      </c>
      <c r="B2498" s="1">
        <v>6.72</v>
      </c>
      <c r="C2498" s="1">
        <v>789</v>
      </c>
      <c r="D2498" s="1" t="s">
        <v>11</v>
      </c>
      <c r="E2498" s="1" t="s">
        <v>15</v>
      </c>
      <c r="F2498" s="1">
        <f t="shared" si="84"/>
        <v>672</v>
      </c>
      <c r="G2498" s="5">
        <f t="shared" ref="G2498:G2561" si="85">C2498/F2498</f>
        <v>1.1741071428571428</v>
      </c>
    </row>
    <row r="2499" spans="1:7" ht="13">
      <c r="A2499" s="4" t="s">
        <v>119</v>
      </c>
      <c r="B2499" s="1">
        <v>6.1</v>
      </c>
      <c r="C2499" s="1">
        <v>621</v>
      </c>
      <c r="D2499" s="1" t="s">
        <v>11</v>
      </c>
      <c r="E2499" s="1" t="s">
        <v>17</v>
      </c>
      <c r="F2499" s="1">
        <f t="shared" ref="F2499:F2562" si="86">B2499*100</f>
        <v>610</v>
      </c>
      <c r="G2499" s="5">
        <f t="shared" si="85"/>
        <v>1.0180327868852459</v>
      </c>
    </row>
    <row r="2500" spans="1:7" ht="13">
      <c r="A2500" s="4" t="s">
        <v>119</v>
      </c>
      <c r="B2500" s="1">
        <v>4.5</v>
      </c>
      <c r="C2500" s="1">
        <v>431.5</v>
      </c>
      <c r="D2500" s="1" t="s">
        <v>33</v>
      </c>
      <c r="E2500" s="1" t="s">
        <v>17</v>
      </c>
      <c r="F2500" s="1">
        <f t="shared" si="86"/>
        <v>450</v>
      </c>
      <c r="G2500" s="5">
        <f t="shared" si="85"/>
        <v>0.9588888888888889</v>
      </c>
    </row>
    <row r="2501" spans="1:7" ht="13">
      <c r="A2501" s="4" t="s">
        <v>119</v>
      </c>
      <c r="B2501" s="1">
        <v>9.35</v>
      </c>
      <c r="C2501" s="1">
        <v>739</v>
      </c>
      <c r="D2501" s="1" t="s">
        <v>33</v>
      </c>
      <c r="E2501" s="1" t="s">
        <v>18</v>
      </c>
      <c r="F2501" s="1">
        <f t="shared" si="86"/>
        <v>935</v>
      </c>
      <c r="G2501" s="5">
        <f t="shared" si="85"/>
        <v>0.79037433155080217</v>
      </c>
    </row>
    <row r="2502" spans="1:7" ht="13">
      <c r="A2502" s="4" t="s">
        <v>119</v>
      </c>
      <c r="B2502" s="1">
        <v>7.56</v>
      </c>
      <c r="C2502" s="1">
        <v>843</v>
      </c>
      <c r="D2502" s="1" t="s">
        <v>11</v>
      </c>
      <c r="E2502" s="1" t="s">
        <v>7</v>
      </c>
      <c r="F2502" s="1">
        <f t="shared" si="86"/>
        <v>756</v>
      </c>
      <c r="G2502" s="5">
        <f t="shared" si="85"/>
        <v>1.1150793650793651</v>
      </c>
    </row>
    <row r="2503" spans="1:7" ht="13">
      <c r="A2503" s="4" t="s">
        <v>119</v>
      </c>
      <c r="B2503" s="1">
        <v>6.88</v>
      </c>
      <c r="C2503" s="1">
        <v>668.17</v>
      </c>
      <c r="D2503" s="1" t="s">
        <v>33</v>
      </c>
      <c r="E2503" s="1" t="s">
        <v>20</v>
      </c>
      <c r="F2503" s="1">
        <f t="shared" si="86"/>
        <v>688</v>
      </c>
      <c r="G2503" s="5">
        <f t="shared" si="85"/>
        <v>0.97117732558139525</v>
      </c>
    </row>
    <row r="2504" spans="1:7" ht="13">
      <c r="A2504" s="4" t="s">
        <v>119</v>
      </c>
      <c r="B2504" s="1">
        <v>9.6</v>
      </c>
      <c r="C2504" s="1">
        <v>905.29</v>
      </c>
      <c r="D2504" s="1" t="s">
        <v>11</v>
      </c>
      <c r="E2504" s="1" t="s">
        <v>21</v>
      </c>
      <c r="F2504" s="1">
        <f t="shared" si="86"/>
        <v>960</v>
      </c>
      <c r="G2504" s="5">
        <f t="shared" si="85"/>
        <v>0.94301041666666663</v>
      </c>
    </row>
    <row r="2505" spans="1:7" ht="13">
      <c r="A2505" s="4" t="s">
        <v>119</v>
      </c>
      <c r="B2505" s="1">
        <v>6.72</v>
      </c>
      <c r="C2505" s="1">
        <v>563</v>
      </c>
      <c r="D2505" s="1" t="s">
        <v>11</v>
      </c>
      <c r="E2505" s="1" t="s">
        <v>25</v>
      </c>
      <c r="F2505" s="1">
        <f t="shared" si="86"/>
        <v>672</v>
      </c>
      <c r="G2505" s="5">
        <f t="shared" si="85"/>
        <v>0.83779761904761907</v>
      </c>
    </row>
    <row r="2506" spans="1:7" ht="13">
      <c r="A2506" s="4" t="s">
        <v>119</v>
      </c>
      <c r="B2506" s="1">
        <v>3.44</v>
      </c>
      <c r="C2506" s="1">
        <v>378</v>
      </c>
      <c r="D2506" s="1" t="s">
        <v>11</v>
      </c>
      <c r="E2506" s="1" t="s">
        <v>9</v>
      </c>
      <c r="F2506" s="1">
        <f t="shared" si="86"/>
        <v>344</v>
      </c>
      <c r="G2506" s="5">
        <f t="shared" si="85"/>
        <v>1.0988372093023255</v>
      </c>
    </row>
    <row r="2507" spans="1:7" ht="13">
      <c r="A2507" s="4" t="s">
        <v>119</v>
      </c>
      <c r="B2507" s="1">
        <v>7.8</v>
      </c>
      <c r="C2507" s="1">
        <v>801</v>
      </c>
      <c r="D2507" s="1" t="s">
        <v>11</v>
      </c>
      <c r="E2507" s="1" t="s">
        <v>30</v>
      </c>
      <c r="F2507" s="1">
        <f t="shared" si="86"/>
        <v>780</v>
      </c>
      <c r="G2507" s="5">
        <f t="shared" si="85"/>
        <v>1.0269230769230768</v>
      </c>
    </row>
    <row r="2508" spans="1:7" ht="13">
      <c r="A2508" s="4" t="s">
        <v>119</v>
      </c>
      <c r="B2508" s="1">
        <v>6.8</v>
      </c>
      <c r="C2508" s="1">
        <v>799</v>
      </c>
      <c r="D2508" s="1" t="s">
        <v>11</v>
      </c>
      <c r="E2508" s="1" t="s">
        <v>23</v>
      </c>
      <c r="F2508" s="1">
        <f t="shared" si="86"/>
        <v>680</v>
      </c>
      <c r="G2508" s="5">
        <f t="shared" si="85"/>
        <v>1.175</v>
      </c>
    </row>
    <row r="2509" spans="1:7" ht="13">
      <c r="A2509" s="4" t="s">
        <v>119</v>
      </c>
      <c r="B2509" s="1">
        <v>5.12</v>
      </c>
      <c r="C2509" s="1">
        <v>546</v>
      </c>
      <c r="D2509" s="1" t="s">
        <v>11</v>
      </c>
      <c r="E2509" s="1" t="s">
        <v>16</v>
      </c>
      <c r="F2509" s="1">
        <f t="shared" si="86"/>
        <v>512</v>
      </c>
      <c r="G2509" s="5">
        <f t="shared" si="85"/>
        <v>1.06640625</v>
      </c>
    </row>
    <row r="2510" spans="1:7" ht="13">
      <c r="A2510" s="4" t="s">
        <v>119</v>
      </c>
      <c r="B2510" s="1">
        <v>7.74</v>
      </c>
      <c r="C2510" s="1">
        <v>768</v>
      </c>
      <c r="D2510" s="1" t="s">
        <v>33</v>
      </c>
      <c r="E2510" s="1" t="s">
        <v>16</v>
      </c>
      <c r="F2510" s="1">
        <f t="shared" si="86"/>
        <v>774</v>
      </c>
      <c r="G2510" s="5">
        <f t="shared" si="85"/>
        <v>0.99224806201550386</v>
      </c>
    </row>
    <row r="2511" spans="1:7" ht="13">
      <c r="A2511" s="4" t="s">
        <v>119</v>
      </c>
      <c r="B2511" s="1">
        <v>18.3</v>
      </c>
      <c r="C2511" s="1">
        <v>590</v>
      </c>
      <c r="D2511" s="1" t="s">
        <v>44</v>
      </c>
      <c r="E2511" s="1" t="s">
        <v>22</v>
      </c>
      <c r="F2511" s="1">
        <f t="shared" si="86"/>
        <v>1830</v>
      </c>
      <c r="G2511" s="5">
        <f t="shared" si="85"/>
        <v>0.32240437158469948</v>
      </c>
    </row>
    <row r="2512" spans="1:7" ht="13">
      <c r="A2512" s="4" t="s">
        <v>119</v>
      </c>
      <c r="B2512" s="1">
        <v>6</v>
      </c>
      <c r="C2512" s="1">
        <v>26</v>
      </c>
      <c r="D2512" s="1" t="s">
        <v>43</v>
      </c>
      <c r="E2512" s="1" t="s">
        <v>49</v>
      </c>
      <c r="F2512" s="1">
        <f t="shared" si="86"/>
        <v>600</v>
      </c>
      <c r="G2512" s="5">
        <f t="shared" si="85"/>
        <v>4.3333333333333335E-2</v>
      </c>
    </row>
    <row r="2513" spans="1:7" ht="13">
      <c r="A2513" s="4" t="s">
        <v>119</v>
      </c>
      <c r="B2513" s="1">
        <v>8.6999999999999993</v>
      </c>
      <c r="C2513" s="1">
        <v>874</v>
      </c>
      <c r="D2513" s="1" t="s">
        <v>45</v>
      </c>
      <c r="E2513" s="1" t="s">
        <v>20</v>
      </c>
      <c r="F2513" s="1">
        <f t="shared" si="86"/>
        <v>869.99999999999989</v>
      </c>
      <c r="G2513" s="5">
        <f t="shared" si="85"/>
        <v>1.0045977011494254</v>
      </c>
    </row>
    <row r="2514" spans="1:7" ht="13">
      <c r="A2514" s="4" t="s">
        <v>119</v>
      </c>
      <c r="B2514" s="1">
        <v>6.09</v>
      </c>
      <c r="C2514" s="1">
        <v>665</v>
      </c>
      <c r="D2514" s="1" t="s">
        <v>44</v>
      </c>
      <c r="E2514" s="1" t="s">
        <v>20</v>
      </c>
      <c r="F2514" s="1">
        <f t="shared" si="86"/>
        <v>609</v>
      </c>
      <c r="G2514" s="5">
        <f t="shared" si="85"/>
        <v>1.0919540229885059</v>
      </c>
    </row>
    <row r="2515" spans="1:7" ht="13">
      <c r="A2515" s="4" t="s">
        <v>119</v>
      </c>
      <c r="B2515" s="1">
        <v>6.5</v>
      </c>
      <c r="C2515" s="1">
        <v>623</v>
      </c>
      <c r="D2515" s="1" t="s">
        <v>45</v>
      </c>
      <c r="E2515" s="1" t="s">
        <v>20</v>
      </c>
      <c r="F2515" s="1">
        <f t="shared" si="86"/>
        <v>650</v>
      </c>
      <c r="G2515" s="5">
        <f t="shared" si="85"/>
        <v>0.95846153846153848</v>
      </c>
    </row>
    <row r="2516" spans="1:7" ht="13">
      <c r="A2516" s="4" t="s">
        <v>119</v>
      </c>
      <c r="B2516" s="1">
        <v>20</v>
      </c>
      <c r="C2516" s="1">
        <v>1690</v>
      </c>
      <c r="D2516" s="1" t="s">
        <v>33</v>
      </c>
      <c r="E2516" s="1" t="s">
        <v>20</v>
      </c>
      <c r="F2516" s="1">
        <f t="shared" si="86"/>
        <v>2000</v>
      </c>
      <c r="G2516" s="5">
        <f t="shared" si="85"/>
        <v>0.84499999999999997</v>
      </c>
    </row>
    <row r="2517" spans="1:7" ht="13">
      <c r="A2517" s="4" t="s">
        <v>119</v>
      </c>
      <c r="B2517" s="1">
        <v>3</v>
      </c>
      <c r="C2517" s="1">
        <v>328</v>
      </c>
      <c r="D2517" s="1" t="s">
        <v>11</v>
      </c>
      <c r="E2517" s="1" t="s">
        <v>15</v>
      </c>
      <c r="F2517" s="1">
        <f t="shared" si="86"/>
        <v>300</v>
      </c>
      <c r="G2517" s="5">
        <f t="shared" si="85"/>
        <v>1.0933333333333333</v>
      </c>
    </row>
    <row r="2518" spans="1:7" ht="13">
      <c r="A2518" s="4" t="s">
        <v>119</v>
      </c>
      <c r="B2518" s="1">
        <v>6.1</v>
      </c>
      <c r="C2518" s="1">
        <v>588</v>
      </c>
      <c r="D2518" s="1" t="s">
        <v>48</v>
      </c>
      <c r="E2518" s="1" t="s">
        <v>23</v>
      </c>
      <c r="F2518" s="1">
        <f t="shared" si="86"/>
        <v>610</v>
      </c>
      <c r="G2518" s="5">
        <f t="shared" si="85"/>
        <v>0.9639344262295082</v>
      </c>
    </row>
    <row r="2519" spans="1:7" ht="13">
      <c r="A2519" s="4" t="s">
        <v>119</v>
      </c>
      <c r="B2519" s="1">
        <v>6.8</v>
      </c>
      <c r="C2519" s="1">
        <v>776</v>
      </c>
      <c r="D2519" s="1" t="s">
        <v>44</v>
      </c>
      <c r="E2519" s="1" t="s">
        <v>26</v>
      </c>
      <c r="F2519" s="1">
        <f t="shared" si="86"/>
        <v>680</v>
      </c>
      <c r="G2519" s="5">
        <f t="shared" si="85"/>
        <v>1.1411764705882352</v>
      </c>
    </row>
    <row r="2520" spans="1:7" ht="13">
      <c r="A2520" s="4" t="s">
        <v>119</v>
      </c>
      <c r="B2520" s="1">
        <v>7.56</v>
      </c>
      <c r="C2520" s="1">
        <v>924</v>
      </c>
      <c r="D2520" s="1" t="s">
        <v>11</v>
      </c>
      <c r="E2520" s="1" t="s">
        <v>9</v>
      </c>
      <c r="F2520" s="1">
        <f t="shared" si="86"/>
        <v>756</v>
      </c>
      <c r="G2520" s="5">
        <f t="shared" si="85"/>
        <v>1.2222222222222223</v>
      </c>
    </row>
    <row r="2521" spans="1:7" ht="13">
      <c r="A2521" s="4" t="s">
        <v>119</v>
      </c>
      <c r="B2521" s="1">
        <v>6.88</v>
      </c>
      <c r="C2521" s="1">
        <v>722</v>
      </c>
      <c r="D2521" s="1" t="s">
        <v>11</v>
      </c>
      <c r="E2521" s="1" t="s">
        <v>25</v>
      </c>
      <c r="F2521" s="1">
        <f t="shared" si="86"/>
        <v>688</v>
      </c>
      <c r="G2521" s="5">
        <f t="shared" si="85"/>
        <v>1.0494186046511629</v>
      </c>
    </row>
    <row r="2522" spans="1:7" ht="13">
      <c r="A2522" s="4" t="s">
        <v>119</v>
      </c>
      <c r="B2522" s="1">
        <v>5.6</v>
      </c>
      <c r="C2522" s="1">
        <v>874</v>
      </c>
      <c r="D2522" s="1" t="s">
        <v>11</v>
      </c>
      <c r="E2522" s="1" t="s">
        <v>24</v>
      </c>
      <c r="F2522" s="1">
        <f t="shared" si="86"/>
        <v>560</v>
      </c>
      <c r="G2522" s="5">
        <f t="shared" si="85"/>
        <v>1.5607142857142857</v>
      </c>
    </row>
    <row r="2523" spans="1:7" ht="13">
      <c r="A2523" s="4" t="s">
        <v>119</v>
      </c>
      <c r="B2523" s="1">
        <v>6</v>
      </c>
      <c r="C2523" s="1">
        <v>640</v>
      </c>
      <c r="D2523" s="1" t="s">
        <v>55</v>
      </c>
      <c r="E2523" s="1" t="s">
        <v>15</v>
      </c>
      <c r="F2523" s="1">
        <f t="shared" si="86"/>
        <v>600</v>
      </c>
      <c r="G2523" s="5">
        <f t="shared" si="85"/>
        <v>1.0666666666666667</v>
      </c>
    </row>
    <row r="2524" spans="1:7" ht="13">
      <c r="A2524" s="4" t="s">
        <v>119</v>
      </c>
      <c r="B2524" s="1">
        <v>6.8</v>
      </c>
      <c r="C2524" s="1">
        <v>753</v>
      </c>
      <c r="D2524" s="1" t="s">
        <v>11</v>
      </c>
      <c r="E2524" s="1" t="s">
        <v>26</v>
      </c>
      <c r="F2524" s="1">
        <f t="shared" si="86"/>
        <v>680</v>
      </c>
      <c r="G2524" s="5">
        <f t="shared" si="85"/>
        <v>1.1073529411764707</v>
      </c>
    </row>
    <row r="2525" spans="1:7" ht="13">
      <c r="A2525" s="4" t="s">
        <v>119</v>
      </c>
      <c r="B2525" s="1">
        <v>4.3</v>
      </c>
      <c r="C2525" s="1">
        <v>450</v>
      </c>
      <c r="D2525" s="1" t="s">
        <v>11</v>
      </c>
      <c r="E2525" s="1" t="s">
        <v>15</v>
      </c>
      <c r="F2525" s="1">
        <f t="shared" si="86"/>
        <v>430</v>
      </c>
      <c r="G2525" s="5">
        <f t="shared" si="85"/>
        <v>1.0465116279069768</v>
      </c>
    </row>
    <row r="2526" spans="1:7" ht="13">
      <c r="A2526" s="4" t="s">
        <v>119</v>
      </c>
      <c r="B2526" s="1">
        <v>7.2</v>
      </c>
      <c r="C2526" s="1">
        <v>736</v>
      </c>
      <c r="D2526" s="1" t="s">
        <v>11</v>
      </c>
      <c r="E2526" s="1" t="s">
        <v>10</v>
      </c>
      <c r="F2526" s="1">
        <f t="shared" si="86"/>
        <v>720</v>
      </c>
      <c r="G2526" s="5">
        <f t="shared" si="85"/>
        <v>1.0222222222222221</v>
      </c>
    </row>
    <row r="2527" spans="1:7" ht="13">
      <c r="A2527" s="4" t="s">
        <v>119</v>
      </c>
      <c r="B2527" s="1">
        <v>5.59</v>
      </c>
      <c r="C2527" s="1">
        <v>558</v>
      </c>
      <c r="D2527" s="1" t="s">
        <v>36</v>
      </c>
      <c r="E2527" s="1" t="s">
        <v>9</v>
      </c>
      <c r="F2527" s="1">
        <f t="shared" si="86"/>
        <v>559</v>
      </c>
      <c r="G2527" s="5">
        <f t="shared" si="85"/>
        <v>0.99821109123434704</v>
      </c>
    </row>
    <row r="2528" spans="1:7" ht="13">
      <c r="A2528" s="4" t="s">
        <v>119</v>
      </c>
      <c r="B2528" s="1">
        <v>5.5</v>
      </c>
      <c r="C2528" s="1">
        <v>629</v>
      </c>
      <c r="D2528" s="1" t="s">
        <v>43</v>
      </c>
      <c r="E2528" s="1" t="s">
        <v>15</v>
      </c>
      <c r="F2528" s="1">
        <f t="shared" si="86"/>
        <v>550</v>
      </c>
      <c r="G2528" s="5">
        <f t="shared" si="85"/>
        <v>1.1436363636363636</v>
      </c>
    </row>
    <row r="2529" spans="1:7" ht="13">
      <c r="A2529" s="4" t="s">
        <v>119</v>
      </c>
      <c r="B2529" s="1">
        <v>6.56</v>
      </c>
      <c r="C2529" s="1">
        <v>653</v>
      </c>
      <c r="D2529" s="1" t="s">
        <v>11</v>
      </c>
      <c r="E2529" s="1" t="s">
        <v>18</v>
      </c>
      <c r="F2529" s="1">
        <f t="shared" si="86"/>
        <v>656</v>
      </c>
      <c r="G2529" s="5">
        <f t="shared" si="85"/>
        <v>0.99542682926829273</v>
      </c>
    </row>
    <row r="2530" spans="1:7" ht="13">
      <c r="A2530" s="4" t="s">
        <v>119</v>
      </c>
      <c r="B2530" s="1">
        <v>3.48</v>
      </c>
      <c r="C2530" s="1">
        <v>340</v>
      </c>
      <c r="D2530" s="1" t="s">
        <v>38</v>
      </c>
      <c r="E2530" s="1" t="s">
        <v>7</v>
      </c>
      <c r="F2530" s="1">
        <f t="shared" si="86"/>
        <v>348</v>
      </c>
      <c r="G2530" s="5">
        <f t="shared" si="85"/>
        <v>0.97701149425287359</v>
      </c>
    </row>
    <row r="2531" spans="1:7" ht="13">
      <c r="A2531" s="4" t="s">
        <v>119</v>
      </c>
      <c r="B2531" s="1">
        <v>7.3</v>
      </c>
      <c r="C2531" s="1">
        <v>762</v>
      </c>
      <c r="D2531" s="1" t="s">
        <v>38</v>
      </c>
      <c r="E2531" s="1" t="s">
        <v>9</v>
      </c>
      <c r="F2531" s="1">
        <f t="shared" si="86"/>
        <v>730</v>
      </c>
      <c r="G2531" s="5">
        <f t="shared" si="85"/>
        <v>1.0438356164383562</v>
      </c>
    </row>
    <row r="2532" spans="1:7" ht="13">
      <c r="A2532" s="4" t="s">
        <v>120</v>
      </c>
      <c r="B2532" s="1">
        <v>4.5</v>
      </c>
      <c r="C2532" s="1">
        <v>314</v>
      </c>
      <c r="D2532" s="1" t="s">
        <v>11</v>
      </c>
      <c r="E2532" s="1" t="s">
        <v>16</v>
      </c>
      <c r="F2532" s="1">
        <f t="shared" si="86"/>
        <v>450</v>
      </c>
      <c r="G2532" s="5">
        <f t="shared" si="85"/>
        <v>0.69777777777777783</v>
      </c>
    </row>
    <row r="2533" spans="1:7" ht="13">
      <c r="A2533" s="4" t="s">
        <v>120</v>
      </c>
      <c r="B2533" s="1">
        <v>6</v>
      </c>
      <c r="C2533" s="1">
        <v>386</v>
      </c>
      <c r="D2533" s="1" t="s">
        <v>38</v>
      </c>
      <c r="E2533" s="1" t="s">
        <v>22</v>
      </c>
      <c r="F2533" s="1">
        <f t="shared" si="86"/>
        <v>600</v>
      </c>
      <c r="G2533" s="5">
        <f t="shared" si="85"/>
        <v>0.64333333333333331</v>
      </c>
    </row>
    <row r="2534" spans="1:7" ht="13">
      <c r="A2534" s="4" t="s">
        <v>120</v>
      </c>
      <c r="B2534" s="1">
        <v>5.3949999999999996</v>
      </c>
      <c r="C2534" s="1">
        <v>378</v>
      </c>
      <c r="D2534" s="1" t="s">
        <v>44</v>
      </c>
      <c r="E2534" s="1" t="s">
        <v>15</v>
      </c>
      <c r="F2534" s="1">
        <f t="shared" si="86"/>
        <v>539.5</v>
      </c>
      <c r="G2534" s="5">
        <f t="shared" si="85"/>
        <v>0.70064874884151995</v>
      </c>
    </row>
    <row r="2535" spans="1:7" ht="13">
      <c r="A2535" s="4" t="s">
        <v>120</v>
      </c>
      <c r="B2535" s="1">
        <v>5.0999999999999996</v>
      </c>
      <c r="C2535" s="1">
        <v>290</v>
      </c>
      <c r="D2535" s="1" t="s">
        <v>33</v>
      </c>
      <c r="E2535" s="1" t="s">
        <v>15</v>
      </c>
      <c r="F2535" s="1">
        <f t="shared" si="86"/>
        <v>509.99999999999994</v>
      </c>
      <c r="G2535" s="5">
        <f t="shared" si="85"/>
        <v>0.56862745098039225</v>
      </c>
    </row>
    <row r="2536" spans="1:7" ht="13">
      <c r="A2536" s="4" t="s">
        <v>120</v>
      </c>
      <c r="B2536" s="1">
        <v>652</v>
      </c>
      <c r="C2536" s="1">
        <v>638</v>
      </c>
      <c r="D2536" s="1" t="s">
        <v>11</v>
      </c>
      <c r="E2536" s="1" t="s">
        <v>8</v>
      </c>
      <c r="F2536" s="1">
        <f t="shared" si="86"/>
        <v>65200</v>
      </c>
      <c r="G2536" s="5">
        <f t="shared" si="85"/>
        <v>9.785276073619632E-3</v>
      </c>
    </row>
    <row r="2537" spans="1:7" ht="13">
      <c r="A2537" s="4" t="s">
        <v>120</v>
      </c>
      <c r="B2537" s="1">
        <v>6.09</v>
      </c>
      <c r="C2537" s="1">
        <v>403</v>
      </c>
      <c r="D2537" s="1" t="s">
        <v>36</v>
      </c>
      <c r="E2537" s="1" t="s">
        <v>15</v>
      </c>
      <c r="F2537" s="1">
        <f t="shared" si="86"/>
        <v>609</v>
      </c>
      <c r="G2537" s="5">
        <f t="shared" si="85"/>
        <v>0.6617405582922824</v>
      </c>
    </row>
    <row r="2538" spans="1:7" ht="13">
      <c r="A2538" s="4" t="s">
        <v>120</v>
      </c>
      <c r="B2538" s="1">
        <v>8.6</v>
      </c>
      <c r="C2538" s="1">
        <v>657</v>
      </c>
      <c r="D2538" s="1" t="s">
        <v>38</v>
      </c>
      <c r="E2538" s="1" t="s">
        <v>17</v>
      </c>
      <c r="F2538" s="1">
        <f t="shared" si="86"/>
        <v>860</v>
      </c>
      <c r="G2538" s="5">
        <f t="shared" si="85"/>
        <v>0.76395348837209298</v>
      </c>
    </row>
    <row r="2539" spans="1:7" ht="13">
      <c r="A2539" s="4" t="s">
        <v>120</v>
      </c>
      <c r="B2539" s="1">
        <v>5.88</v>
      </c>
      <c r="C2539" s="1">
        <v>430</v>
      </c>
      <c r="D2539" s="1" t="s">
        <v>39</v>
      </c>
      <c r="E2539" s="1" t="s">
        <v>19</v>
      </c>
      <c r="F2539" s="1">
        <f t="shared" si="86"/>
        <v>588</v>
      </c>
      <c r="G2539" s="5">
        <f t="shared" si="85"/>
        <v>0.73129251700680276</v>
      </c>
    </row>
    <row r="2540" spans="1:7" ht="13">
      <c r="A2540" s="4" t="s">
        <v>120</v>
      </c>
      <c r="B2540" s="1">
        <v>4</v>
      </c>
      <c r="C2540" s="1">
        <v>269</v>
      </c>
      <c r="D2540" s="1" t="s">
        <v>35</v>
      </c>
      <c r="E2540" s="1" t="s">
        <v>9</v>
      </c>
      <c r="F2540" s="1">
        <f t="shared" si="86"/>
        <v>400</v>
      </c>
      <c r="G2540" s="5">
        <f t="shared" si="85"/>
        <v>0.67249999999999999</v>
      </c>
    </row>
    <row r="2541" spans="1:7" ht="13">
      <c r="A2541" s="4" t="s">
        <v>120</v>
      </c>
      <c r="B2541" s="1">
        <v>3.65</v>
      </c>
      <c r="C2541" s="1">
        <v>214</v>
      </c>
      <c r="D2541" s="1" t="s">
        <v>55</v>
      </c>
      <c r="E2541" s="1" t="s">
        <v>24</v>
      </c>
      <c r="F2541" s="1">
        <f t="shared" si="86"/>
        <v>365</v>
      </c>
      <c r="G2541" s="5">
        <f t="shared" si="85"/>
        <v>0.58630136986301373</v>
      </c>
    </row>
    <row r="2542" spans="1:7" ht="13">
      <c r="A2542" s="4" t="s">
        <v>120</v>
      </c>
      <c r="B2542" s="1">
        <v>7.83</v>
      </c>
      <c r="C2542" s="1">
        <v>613</v>
      </c>
      <c r="D2542" s="1" t="s">
        <v>11</v>
      </c>
      <c r="E2542" s="1" t="s">
        <v>23</v>
      </c>
      <c r="F2542" s="1">
        <f t="shared" si="86"/>
        <v>783</v>
      </c>
      <c r="G2542" s="5">
        <f t="shared" si="85"/>
        <v>0.78288633461047252</v>
      </c>
    </row>
    <row r="2543" spans="1:7" ht="13">
      <c r="A2543" s="4" t="s">
        <v>120</v>
      </c>
      <c r="B2543" s="1">
        <v>7.74</v>
      </c>
      <c r="C2543" s="1">
        <v>493</v>
      </c>
      <c r="D2543" s="1" t="s">
        <v>33</v>
      </c>
      <c r="E2543" s="1" t="s">
        <v>16</v>
      </c>
      <c r="F2543" s="1">
        <f t="shared" si="86"/>
        <v>774</v>
      </c>
      <c r="G2543" s="5">
        <f t="shared" si="85"/>
        <v>0.63695090439276481</v>
      </c>
    </row>
    <row r="2544" spans="1:7" ht="13">
      <c r="A2544" s="4" t="s">
        <v>120</v>
      </c>
      <c r="B2544" s="1">
        <v>5.2</v>
      </c>
      <c r="C2544" s="1">
        <v>362</v>
      </c>
      <c r="D2544" s="1" t="s">
        <v>47</v>
      </c>
      <c r="E2544" s="1" t="s">
        <v>26</v>
      </c>
      <c r="F2544" s="1">
        <f t="shared" si="86"/>
        <v>520</v>
      </c>
      <c r="G2544" s="5">
        <f t="shared" si="85"/>
        <v>0.69615384615384612</v>
      </c>
    </row>
    <row r="2545" spans="1:7" ht="13">
      <c r="A2545" s="4" t="s">
        <v>120</v>
      </c>
      <c r="B2545" s="1">
        <v>6.7</v>
      </c>
      <c r="C2545" s="1">
        <v>370</v>
      </c>
      <c r="D2545" s="1" t="s">
        <v>11</v>
      </c>
      <c r="E2545" s="1" t="s">
        <v>7</v>
      </c>
      <c r="F2545" s="1">
        <f t="shared" si="86"/>
        <v>670</v>
      </c>
      <c r="G2545" s="5">
        <f t="shared" si="85"/>
        <v>0.55223880597014929</v>
      </c>
    </row>
    <row r="2546" spans="1:7" ht="13">
      <c r="A2546" s="4" t="s">
        <v>120</v>
      </c>
      <c r="B2546" s="1">
        <v>6</v>
      </c>
      <c r="C2546" s="1">
        <v>470</v>
      </c>
      <c r="D2546" s="1" t="s">
        <v>40</v>
      </c>
      <c r="E2546" s="1" t="s">
        <v>25</v>
      </c>
      <c r="F2546" s="1">
        <f t="shared" si="86"/>
        <v>600</v>
      </c>
      <c r="G2546" s="5">
        <f t="shared" si="85"/>
        <v>0.78333333333333333</v>
      </c>
    </row>
    <row r="2547" spans="1:7" ht="13">
      <c r="A2547" s="4" t="s">
        <v>120</v>
      </c>
      <c r="B2547" s="1">
        <v>4.8600000000000003</v>
      </c>
      <c r="C2547" s="1">
        <v>363</v>
      </c>
      <c r="D2547" s="1" t="s">
        <v>38</v>
      </c>
      <c r="E2547" s="1" t="s">
        <v>15</v>
      </c>
      <c r="F2547" s="1">
        <f t="shared" si="86"/>
        <v>486.00000000000006</v>
      </c>
      <c r="G2547" s="5">
        <f t="shared" si="85"/>
        <v>0.74691358024691346</v>
      </c>
    </row>
    <row r="2548" spans="1:7" ht="13">
      <c r="A2548" s="4" t="s">
        <v>120</v>
      </c>
      <c r="B2548" s="1">
        <v>9.5</v>
      </c>
      <c r="C2548" s="1">
        <v>846</v>
      </c>
      <c r="D2548" s="1" t="s">
        <v>11</v>
      </c>
      <c r="E2548" s="1" t="s">
        <v>27</v>
      </c>
      <c r="F2548" s="1">
        <f t="shared" si="86"/>
        <v>950</v>
      </c>
      <c r="G2548" s="5">
        <f t="shared" si="85"/>
        <v>0.89052631578947372</v>
      </c>
    </row>
    <row r="2549" spans="1:7" ht="13">
      <c r="A2549" s="4" t="s">
        <v>120</v>
      </c>
      <c r="B2549" s="1">
        <v>4.2</v>
      </c>
      <c r="C2549" s="1">
        <v>366.39</v>
      </c>
      <c r="D2549" s="1" t="s">
        <v>39</v>
      </c>
      <c r="E2549" s="1" t="s">
        <v>17</v>
      </c>
      <c r="F2549" s="1">
        <f t="shared" si="86"/>
        <v>420</v>
      </c>
      <c r="G2549" s="5">
        <f t="shared" si="85"/>
        <v>0.87235714285714283</v>
      </c>
    </row>
    <row r="2550" spans="1:7" ht="13">
      <c r="A2550" s="4" t="s">
        <v>120</v>
      </c>
      <c r="B2550" s="1">
        <v>5.2</v>
      </c>
      <c r="C2550" s="1">
        <v>353</v>
      </c>
      <c r="D2550" s="1" t="s">
        <v>39</v>
      </c>
      <c r="E2550" s="1" t="s">
        <v>15</v>
      </c>
      <c r="F2550" s="1">
        <f t="shared" si="86"/>
        <v>520</v>
      </c>
      <c r="G2550" s="5">
        <f t="shared" si="85"/>
        <v>0.67884615384615388</v>
      </c>
    </row>
    <row r="2551" spans="1:7" ht="13">
      <c r="A2551" s="4" t="s">
        <v>120</v>
      </c>
      <c r="B2551" s="1">
        <v>6.88</v>
      </c>
      <c r="C2551" s="1">
        <v>437</v>
      </c>
      <c r="D2551" s="1" t="s">
        <v>45</v>
      </c>
      <c r="E2551" s="1" t="s">
        <v>10</v>
      </c>
      <c r="F2551" s="1">
        <f t="shared" si="86"/>
        <v>688</v>
      </c>
      <c r="G2551" s="5">
        <f t="shared" si="85"/>
        <v>0.63517441860465118</v>
      </c>
    </row>
    <row r="2552" spans="1:7" ht="13">
      <c r="A2552" s="4" t="s">
        <v>120</v>
      </c>
      <c r="B2552" s="1">
        <v>5</v>
      </c>
      <c r="C2552" s="1">
        <v>426</v>
      </c>
      <c r="D2552" s="1" t="s">
        <v>42</v>
      </c>
      <c r="E2552" s="1" t="s">
        <v>30</v>
      </c>
      <c r="F2552" s="1">
        <f t="shared" si="86"/>
        <v>500</v>
      </c>
      <c r="G2552" s="5">
        <f t="shared" si="85"/>
        <v>0.85199999999999998</v>
      </c>
    </row>
    <row r="2553" spans="1:7" ht="13">
      <c r="A2553" s="4" t="s">
        <v>120</v>
      </c>
      <c r="B2553" s="1">
        <v>7.2</v>
      </c>
      <c r="C2553" s="1">
        <v>668</v>
      </c>
      <c r="D2553" s="1" t="s">
        <v>39</v>
      </c>
      <c r="E2553" s="1" t="s">
        <v>9</v>
      </c>
      <c r="F2553" s="1">
        <f t="shared" si="86"/>
        <v>720</v>
      </c>
      <c r="G2553" s="5">
        <f t="shared" si="85"/>
        <v>0.92777777777777781</v>
      </c>
    </row>
    <row r="2554" spans="1:7" ht="13">
      <c r="A2554" s="4" t="s">
        <v>120</v>
      </c>
      <c r="B2554" s="1">
        <v>6.32</v>
      </c>
      <c r="C2554" s="1">
        <v>526</v>
      </c>
      <c r="D2554" s="1" t="s">
        <v>67</v>
      </c>
      <c r="E2554" s="1" t="s">
        <v>62</v>
      </c>
      <c r="F2554" s="1">
        <f t="shared" si="86"/>
        <v>632</v>
      </c>
      <c r="G2554" s="5">
        <f t="shared" si="85"/>
        <v>0.83227848101265822</v>
      </c>
    </row>
    <row r="2555" spans="1:7" ht="13">
      <c r="A2555" s="4" t="s">
        <v>120</v>
      </c>
      <c r="B2555" s="1">
        <v>7.48</v>
      </c>
      <c r="C2555" s="1">
        <v>377</v>
      </c>
      <c r="D2555" s="1" t="s">
        <v>45</v>
      </c>
      <c r="E2555" s="1" t="s">
        <v>15</v>
      </c>
      <c r="F2555" s="1">
        <f t="shared" si="86"/>
        <v>748</v>
      </c>
      <c r="G2555" s="5">
        <f t="shared" si="85"/>
        <v>0.50401069518716579</v>
      </c>
    </row>
    <row r="2556" spans="1:7" ht="13">
      <c r="A2556" s="4" t="s">
        <v>120</v>
      </c>
      <c r="B2556" s="1">
        <v>4.1500000000000004</v>
      </c>
      <c r="C2556" s="1">
        <v>390</v>
      </c>
      <c r="D2556" s="1" t="s">
        <v>38</v>
      </c>
      <c r="E2556" s="1" t="s">
        <v>8</v>
      </c>
      <c r="F2556" s="1">
        <f t="shared" si="86"/>
        <v>415.00000000000006</v>
      </c>
      <c r="G2556" s="5">
        <f t="shared" si="85"/>
        <v>0.93975903614457823</v>
      </c>
    </row>
    <row r="2557" spans="1:7" ht="13">
      <c r="A2557" s="4" t="s">
        <v>120</v>
      </c>
      <c r="B2557" s="1">
        <v>5.2</v>
      </c>
      <c r="C2557" s="1">
        <v>303</v>
      </c>
      <c r="D2557" s="1" t="s">
        <v>50</v>
      </c>
      <c r="E2557" s="1" t="s">
        <v>15</v>
      </c>
      <c r="F2557" s="1">
        <f t="shared" si="86"/>
        <v>520</v>
      </c>
      <c r="G2557" s="5">
        <f t="shared" si="85"/>
        <v>0.58269230769230773</v>
      </c>
    </row>
    <row r="2558" spans="1:7" ht="13">
      <c r="A2558" s="4" t="s">
        <v>120</v>
      </c>
      <c r="B2558" s="1">
        <v>5.0999999999999996</v>
      </c>
      <c r="C2558" s="1">
        <v>433</v>
      </c>
      <c r="D2558" s="1" t="s">
        <v>59</v>
      </c>
      <c r="E2558" s="1" t="s">
        <v>18</v>
      </c>
      <c r="F2558" s="1">
        <f t="shared" si="86"/>
        <v>509.99999999999994</v>
      </c>
      <c r="G2558" s="5">
        <f t="shared" si="85"/>
        <v>0.84901960784313735</v>
      </c>
    </row>
    <row r="2559" spans="1:7" ht="13">
      <c r="A2559" s="4" t="s">
        <v>120</v>
      </c>
      <c r="B2559" s="1">
        <v>4.0999999999999996</v>
      </c>
      <c r="C2559" s="1">
        <v>331</v>
      </c>
      <c r="D2559" s="1" t="s">
        <v>38</v>
      </c>
      <c r="E2559" s="1" t="s">
        <v>16</v>
      </c>
      <c r="F2559" s="1">
        <f t="shared" si="86"/>
        <v>409.99999999999994</v>
      </c>
      <c r="G2559" s="5">
        <f t="shared" si="85"/>
        <v>0.80731707317073187</v>
      </c>
    </row>
    <row r="2560" spans="1:7" ht="13">
      <c r="A2560" s="4" t="s">
        <v>120</v>
      </c>
      <c r="B2560" s="1">
        <v>6.88</v>
      </c>
      <c r="C2560" s="1">
        <v>420</v>
      </c>
      <c r="D2560" s="1" t="s">
        <v>33</v>
      </c>
      <c r="E2560" s="1" t="s">
        <v>10</v>
      </c>
      <c r="F2560" s="1">
        <f t="shared" si="86"/>
        <v>688</v>
      </c>
      <c r="G2560" s="5">
        <f t="shared" si="85"/>
        <v>0.61046511627906974</v>
      </c>
    </row>
    <row r="2561" spans="1:7" ht="13">
      <c r="A2561" s="4" t="s">
        <v>120</v>
      </c>
      <c r="B2561" s="1">
        <v>5.6</v>
      </c>
      <c r="C2561" s="1">
        <v>492.61</v>
      </c>
      <c r="D2561" s="1" t="s">
        <v>11</v>
      </c>
      <c r="E2561" s="1" t="s">
        <v>8</v>
      </c>
      <c r="F2561" s="1">
        <f t="shared" si="86"/>
        <v>560</v>
      </c>
      <c r="G2561" s="5">
        <f t="shared" si="85"/>
        <v>0.87966071428571435</v>
      </c>
    </row>
    <row r="2562" spans="1:7" ht="13">
      <c r="A2562" s="4" t="s">
        <v>120</v>
      </c>
      <c r="B2562" s="1">
        <v>5.4</v>
      </c>
      <c r="C2562" s="1">
        <v>300</v>
      </c>
      <c r="D2562" s="1" t="s">
        <v>59</v>
      </c>
      <c r="E2562" s="1" t="s">
        <v>16</v>
      </c>
      <c r="F2562" s="1">
        <f t="shared" si="86"/>
        <v>540</v>
      </c>
      <c r="G2562" s="5">
        <f t="shared" ref="G2562:G2625" si="87">C2562/F2562</f>
        <v>0.55555555555555558</v>
      </c>
    </row>
    <row r="2563" spans="1:7" ht="13">
      <c r="A2563" s="4" t="s">
        <v>120</v>
      </c>
      <c r="B2563" s="1">
        <v>5.39</v>
      </c>
      <c r="C2563" s="1">
        <v>469</v>
      </c>
      <c r="D2563" s="1" t="s">
        <v>11</v>
      </c>
      <c r="E2563" s="1" t="s">
        <v>26</v>
      </c>
      <c r="F2563" s="1">
        <f t="shared" ref="F2563:F2626" si="88">B2563*100</f>
        <v>539</v>
      </c>
      <c r="G2563" s="5">
        <f t="shared" si="87"/>
        <v>0.87012987012987009</v>
      </c>
    </row>
    <row r="2564" spans="1:7" ht="13">
      <c r="A2564" s="4" t="s">
        <v>120</v>
      </c>
      <c r="B2564" s="1">
        <v>7.74</v>
      </c>
      <c r="C2564" s="1">
        <v>580</v>
      </c>
      <c r="D2564" s="1" t="s">
        <v>35</v>
      </c>
      <c r="E2564" s="1" t="s">
        <v>8</v>
      </c>
      <c r="F2564" s="1">
        <f t="shared" si="88"/>
        <v>774</v>
      </c>
      <c r="G2564" s="5">
        <f t="shared" si="87"/>
        <v>0.74935400516795869</v>
      </c>
    </row>
    <row r="2565" spans="1:7" ht="13">
      <c r="A2565" s="4" t="s">
        <v>120</v>
      </c>
      <c r="B2565" s="1">
        <v>8.6</v>
      </c>
      <c r="C2565" s="1">
        <v>770</v>
      </c>
      <c r="D2565" s="1" t="s">
        <v>42</v>
      </c>
      <c r="E2565" s="1" t="s">
        <v>8</v>
      </c>
      <c r="F2565" s="1">
        <f t="shared" si="88"/>
        <v>860</v>
      </c>
      <c r="G2565" s="5">
        <f t="shared" si="87"/>
        <v>0.89534883720930236</v>
      </c>
    </row>
    <row r="2566" spans="1:7" ht="13">
      <c r="A2566" s="4" t="s">
        <v>120</v>
      </c>
      <c r="B2566" s="1">
        <v>4.3</v>
      </c>
      <c r="C2566" s="1">
        <v>297</v>
      </c>
      <c r="D2566" s="1" t="s">
        <v>33</v>
      </c>
      <c r="E2566" s="1" t="s">
        <v>19</v>
      </c>
      <c r="F2566" s="1">
        <f t="shared" si="88"/>
        <v>430</v>
      </c>
      <c r="G2566" s="5">
        <f t="shared" si="87"/>
        <v>0.69069767441860463</v>
      </c>
    </row>
    <row r="2567" spans="1:7" ht="13">
      <c r="A2567" s="4" t="s">
        <v>120</v>
      </c>
      <c r="B2567" s="1">
        <v>9.1999999999999993</v>
      </c>
      <c r="C2567" s="1">
        <v>673</v>
      </c>
      <c r="D2567" s="1" t="s">
        <v>37</v>
      </c>
      <c r="E2567" s="1" t="s">
        <v>18</v>
      </c>
      <c r="F2567" s="1">
        <f t="shared" si="88"/>
        <v>919.99999999999989</v>
      </c>
      <c r="G2567" s="5">
        <f t="shared" si="87"/>
        <v>0.73152173913043483</v>
      </c>
    </row>
    <row r="2568" spans="1:7" ht="13">
      <c r="A2568" s="4" t="s">
        <v>120</v>
      </c>
      <c r="B2568" s="1">
        <v>6.3</v>
      </c>
      <c r="C2568" s="1">
        <v>578</v>
      </c>
      <c r="D2568" s="1" t="s">
        <v>11</v>
      </c>
      <c r="E2568" s="1" t="s">
        <v>8</v>
      </c>
      <c r="F2568" s="1">
        <f t="shared" si="88"/>
        <v>630</v>
      </c>
      <c r="G2568" s="5">
        <f t="shared" si="87"/>
        <v>0.91746031746031742</v>
      </c>
    </row>
    <row r="2569" spans="1:7" ht="13">
      <c r="A2569" s="4" t="s">
        <v>120</v>
      </c>
      <c r="B2569" s="1">
        <v>6.32</v>
      </c>
      <c r="C2569" s="1">
        <v>564</v>
      </c>
      <c r="D2569" s="1" t="s">
        <v>11</v>
      </c>
      <c r="E2569" s="1" t="s">
        <v>49</v>
      </c>
      <c r="F2569" s="1">
        <f t="shared" si="88"/>
        <v>632</v>
      </c>
      <c r="G2569" s="5">
        <f t="shared" si="87"/>
        <v>0.89240506329113922</v>
      </c>
    </row>
    <row r="2570" spans="1:7" ht="13">
      <c r="A2570" s="4" t="s">
        <v>120</v>
      </c>
      <c r="B2570" s="1">
        <v>9.68</v>
      </c>
      <c r="C2570" s="1">
        <v>617</v>
      </c>
      <c r="D2570" s="1" t="s">
        <v>36</v>
      </c>
      <c r="E2570" s="1" t="s">
        <v>7</v>
      </c>
      <c r="F2570" s="1">
        <f t="shared" si="88"/>
        <v>968</v>
      </c>
      <c r="G2570" s="5">
        <f t="shared" si="87"/>
        <v>0.63739669421487599</v>
      </c>
    </row>
    <row r="2571" spans="1:7" ht="13">
      <c r="A2571" s="4" t="s">
        <v>120</v>
      </c>
      <c r="B2571" s="1">
        <v>6.88</v>
      </c>
      <c r="C2571" s="1">
        <v>486</v>
      </c>
      <c r="D2571" s="1" t="s">
        <v>33</v>
      </c>
      <c r="E2571" s="1" t="s">
        <v>8</v>
      </c>
      <c r="F2571" s="1">
        <f t="shared" si="88"/>
        <v>688</v>
      </c>
      <c r="G2571" s="5">
        <f t="shared" si="87"/>
        <v>0.70639534883720934</v>
      </c>
    </row>
    <row r="2572" spans="1:7" ht="13">
      <c r="A2572" s="4" t="s">
        <v>120</v>
      </c>
      <c r="B2572" s="1">
        <v>6.9</v>
      </c>
      <c r="C2572" s="1">
        <v>479</v>
      </c>
      <c r="D2572" s="1" t="s">
        <v>11</v>
      </c>
      <c r="E2572" s="1" t="s">
        <v>26</v>
      </c>
      <c r="F2572" s="1">
        <f t="shared" si="88"/>
        <v>690</v>
      </c>
      <c r="G2572" s="5">
        <f t="shared" si="87"/>
        <v>0.69420289855072459</v>
      </c>
    </row>
    <row r="2573" spans="1:7" ht="13">
      <c r="A2573" s="4" t="s">
        <v>120</v>
      </c>
      <c r="B2573" s="1">
        <v>8.6999999999999993</v>
      </c>
      <c r="C2573" s="1">
        <v>844.5</v>
      </c>
      <c r="D2573" s="1" t="s">
        <v>47</v>
      </c>
      <c r="E2573" s="1" t="s">
        <v>12</v>
      </c>
      <c r="F2573" s="1">
        <f t="shared" si="88"/>
        <v>869.99999999999989</v>
      </c>
      <c r="G2573" s="5">
        <f t="shared" si="87"/>
        <v>0.9706896551724139</v>
      </c>
    </row>
    <row r="2574" spans="1:7" ht="13">
      <c r="A2574" s="4" t="s">
        <v>120</v>
      </c>
      <c r="B2574" s="1">
        <v>9</v>
      </c>
      <c r="C2574" s="1">
        <v>566</v>
      </c>
      <c r="D2574" s="1" t="s">
        <v>33</v>
      </c>
      <c r="E2574" s="1" t="s">
        <v>23</v>
      </c>
      <c r="F2574" s="1">
        <f t="shared" si="88"/>
        <v>900</v>
      </c>
      <c r="G2574" s="5">
        <f t="shared" si="87"/>
        <v>0.62888888888888894</v>
      </c>
    </row>
    <row r="2575" spans="1:7" ht="13">
      <c r="A2575" s="4" t="s">
        <v>120</v>
      </c>
      <c r="B2575" s="1">
        <v>7.7</v>
      </c>
      <c r="C2575" s="1">
        <v>456</v>
      </c>
      <c r="D2575" s="1" t="s">
        <v>107</v>
      </c>
      <c r="E2575" s="1" t="s">
        <v>27</v>
      </c>
      <c r="F2575" s="1">
        <f t="shared" si="88"/>
        <v>770</v>
      </c>
      <c r="G2575" s="5">
        <f t="shared" si="87"/>
        <v>0.59220779220779218</v>
      </c>
    </row>
    <row r="2576" spans="1:7" ht="13">
      <c r="A2576" s="4" t="s">
        <v>120</v>
      </c>
      <c r="B2576" s="1">
        <v>5.16</v>
      </c>
      <c r="C2576" s="1">
        <v>422</v>
      </c>
      <c r="D2576" s="1" t="s">
        <v>38</v>
      </c>
      <c r="E2576" s="1" t="s">
        <v>26</v>
      </c>
      <c r="F2576" s="1">
        <f t="shared" si="88"/>
        <v>516</v>
      </c>
      <c r="G2576" s="5">
        <f t="shared" si="87"/>
        <v>0.81782945736434109</v>
      </c>
    </row>
    <row r="2577" spans="1:7" ht="13">
      <c r="A2577" s="4" t="s">
        <v>120</v>
      </c>
      <c r="B2577" s="1">
        <v>6.09</v>
      </c>
      <c r="C2577" s="1">
        <v>537</v>
      </c>
      <c r="D2577" s="1" t="s">
        <v>11</v>
      </c>
      <c r="E2577" s="1" t="s">
        <v>15</v>
      </c>
      <c r="F2577" s="1">
        <f t="shared" si="88"/>
        <v>609</v>
      </c>
      <c r="G2577" s="5">
        <f t="shared" si="87"/>
        <v>0.88177339901477836</v>
      </c>
    </row>
    <row r="2578" spans="1:7" ht="13">
      <c r="A2578" s="4" t="s">
        <v>120</v>
      </c>
      <c r="B2578" s="1">
        <v>10.56</v>
      </c>
      <c r="C2578" s="1">
        <v>695</v>
      </c>
      <c r="D2578" s="1" t="s">
        <v>11</v>
      </c>
      <c r="E2578" s="1" t="s">
        <v>17</v>
      </c>
      <c r="F2578" s="1">
        <f t="shared" si="88"/>
        <v>1056</v>
      </c>
      <c r="G2578" s="5">
        <f t="shared" si="87"/>
        <v>0.65814393939393945</v>
      </c>
    </row>
    <row r="2579" spans="1:7" ht="13">
      <c r="A2579" s="4" t="s">
        <v>120</v>
      </c>
      <c r="B2579" s="1">
        <v>5.28</v>
      </c>
      <c r="C2579" s="1">
        <v>332</v>
      </c>
      <c r="D2579" s="1" t="s">
        <v>33</v>
      </c>
      <c r="E2579" s="1" t="s">
        <v>21</v>
      </c>
      <c r="F2579" s="1">
        <f t="shared" si="88"/>
        <v>528</v>
      </c>
      <c r="G2579" s="5">
        <f t="shared" si="87"/>
        <v>0.62878787878787878</v>
      </c>
    </row>
    <row r="2580" spans="1:7" ht="13">
      <c r="A2580" s="4" t="s">
        <v>120</v>
      </c>
      <c r="B2580" s="1">
        <v>7.92</v>
      </c>
      <c r="C2580" s="1">
        <v>650</v>
      </c>
      <c r="D2580" s="1" t="s">
        <v>11</v>
      </c>
      <c r="E2580" s="1" t="s">
        <v>8</v>
      </c>
      <c r="F2580" s="1">
        <f t="shared" si="88"/>
        <v>792</v>
      </c>
      <c r="G2580" s="5">
        <f t="shared" si="87"/>
        <v>0.82070707070707072</v>
      </c>
    </row>
    <row r="2581" spans="1:7" ht="13">
      <c r="A2581" s="4" t="s">
        <v>120</v>
      </c>
      <c r="B2581" s="1">
        <v>6.96</v>
      </c>
      <c r="C2581" s="1">
        <v>570</v>
      </c>
      <c r="D2581" s="1" t="s">
        <v>67</v>
      </c>
      <c r="E2581" s="1" t="s">
        <v>16</v>
      </c>
      <c r="F2581" s="1">
        <f t="shared" si="88"/>
        <v>696</v>
      </c>
      <c r="G2581" s="5">
        <f t="shared" si="87"/>
        <v>0.81896551724137934</v>
      </c>
    </row>
    <row r="2582" spans="1:7" ht="13">
      <c r="A2582" s="4" t="s">
        <v>120</v>
      </c>
      <c r="B2582" s="1">
        <v>5.2</v>
      </c>
      <c r="C2582" s="1">
        <v>455</v>
      </c>
      <c r="D2582" s="1" t="s">
        <v>11</v>
      </c>
      <c r="E2582" s="1" t="s">
        <v>26</v>
      </c>
      <c r="F2582" s="1">
        <f t="shared" si="88"/>
        <v>520</v>
      </c>
      <c r="G2582" s="5">
        <f t="shared" si="87"/>
        <v>0.875</v>
      </c>
    </row>
    <row r="2583" spans="1:7" ht="13">
      <c r="A2583" s="4" t="s">
        <v>120</v>
      </c>
      <c r="B2583" s="1">
        <v>8.4</v>
      </c>
      <c r="C2583" s="1">
        <v>530</v>
      </c>
      <c r="D2583" s="1" t="s">
        <v>33</v>
      </c>
      <c r="E2583" s="1" t="s">
        <v>15</v>
      </c>
      <c r="F2583" s="1">
        <f t="shared" si="88"/>
        <v>840</v>
      </c>
      <c r="G2583" s="5">
        <f t="shared" si="87"/>
        <v>0.63095238095238093</v>
      </c>
    </row>
    <row r="2584" spans="1:7" ht="13">
      <c r="A2584" s="4" t="s">
        <v>120</v>
      </c>
      <c r="B2584" s="1">
        <v>6.09</v>
      </c>
      <c r="C2584" s="1">
        <v>511</v>
      </c>
      <c r="D2584" s="1" t="s">
        <v>11</v>
      </c>
      <c r="E2584" s="1" t="s">
        <v>26</v>
      </c>
      <c r="F2584" s="1">
        <f t="shared" si="88"/>
        <v>609</v>
      </c>
      <c r="G2584" s="5">
        <f t="shared" si="87"/>
        <v>0.83908045977011492</v>
      </c>
    </row>
    <row r="2585" spans="1:7" ht="13">
      <c r="A2585" s="4" t="s">
        <v>120</v>
      </c>
      <c r="B2585" s="1">
        <v>4.9000000000000004</v>
      </c>
      <c r="C2585" s="1">
        <v>332</v>
      </c>
      <c r="D2585" s="1" t="s">
        <v>44</v>
      </c>
      <c r="E2585" s="1" t="s">
        <v>15</v>
      </c>
      <c r="F2585" s="1">
        <f t="shared" si="88"/>
        <v>490.00000000000006</v>
      </c>
      <c r="G2585" s="5">
        <f t="shared" si="87"/>
        <v>0.67755102040816317</v>
      </c>
    </row>
    <row r="2586" spans="1:7" ht="13">
      <c r="A2586" s="4" t="s">
        <v>120</v>
      </c>
      <c r="B2586" s="1">
        <v>8.1</v>
      </c>
      <c r="C2586" s="1">
        <v>561</v>
      </c>
      <c r="D2586" s="1" t="s">
        <v>35</v>
      </c>
      <c r="E2586" s="1" t="s">
        <v>7</v>
      </c>
      <c r="F2586" s="1">
        <f t="shared" si="88"/>
        <v>810</v>
      </c>
      <c r="G2586" s="5">
        <f t="shared" si="87"/>
        <v>0.69259259259259254</v>
      </c>
    </row>
    <row r="2587" spans="1:7" ht="13">
      <c r="A2587" s="4" t="s">
        <v>120</v>
      </c>
      <c r="B2587" s="1">
        <v>9.1</v>
      </c>
      <c r="C2587" s="1">
        <v>680</v>
      </c>
      <c r="D2587" s="1" t="s">
        <v>35</v>
      </c>
      <c r="E2587" s="1" t="s">
        <v>10</v>
      </c>
      <c r="F2587" s="1">
        <f t="shared" si="88"/>
        <v>910</v>
      </c>
      <c r="G2587" s="5">
        <f t="shared" si="87"/>
        <v>0.74725274725274726</v>
      </c>
    </row>
    <row r="2588" spans="1:7" ht="13">
      <c r="A2588" s="4" t="s">
        <v>120</v>
      </c>
      <c r="B2588" s="1">
        <v>6.45</v>
      </c>
      <c r="C2588" s="1">
        <v>538</v>
      </c>
      <c r="D2588" s="1" t="s">
        <v>42</v>
      </c>
      <c r="E2588" s="1" t="s">
        <v>18</v>
      </c>
      <c r="F2588" s="1">
        <f t="shared" si="88"/>
        <v>645</v>
      </c>
      <c r="G2588" s="5">
        <f t="shared" si="87"/>
        <v>0.83410852713178296</v>
      </c>
    </row>
    <row r="2589" spans="1:7" ht="13">
      <c r="A2589" s="4" t="s">
        <v>120</v>
      </c>
      <c r="B2589" s="1">
        <v>7.83</v>
      </c>
      <c r="C2589" s="1">
        <v>557</v>
      </c>
      <c r="D2589" s="1" t="s">
        <v>11</v>
      </c>
      <c r="E2589" s="1" t="s">
        <v>20</v>
      </c>
      <c r="F2589" s="1">
        <f t="shared" si="88"/>
        <v>783</v>
      </c>
      <c r="G2589" s="5">
        <f t="shared" si="87"/>
        <v>0.71136653895274582</v>
      </c>
    </row>
    <row r="2590" spans="1:7" ht="13">
      <c r="A2590" s="4" t="s">
        <v>120</v>
      </c>
      <c r="B2590" s="1">
        <v>12.04</v>
      </c>
      <c r="C2590" s="1">
        <v>875</v>
      </c>
      <c r="D2590" s="1" t="s">
        <v>11</v>
      </c>
      <c r="E2590" s="1" t="s">
        <v>8</v>
      </c>
      <c r="F2590" s="1">
        <f t="shared" si="88"/>
        <v>1204</v>
      </c>
      <c r="G2590" s="5">
        <f t="shared" si="87"/>
        <v>0.72674418604651159</v>
      </c>
    </row>
    <row r="2591" spans="1:7" ht="13">
      <c r="A2591" s="4" t="s">
        <v>120</v>
      </c>
      <c r="B2591" s="1">
        <v>8.8000000000000007</v>
      </c>
      <c r="C2591" s="1">
        <v>535</v>
      </c>
      <c r="D2591" s="1" t="s">
        <v>33</v>
      </c>
      <c r="E2591" s="1" t="s">
        <v>8</v>
      </c>
      <c r="F2591" s="1">
        <f t="shared" si="88"/>
        <v>880.00000000000011</v>
      </c>
      <c r="G2591" s="5">
        <f t="shared" si="87"/>
        <v>0.60795454545454541</v>
      </c>
    </row>
    <row r="2592" spans="1:7" ht="13">
      <c r="A2592" s="4" t="s">
        <v>120</v>
      </c>
      <c r="B2592" s="1">
        <v>8.6</v>
      </c>
      <c r="C2592" s="1">
        <v>594</v>
      </c>
      <c r="D2592" s="1" t="s">
        <v>33</v>
      </c>
      <c r="E2592" s="1" t="s">
        <v>8</v>
      </c>
      <c r="F2592" s="1">
        <f t="shared" si="88"/>
        <v>860</v>
      </c>
      <c r="G2592" s="5">
        <f t="shared" si="87"/>
        <v>0.69069767441860463</v>
      </c>
    </row>
    <row r="2593" spans="1:7" ht="13">
      <c r="A2593" s="4" t="s">
        <v>120</v>
      </c>
      <c r="B2593" s="1">
        <v>6</v>
      </c>
      <c r="C2593" s="1">
        <v>417</v>
      </c>
      <c r="D2593" s="1" t="s">
        <v>33</v>
      </c>
      <c r="E2593" s="1" t="s">
        <v>16</v>
      </c>
      <c r="F2593" s="1">
        <f t="shared" si="88"/>
        <v>600</v>
      </c>
      <c r="G2593" s="5">
        <f t="shared" si="87"/>
        <v>0.69499999999999995</v>
      </c>
    </row>
    <row r="2594" spans="1:7" ht="13">
      <c r="A2594" s="4" t="s">
        <v>120</v>
      </c>
      <c r="B2594" s="1">
        <v>5</v>
      </c>
      <c r="C2594" s="1">
        <v>420</v>
      </c>
      <c r="D2594" s="1" t="s">
        <v>11</v>
      </c>
      <c r="E2594" s="1" t="s">
        <v>23</v>
      </c>
      <c r="F2594" s="1">
        <f t="shared" si="88"/>
        <v>500</v>
      </c>
      <c r="G2594" s="5">
        <f t="shared" si="87"/>
        <v>0.84</v>
      </c>
    </row>
    <row r="2595" spans="1:7" ht="13">
      <c r="A2595" s="4" t="s">
        <v>120</v>
      </c>
      <c r="B2595" s="1">
        <v>8</v>
      </c>
      <c r="C2595" s="1">
        <v>560</v>
      </c>
      <c r="D2595" s="1" t="s">
        <v>43</v>
      </c>
      <c r="E2595" s="1" t="s">
        <v>22</v>
      </c>
      <c r="F2595" s="1">
        <f t="shared" si="88"/>
        <v>800</v>
      </c>
      <c r="G2595" s="5">
        <f t="shared" si="87"/>
        <v>0.7</v>
      </c>
    </row>
    <row r="2596" spans="1:7" ht="13">
      <c r="A2596" s="4" t="s">
        <v>120</v>
      </c>
      <c r="B2596" s="1">
        <v>7</v>
      </c>
      <c r="C2596" s="1">
        <v>437</v>
      </c>
      <c r="D2596" s="1" t="s">
        <v>33</v>
      </c>
      <c r="E2596" s="1" t="s">
        <v>9</v>
      </c>
      <c r="F2596" s="1">
        <f t="shared" si="88"/>
        <v>700</v>
      </c>
      <c r="G2596" s="5">
        <f t="shared" si="87"/>
        <v>0.62428571428571433</v>
      </c>
    </row>
    <row r="2597" spans="1:7" ht="13">
      <c r="A2597" s="4" t="s">
        <v>120</v>
      </c>
      <c r="B2597" s="1">
        <v>7.56</v>
      </c>
      <c r="C2597" s="1">
        <v>595</v>
      </c>
      <c r="D2597" s="1" t="s">
        <v>11</v>
      </c>
      <c r="E2597" s="1" t="s">
        <v>25</v>
      </c>
      <c r="F2597" s="1">
        <f t="shared" si="88"/>
        <v>756</v>
      </c>
      <c r="G2597" s="5">
        <f t="shared" si="87"/>
        <v>0.78703703703703709</v>
      </c>
    </row>
    <row r="2598" spans="1:7" ht="13">
      <c r="A2598" s="4" t="s">
        <v>120</v>
      </c>
      <c r="B2598" s="1">
        <v>6.4</v>
      </c>
      <c r="C2598" s="1">
        <v>393</v>
      </c>
      <c r="D2598" s="1" t="s">
        <v>33</v>
      </c>
      <c r="E2598" s="1" t="s">
        <v>15</v>
      </c>
      <c r="F2598" s="1">
        <f t="shared" si="88"/>
        <v>640</v>
      </c>
      <c r="G2598" s="5">
        <f t="shared" si="87"/>
        <v>0.61406249999999996</v>
      </c>
    </row>
    <row r="2599" spans="1:7" ht="13">
      <c r="A2599" s="4" t="s">
        <v>120</v>
      </c>
      <c r="B2599" s="1">
        <v>4.0999999999999996</v>
      </c>
      <c r="C2599" s="1">
        <v>413</v>
      </c>
      <c r="D2599" s="1" t="s">
        <v>11</v>
      </c>
      <c r="E2599" s="1" t="s">
        <v>18</v>
      </c>
      <c r="F2599" s="1">
        <f t="shared" si="88"/>
        <v>409.99999999999994</v>
      </c>
      <c r="G2599" s="5">
        <f t="shared" si="87"/>
        <v>1.0073170731707319</v>
      </c>
    </row>
    <row r="2600" spans="1:7" ht="13">
      <c r="A2600" s="4" t="s">
        <v>120</v>
      </c>
      <c r="B2600" s="1">
        <v>6.88</v>
      </c>
      <c r="C2600" s="1">
        <v>490</v>
      </c>
      <c r="D2600" s="1" t="s">
        <v>38</v>
      </c>
      <c r="E2600" s="1" t="s">
        <v>7</v>
      </c>
      <c r="F2600" s="1">
        <f t="shared" si="88"/>
        <v>688</v>
      </c>
      <c r="G2600" s="5">
        <f t="shared" si="87"/>
        <v>0.71220930232558144</v>
      </c>
    </row>
    <row r="2601" spans="1:7" ht="13">
      <c r="A2601" s="4" t="s">
        <v>120</v>
      </c>
      <c r="B2601" s="1">
        <v>7.2</v>
      </c>
      <c r="C2601" s="1">
        <v>592</v>
      </c>
      <c r="D2601" s="1" t="s">
        <v>43</v>
      </c>
      <c r="E2601" s="1" t="s">
        <v>17</v>
      </c>
      <c r="F2601" s="1">
        <f t="shared" si="88"/>
        <v>720</v>
      </c>
      <c r="G2601" s="5">
        <f t="shared" si="87"/>
        <v>0.82222222222222219</v>
      </c>
    </row>
    <row r="2602" spans="1:7" ht="13">
      <c r="A2602" s="4" t="s">
        <v>120</v>
      </c>
      <c r="B2602" s="1">
        <v>5.625</v>
      </c>
      <c r="C2602" s="1">
        <v>403</v>
      </c>
      <c r="D2602" s="1" t="s">
        <v>11</v>
      </c>
      <c r="E2602" s="1" t="s">
        <v>15</v>
      </c>
      <c r="F2602" s="1">
        <f t="shared" si="88"/>
        <v>562.5</v>
      </c>
      <c r="G2602" s="5">
        <f t="shared" si="87"/>
        <v>0.71644444444444444</v>
      </c>
    </row>
    <row r="2603" spans="1:7" ht="13">
      <c r="A2603" s="4" t="s">
        <v>120</v>
      </c>
      <c r="B2603" s="1">
        <v>6.8</v>
      </c>
      <c r="C2603" s="1">
        <v>425</v>
      </c>
      <c r="D2603" s="1" t="s">
        <v>33</v>
      </c>
      <c r="E2603" s="1" t="s">
        <v>20</v>
      </c>
      <c r="F2603" s="1">
        <f t="shared" si="88"/>
        <v>680</v>
      </c>
      <c r="G2603" s="5">
        <f t="shared" si="87"/>
        <v>0.625</v>
      </c>
    </row>
    <row r="2604" spans="1:7" ht="13">
      <c r="A2604" s="4" t="s">
        <v>120</v>
      </c>
      <c r="B2604" s="1">
        <v>6</v>
      </c>
      <c r="C2604" s="1">
        <v>542</v>
      </c>
      <c r="D2604" s="1" t="s">
        <v>42</v>
      </c>
      <c r="E2604" s="1" t="s">
        <v>17</v>
      </c>
      <c r="F2604" s="1">
        <f t="shared" si="88"/>
        <v>600</v>
      </c>
      <c r="G2604" s="5">
        <f t="shared" si="87"/>
        <v>0.90333333333333332</v>
      </c>
    </row>
    <row r="2605" spans="1:7" ht="13">
      <c r="A2605" s="4" t="s">
        <v>120</v>
      </c>
      <c r="B2605" s="1">
        <v>4.03</v>
      </c>
      <c r="C2605" s="1">
        <v>314</v>
      </c>
      <c r="D2605" s="1" t="s">
        <v>11</v>
      </c>
      <c r="E2605" s="1" t="s">
        <v>9</v>
      </c>
      <c r="F2605" s="1">
        <f t="shared" si="88"/>
        <v>403</v>
      </c>
      <c r="G2605" s="5">
        <f t="shared" si="87"/>
        <v>0.77915632754342434</v>
      </c>
    </row>
    <row r="2606" spans="1:7" ht="13">
      <c r="A2606" s="4" t="s">
        <v>120</v>
      </c>
      <c r="B2606" s="1">
        <v>5.5</v>
      </c>
      <c r="C2606" s="1">
        <v>454</v>
      </c>
      <c r="D2606" s="1" t="s">
        <v>35</v>
      </c>
      <c r="E2606" s="1" t="s">
        <v>8</v>
      </c>
      <c r="F2606" s="1">
        <f t="shared" si="88"/>
        <v>550</v>
      </c>
      <c r="G2606" s="5">
        <f t="shared" si="87"/>
        <v>0.82545454545454544</v>
      </c>
    </row>
    <row r="2607" spans="1:7" ht="13">
      <c r="A2607" s="4" t="s">
        <v>120</v>
      </c>
      <c r="B2607" s="1">
        <v>8.6999999999999993</v>
      </c>
      <c r="C2607" s="1">
        <v>725</v>
      </c>
      <c r="D2607" s="1" t="s">
        <v>11</v>
      </c>
      <c r="E2607" s="1" t="s">
        <v>24</v>
      </c>
      <c r="F2607" s="1">
        <f t="shared" si="88"/>
        <v>869.99999999999989</v>
      </c>
      <c r="G2607" s="5">
        <f t="shared" si="87"/>
        <v>0.83333333333333348</v>
      </c>
    </row>
    <row r="2608" spans="1:7" ht="13">
      <c r="A2608" s="4" t="s">
        <v>120</v>
      </c>
      <c r="B2608" s="1">
        <v>8.6</v>
      </c>
      <c r="C2608" s="1">
        <v>740</v>
      </c>
      <c r="D2608" s="1" t="s">
        <v>11</v>
      </c>
      <c r="E2608" s="1" t="s">
        <v>12</v>
      </c>
      <c r="F2608" s="1">
        <f t="shared" si="88"/>
        <v>860</v>
      </c>
      <c r="G2608" s="5">
        <f t="shared" si="87"/>
        <v>0.86046511627906974</v>
      </c>
    </row>
    <row r="2609" spans="1:7" ht="13">
      <c r="A2609" s="4" t="s">
        <v>120</v>
      </c>
      <c r="B2609" s="1">
        <v>8.6</v>
      </c>
      <c r="C2609" s="1">
        <v>594</v>
      </c>
      <c r="D2609" s="1" t="s">
        <v>33</v>
      </c>
      <c r="E2609" s="1" t="s">
        <v>26</v>
      </c>
      <c r="F2609" s="1">
        <f t="shared" si="88"/>
        <v>860</v>
      </c>
      <c r="G2609" s="5">
        <f t="shared" si="87"/>
        <v>0.69069767441860463</v>
      </c>
    </row>
    <row r="2610" spans="1:7" ht="13">
      <c r="A2610" s="4" t="s">
        <v>120</v>
      </c>
      <c r="B2610" s="1">
        <v>6.5</v>
      </c>
      <c r="C2610" s="1">
        <v>484</v>
      </c>
      <c r="D2610" s="1" t="s">
        <v>39</v>
      </c>
      <c r="E2610" s="1" t="s">
        <v>16</v>
      </c>
      <c r="F2610" s="1">
        <f t="shared" si="88"/>
        <v>650</v>
      </c>
      <c r="G2610" s="5">
        <f t="shared" si="87"/>
        <v>0.74461538461538457</v>
      </c>
    </row>
    <row r="2611" spans="1:7" ht="13">
      <c r="A2611" s="4" t="s">
        <v>120</v>
      </c>
      <c r="B2611" s="1">
        <v>6.96</v>
      </c>
      <c r="C2611" s="1">
        <v>609</v>
      </c>
      <c r="D2611" s="1" t="s">
        <v>11</v>
      </c>
      <c r="E2611" s="1" t="s">
        <v>18</v>
      </c>
      <c r="F2611" s="1">
        <f t="shared" si="88"/>
        <v>696</v>
      </c>
      <c r="G2611" s="5">
        <f t="shared" si="87"/>
        <v>0.875</v>
      </c>
    </row>
    <row r="2612" spans="1:7" ht="13">
      <c r="A2612" s="4" t="s">
        <v>120</v>
      </c>
      <c r="B2612" s="1">
        <v>5</v>
      </c>
      <c r="C2612" s="1">
        <v>374</v>
      </c>
      <c r="D2612" s="1" t="s">
        <v>43</v>
      </c>
      <c r="E2612" s="1" t="s">
        <v>22</v>
      </c>
      <c r="F2612" s="1">
        <f t="shared" si="88"/>
        <v>500</v>
      </c>
      <c r="G2612" s="5">
        <f t="shared" si="87"/>
        <v>0.748</v>
      </c>
    </row>
    <row r="2613" spans="1:7" ht="13">
      <c r="A2613" s="4" t="s">
        <v>120</v>
      </c>
      <c r="B2613" s="1">
        <v>3.5</v>
      </c>
      <c r="C2613" s="1">
        <v>192</v>
      </c>
      <c r="D2613" s="1" t="s">
        <v>42</v>
      </c>
      <c r="E2613" s="1" t="s">
        <v>10</v>
      </c>
      <c r="F2613" s="1">
        <f t="shared" si="88"/>
        <v>350</v>
      </c>
      <c r="G2613" s="5">
        <f t="shared" si="87"/>
        <v>0.5485714285714286</v>
      </c>
    </row>
    <row r="2614" spans="1:7" ht="13">
      <c r="A2614" s="4" t="s">
        <v>120</v>
      </c>
      <c r="B2614" s="1">
        <v>7.3949999999999996</v>
      </c>
      <c r="C2614" s="1">
        <v>590</v>
      </c>
      <c r="D2614" s="1" t="s">
        <v>42</v>
      </c>
      <c r="E2614" s="1" t="s">
        <v>25</v>
      </c>
      <c r="F2614" s="1">
        <f t="shared" si="88"/>
        <v>739.5</v>
      </c>
      <c r="G2614" s="5">
        <f t="shared" si="87"/>
        <v>0.79783637592968226</v>
      </c>
    </row>
    <row r="2615" spans="1:7" ht="13">
      <c r="A2615" s="4" t="s">
        <v>120</v>
      </c>
      <c r="B2615" s="1">
        <v>10.199999999999999</v>
      </c>
      <c r="C2615" s="1">
        <v>630</v>
      </c>
      <c r="D2615" s="1" t="s">
        <v>47</v>
      </c>
      <c r="E2615" s="1" t="s">
        <v>7</v>
      </c>
      <c r="F2615" s="1">
        <f t="shared" si="88"/>
        <v>1019.9999999999999</v>
      </c>
      <c r="G2615" s="5">
        <f t="shared" si="87"/>
        <v>0.61764705882352944</v>
      </c>
    </row>
    <row r="2616" spans="1:7" ht="13">
      <c r="A2616" s="4" t="s">
        <v>120</v>
      </c>
      <c r="B2616" s="1">
        <v>6.75</v>
      </c>
      <c r="C2616" s="1">
        <v>421</v>
      </c>
      <c r="D2616" s="1" t="s">
        <v>33</v>
      </c>
      <c r="E2616" s="1" t="s">
        <v>15</v>
      </c>
      <c r="F2616" s="1">
        <f t="shared" si="88"/>
        <v>675</v>
      </c>
      <c r="G2616" s="5">
        <f t="shared" si="87"/>
        <v>0.62370370370370365</v>
      </c>
    </row>
    <row r="2617" spans="1:7" ht="13">
      <c r="A2617" s="4" t="s">
        <v>120</v>
      </c>
      <c r="B2617" s="1">
        <v>3.91</v>
      </c>
      <c r="C2617" s="1">
        <v>203</v>
      </c>
      <c r="D2617" s="1" t="s">
        <v>40</v>
      </c>
      <c r="E2617" s="1" t="s">
        <v>30</v>
      </c>
      <c r="F2617" s="1">
        <f t="shared" si="88"/>
        <v>391</v>
      </c>
      <c r="G2617" s="5">
        <f t="shared" si="87"/>
        <v>0.51918158567774941</v>
      </c>
    </row>
    <row r="2618" spans="1:7" ht="13">
      <c r="A2618" s="4" t="s">
        <v>120</v>
      </c>
      <c r="B2618" s="1">
        <v>9.4600000000000009</v>
      </c>
      <c r="C2618" s="1">
        <v>740</v>
      </c>
      <c r="D2618" s="1" t="s">
        <v>52</v>
      </c>
      <c r="E2618" s="1" t="s">
        <v>18</v>
      </c>
      <c r="F2618" s="1">
        <f t="shared" si="88"/>
        <v>946.00000000000011</v>
      </c>
      <c r="G2618" s="5">
        <f t="shared" si="87"/>
        <v>0.7822410147991542</v>
      </c>
    </row>
    <row r="2619" spans="1:7" ht="13">
      <c r="A2619" s="4" t="s">
        <v>120</v>
      </c>
      <c r="B2619" s="1">
        <v>6.02</v>
      </c>
      <c r="C2619" s="1">
        <v>523</v>
      </c>
      <c r="D2619" s="1" t="s">
        <v>38</v>
      </c>
      <c r="E2619" s="1" t="s">
        <v>8</v>
      </c>
      <c r="F2619" s="1">
        <f t="shared" si="88"/>
        <v>602</v>
      </c>
      <c r="G2619" s="5">
        <f t="shared" si="87"/>
        <v>0.8687707641196013</v>
      </c>
    </row>
    <row r="2620" spans="1:7" ht="13">
      <c r="A2620" s="4" t="s">
        <v>120</v>
      </c>
      <c r="B2620" s="1">
        <v>7.2</v>
      </c>
      <c r="C2620" s="1">
        <v>445</v>
      </c>
      <c r="D2620" s="1" t="s">
        <v>43</v>
      </c>
      <c r="E2620" s="1" t="s">
        <v>25</v>
      </c>
      <c r="F2620" s="1">
        <f t="shared" si="88"/>
        <v>720</v>
      </c>
      <c r="G2620" s="5">
        <f t="shared" si="87"/>
        <v>0.61805555555555558</v>
      </c>
    </row>
    <row r="2621" spans="1:7" ht="13">
      <c r="A2621" s="4" t="s">
        <v>120</v>
      </c>
      <c r="B2621" s="1">
        <v>6.09</v>
      </c>
      <c r="C2621" s="1">
        <v>451</v>
      </c>
      <c r="D2621" s="1" t="s">
        <v>42</v>
      </c>
      <c r="E2621" s="1" t="s">
        <v>8</v>
      </c>
      <c r="F2621" s="1">
        <f t="shared" si="88"/>
        <v>609</v>
      </c>
      <c r="G2621" s="5">
        <f t="shared" si="87"/>
        <v>0.7405582922824302</v>
      </c>
    </row>
    <row r="2622" spans="1:7" ht="13">
      <c r="A2622" s="4" t="s">
        <v>120</v>
      </c>
      <c r="B2622" s="1">
        <v>4.0999999999999996</v>
      </c>
      <c r="C2622" s="1">
        <v>405</v>
      </c>
      <c r="D2622" s="1" t="s">
        <v>11</v>
      </c>
      <c r="E2622" s="1" t="s">
        <v>12</v>
      </c>
      <c r="F2622" s="1">
        <f t="shared" si="88"/>
        <v>409.99999999999994</v>
      </c>
      <c r="G2622" s="5">
        <f t="shared" si="87"/>
        <v>0.98780487804878059</v>
      </c>
    </row>
    <row r="2623" spans="1:7" ht="13">
      <c r="A2623" s="4" t="s">
        <v>120</v>
      </c>
      <c r="B2623" s="1">
        <v>7.74</v>
      </c>
      <c r="C2623" s="1">
        <v>472</v>
      </c>
      <c r="D2623" s="1" t="s">
        <v>43</v>
      </c>
      <c r="E2623" s="1" t="s">
        <v>16</v>
      </c>
      <c r="F2623" s="1">
        <f t="shared" si="88"/>
        <v>774</v>
      </c>
      <c r="G2623" s="5">
        <f t="shared" si="87"/>
        <v>0.60981912144702843</v>
      </c>
    </row>
    <row r="2624" spans="1:7" ht="13">
      <c r="A2624" s="4" t="s">
        <v>120</v>
      </c>
      <c r="B2624" s="1">
        <v>6.88</v>
      </c>
      <c r="C2624" s="1">
        <v>623</v>
      </c>
      <c r="D2624" s="1" t="s">
        <v>11</v>
      </c>
      <c r="E2624" s="1" t="s">
        <v>8</v>
      </c>
      <c r="F2624" s="1">
        <f t="shared" si="88"/>
        <v>688</v>
      </c>
      <c r="G2624" s="5">
        <f t="shared" si="87"/>
        <v>0.90552325581395354</v>
      </c>
    </row>
    <row r="2625" spans="1:7" ht="13">
      <c r="A2625" s="4" t="s">
        <v>120</v>
      </c>
      <c r="B2625" s="1">
        <v>6.96</v>
      </c>
      <c r="C2625" s="1">
        <v>533</v>
      </c>
      <c r="D2625" s="1" t="s">
        <v>11</v>
      </c>
      <c r="E2625" s="1" t="s">
        <v>31</v>
      </c>
      <c r="F2625" s="1">
        <f t="shared" si="88"/>
        <v>696</v>
      </c>
      <c r="G2625" s="5">
        <f t="shared" si="87"/>
        <v>0.76580459770114939</v>
      </c>
    </row>
    <row r="2626" spans="1:7" ht="13">
      <c r="A2626" s="4" t="s">
        <v>120</v>
      </c>
      <c r="B2626" s="1">
        <v>7</v>
      </c>
      <c r="C2626" s="1">
        <v>546</v>
      </c>
      <c r="D2626" s="1" t="s">
        <v>11</v>
      </c>
      <c r="E2626" s="1" t="s">
        <v>7</v>
      </c>
      <c r="F2626" s="1">
        <f t="shared" si="88"/>
        <v>700</v>
      </c>
      <c r="G2626" s="5">
        <f t="shared" ref="G2626:G2689" si="89">C2626/F2626</f>
        <v>0.78</v>
      </c>
    </row>
    <row r="2627" spans="1:7" ht="13">
      <c r="A2627" s="4" t="s">
        <v>120</v>
      </c>
      <c r="B2627" s="1">
        <v>6</v>
      </c>
      <c r="C2627" s="1">
        <v>509</v>
      </c>
      <c r="D2627" s="1" t="s">
        <v>11</v>
      </c>
      <c r="E2627" s="1" t="s">
        <v>10</v>
      </c>
      <c r="F2627" s="1">
        <f t="shared" ref="F2627:F2690" si="90">B2627*100</f>
        <v>600</v>
      </c>
      <c r="G2627" s="5">
        <f t="shared" si="89"/>
        <v>0.84833333333333338</v>
      </c>
    </row>
    <row r="2628" spans="1:7" ht="13">
      <c r="A2628" s="4" t="s">
        <v>120</v>
      </c>
      <c r="B2628" s="1">
        <v>6</v>
      </c>
      <c r="C2628" s="1">
        <v>551</v>
      </c>
      <c r="D2628" s="1" t="s">
        <v>11</v>
      </c>
      <c r="E2628" s="1" t="s">
        <v>19</v>
      </c>
      <c r="F2628" s="1">
        <f t="shared" si="90"/>
        <v>600</v>
      </c>
      <c r="G2628" s="5">
        <f t="shared" si="89"/>
        <v>0.91833333333333333</v>
      </c>
    </row>
    <row r="2629" spans="1:7" ht="13">
      <c r="A2629" s="4" t="s">
        <v>120</v>
      </c>
      <c r="B2629" s="1">
        <v>5.2</v>
      </c>
      <c r="C2629" s="1">
        <v>342</v>
      </c>
      <c r="D2629" s="1" t="s">
        <v>11</v>
      </c>
      <c r="E2629" s="1" t="s">
        <v>27</v>
      </c>
      <c r="F2629" s="1">
        <f t="shared" si="90"/>
        <v>520</v>
      </c>
      <c r="G2629" s="5">
        <f t="shared" si="89"/>
        <v>0.65769230769230769</v>
      </c>
    </row>
    <row r="2630" spans="1:7" ht="13">
      <c r="A2630" s="4" t="s">
        <v>120</v>
      </c>
      <c r="B2630" s="1">
        <v>8.6999999999999993</v>
      </c>
      <c r="C2630" s="1">
        <v>718</v>
      </c>
      <c r="D2630" s="1" t="s">
        <v>35</v>
      </c>
      <c r="E2630" s="1" t="s">
        <v>27</v>
      </c>
      <c r="F2630" s="1">
        <f t="shared" si="90"/>
        <v>869.99999999999989</v>
      </c>
      <c r="G2630" s="5">
        <f t="shared" si="89"/>
        <v>0.82528735632183914</v>
      </c>
    </row>
    <row r="2631" spans="1:7" ht="13">
      <c r="A2631" s="4" t="s">
        <v>120</v>
      </c>
      <c r="B2631" s="1">
        <v>5.65</v>
      </c>
      <c r="C2631" s="1">
        <v>314</v>
      </c>
      <c r="D2631" s="1" t="s">
        <v>33</v>
      </c>
      <c r="E2631" s="1" t="s">
        <v>15</v>
      </c>
      <c r="F2631" s="1">
        <f t="shared" si="90"/>
        <v>565</v>
      </c>
      <c r="G2631" s="5">
        <f t="shared" si="89"/>
        <v>0.55575221238938055</v>
      </c>
    </row>
    <row r="2632" spans="1:7" ht="13">
      <c r="A2632" s="4" t="s">
        <v>120</v>
      </c>
      <c r="B2632" s="1">
        <v>9.1999999999999993</v>
      </c>
      <c r="C2632" s="1">
        <v>536</v>
      </c>
      <c r="D2632" s="1" t="s">
        <v>33</v>
      </c>
      <c r="E2632" s="1" t="s">
        <v>20</v>
      </c>
      <c r="F2632" s="1">
        <f t="shared" si="90"/>
        <v>919.99999999999989</v>
      </c>
      <c r="G2632" s="5">
        <f t="shared" si="89"/>
        <v>0.58260869565217399</v>
      </c>
    </row>
    <row r="2633" spans="1:7" ht="13">
      <c r="A2633" s="4" t="s">
        <v>120</v>
      </c>
      <c r="B2633" s="1">
        <v>6.49</v>
      </c>
      <c r="C2633" s="1">
        <v>442</v>
      </c>
      <c r="D2633" s="1" t="s">
        <v>54</v>
      </c>
      <c r="E2633" s="1" t="s">
        <v>25</v>
      </c>
      <c r="F2633" s="1">
        <f t="shared" si="90"/>
        <v>649</v>
      </c>
      <c r="G2633" s="5">
        <f t="shared" si="89"/>
        <v>0.68104776579352855</v>
      </c>
    </row>
    <row r="2634" spans="1:7" ht="13">
      <c r="A2634" s="4" t="s">
        <v>120</v>
      </c>
      <c r="B2634" s="1">
        <v>8.6</v>
      </c>
      <c r="C2634" s="1">
        <v>731</v>
      </c>
      <c r="D2634" s="1" t="s">
        <v>11</v>
      </c>
      <c r="E2634" s="1" t="s">
        <v>19</v>
      </c>
      <c r="F2634" s="1">
        <f t="shared" si="90"/>
        <v>860</v>
      </c>
      <c r="G2634" s="5">
        <f t="shared" si="89"/>
        <v>0.85</v>
      </c>
    </row>
    <row r="2635" spans="1:7" ht="13">
      <c r="A2635" s="4" t="s">
        <v>120</v>
      </c>
      <c r="B2635" s="1">
        <v>6.8</v>
      </c>
      <c r="C2635" s="1">
        <v>339.5</v>
      </c>
      <c r="D2635" s="1" t="s">
        <v>33</v>
      </c>
      <c r="E2635" s="1" t="s">
        <v>19</v>
      </c>
      <c r="F2635" s="1">
        <f t="shared" si="90"/>
        <v>680</v>
      </c>
      <c r="G2635" s="5">
        <f t="shared" si="89"/>
        <v>0.49926470588235294</v>
      </c>
    </row>
    <row r="2636" spans="1:7" ht="13">
      <c r="A2636" s="4" t="s">
        <v>120</v>
      </c>
      <c r="B2636" s="1">
        <v>5.4</v>
      </c>
      <c r="C2636" s="1">
        <v>528</v>
      </c>
      <c r="D2636" s="1" t="s">
        <v>39</v>
      </c>
      <c r="E2636" s="1" t="s">
        <v>8</v>
      </c>
      <c r="F2636" s="1">
        <f t="shared" si="90"/>
        <v>540</v>
      </c>
      <c r="G2636" s="5">
        <f t="shared" si="89"/>
        <v>0.97777777777777775</v>
      </c>
    </row>
    <row r="2637" spans="1:7" ht="13">
      <c r="A2637" s="4" t="s">
        <v>120</v>
      </c>
      <c r="B2637" s="1">
        <v>6.1</v>
      </c>
      <c r="C2637" s="1">
        <v>506</v>
      </c>
      <c r="D2637" s="1" t="s">
        <v>11</v>
      </c>
      <c r="E2637" s="1" t="s">
        <v>17</v>
      </c>
      <c r="F2637" s="1">
        <f t="shared" si="90"/>
        <v>610</v>
      </c>
      <c r="G2637" s="5">
        <f t="shared" si="89"/>
        <v>0.82950819672131149</v>
      </c>
    </row>
    <row r="2638" spans="1:7" ht="13">
      <c r="A2638" s="4" t="s">
        <v>120</v>
      </c>
      <c r="B2638" s="1">
        <v>8.8000000000000007</v>
      </c>
      <c r="C2638" s="1">
        <v>580</v>
      </c>
      <c r="D2638" s="1" t="s">
        <v>47</v>
      </c>
      <c r="E2638" s="1" t="s">
        <v>30</v>
      </c>
      <c r="F2638" s="1">
        <f t="shared" si="90"/>
        <v>880.00000000000011</v>
      </c>
      <c r="G2638" s="5">
        <f t="shared" si="89"/>
        <v>0.65909090909090906</v>
      </c>
    </row>
    <row r="2639" spans="1:7" ht="13">
      <c r="A2639" s="4" t="s">
        <v>120</v>
      </c>
      <c r="B2639" s="1">
        <v>7.7</v>
      </c>
      <c r="C2639" s="1">
        <v>575</v>
      </c>
      <c r="D2639" s="1" t="s">
        <v>39</v>
      </c>
      <c r="E2639" s="1" t="s">
        <v>16</v>
      </c>
      <c r="F2639" s="1">
        <f t="shared" si="90"/>
        <v>770</v>
      </c>
      <c r="G2639" s="5">
        <f t="shared" si="89"/>
        <v>0.74675324675324672</v>
      </c>
    </row>
    <row r="2640" spans="1:7" ht="13">
      <c r="A2640" s="4" t="s">
        <v>120</v>
      </c>
      <c r="B2640" s="1">
        <v>6.64</v>
      </c>
      <c r="C2640" s="1">
        <v>534</v>
      </c>
      <c r="D2640" s="1" t="s">
        <v>11</v>
      </c>
      <c r="E2640" s="1" t="s">
        <v>25</v>
      </c>
      <c r="F2640" s="1">
        <f t="shared" si="90"/>
        <v>664</v>
      </c>
      <c r="G2640" s="5">
        <f t="shared" si="89"/>
        <v>0.80421686746987953</v>
      </c>
    </row>
    <row r="2641" spans="1:7" ht="13">
      <c r="A2641" s="4" t="s">
        <v>120</v>
      </c>
      <c r="B2641" s="1">
        <v>4.3499999999999996</v>
      </c>
      <c r="C2641" s="1">
        <v>361</v>
      </c>
      <c r="D2641" s="1" t="s">
        <v>11</v>
      </c>
      <c r="E2641" s="1" t="s">
        <v>8</v>
      </c>
      <c r="F2641" s="1">
        <f t="shared" si="90"/>
        <v>434.99999999999994</v>
      </c>
      <c r="G2641" s="5">
        <f t="shared" si="89"/>
        <v>0.82988505747126451</v>
      </c>
    </row>
    <row r="2642" spans="1:7" ht="13">
      <c r="A2642" s="4" t="s">
        <v>120</v>
      </c>
      <c r="B2642" s="1">
        <v>6</v>
      </c>
      <c r="C2642" s="1">
        <v>410</v>
      </c>
      <c r="D2642" s="1" t="s">
        <v>33</v>
      </c>
      <c r="E2642" s="1" t="s">
        <v>15</v>
      </c>
      <c r="F2642" s="1">
        <f t="shared" si="90"/>
        <v>600</v>
      </c>
      <c r="G2642" s="5">
        <f t="shared" si="89"/>
        <v>0.68333333333333335</v>
      </c>
    </row>
    <row r="2643" spans="1:7" ht="13">
      <c r="A2643" s="4" t="s">
        <v>120</v>
      </c>
      <c r="B2643" s="1">
        <v>7.4</v>
      </c>
      <c r="C2643" s="1">
        <v>555</v>
      </c>
      <c r="D2643" s="1" t="s">
        <v>11</v>
      </c>
      <c r="E2643" s="1" t="s">
        <v>10</v>
      </c>
      <c r="F2643" s="1">
        <f t="shared" si="90"/>
        <v>740</v>
      </c>
      <c r="G2643" s="5">
        <f t="shared" si="89"/>
        <v>0.75</v>
      </c>
    </row>
    <row r="2644" spans="1:7" ht="13">
      <c r="A2644" s="4" t="s">
        <v>120</v>
      </c>
      <c r="B2644" s="1">
        <v>5.2</v>
      </c>
      <c r="C2644" s="1">
        <v>564</v>
      </c>
      <c r="D2644" s="1" t="s">
        <v>11</v>
      </c>
      <c r="E2644" s="1" t="s">
        <v>19</v>
      </c>
      <c r="F2644" s="1">
        <f t="shared" si="90"/>
        <v>520</v>
      </c>
      <c r="G2644" s="5">
        <f t="shared" si="89"/>
        <v>1.0846153846153845</v>
      </c>
    </row>
    <row r="2645" spans="1:7" ht="13">
      <c r="A2645" s="4" t="s">
        <v>120</v>
      </c>
      <c r="B2645" s="1">
        <v>6.1</v>
      </c>
      <c r="C2645" s="1">
        <v>545</v>
      </c>
      <c r="D2645" s="1" t="s">
        <v>38</v>
      </c>
      <c r="E2645" s="1" t="s">
        <v>8</v>
      </c>
      <c r="F2645" s="1">
        <f t="shared" si="90"/>
        <v>610</v>
      </c>
      <c r="G2645" s="5">
        <f t="shared" si="89"/>
        <v>0.89344262295081966</v>
      </c>
    </row>
    <row r="2646" spans="1:7" ht="13">
      <c r="A2646" s="4" t="s">
        <v>120</v>
      </c>
      <c r="B2646" s="1">
        <v>5.12</v>
      </c>
      <c r="C2646" s="1">
        <v>440</v>
      </c>
      <c r="D2646" s="1" t="s">
        <v>11</v>
      </c>
      <c r="E2646" s="1" t="s">
        <v>16</v>
      </c>
      <c r="F2646" s="1">
        <f t="shared" si="90"/>
        <v>512</v>
      </c>
      <c r="G2646" s="5">
        <f t="shared" si="89"/>
        <v>0.859375</v>
      </c>
    </row>
    <row r="2647" spans="1:7" ht="13">
      <c r="A2647" s="4" t="s">
        <v>120</v>
      </c>
      <c r="B2647" s="1">
        <v>9.24</v>
      </c>
      <c r="C2647" s="1">
        <v>704</v>
      </c>
      <c r="D2647" s="1" t="s">
        <v>42</v>
      </c>
      <c r="E2647" s="1" t="s">
        <v>12</v>
      </c>
      <c r="F2647" s="1">
        <f t="shared" si="90"/>
        <v>924</v>
      </c>
      <c r="G2647" s="5">
        <f t="shared" si="89"/>
        <v>0.76190476190476186</v>
      </c>
    </row>
    <row r="2648" spans="1:7" ht="13">
      <c r="A2648" s="4" t="s">
        <v>120</v>
      </c>
      <c r="B2648" s="1">
        <v>4.5</v>
      </c>
      <c r="C2648" s="1">
        <v>373</v>
      </c>
      <c r="D2648" s="1" t="s">
        <v>11</v>
      </c>
      <c r="E2648" s="1" t="s">
        <v>15</v>
      </c>
      <c r="F2648" s="1">
        <f t="shared" si="90"/>
        <v>450</v>
      </c>
      <c r="G2648" s="5">
        <f t="shared" si="89"/>
        <v>0.8288888888888889</v>
      </c>
    </row>
    <row r="2649" spans="1:7" ht="13">
      <c r="A2649" s="4" t="s">
        <v>120</v>
      </c>
      <c r="B2649" s="1">
        <v>5.6</v>
      </c>
      <c r="C2649" s="1">
        <v>286</v>
      </c>
      <c r="D2649" s="1" t="s">
        <v>102</v>
      </c>
      <c r="E2649" s="1" t="s">
        <v>26</v>
      </c>
      <c r="F2649" s="1">
        <f t="shared" si="90"/>
        <v>560</v>
      </c>
      <c r="G2649" s="5">
        <f t="shared" si="89"/>
        <v>0.51071428571428568</v>
      </c>
    </row>
    <row r="2650" spans="1:7" ht="13">
      <c r="A2650" s="4" t="s">
        <v>120</v>
      </c>
      <c r="B2650" s="1">
        <v>6.1</v>
      </c>
      <c r="C2650" s="1">
        <v>496.6</v>
      </c>
      <c r="D2650" s="1" t="s">
        <v>11</v>
      </c>
      <c r="E2650" s="1" t="s">
        <v>15</v>
      </c>
      <c r="F2650" s="1">
        <f t="shared" si="90"/>
        <v>610</v>
      </c>
      <c r="G2650" s="5">
        <f t="shared" si="89"/>
        <v>0.81409836065573771</v>
      </c>
    </row>
    <row r="2651" spans="1:7" ht="13">
      <c r="A2651" s="4" t="s">
        <v>120</v>
      </c>
      <c r="B2651" s="1">
        <v>4</v>
      </c>
      <c r="C2651" s="1">
        <v>360.3</v>
      </c>
      <c r="D2651" s="1" t="s">
        <v>11</v>
      </c>
      <c r="E2651" s="1" t="s">
        <v>15</v>
      </c>
      <c r="F2651" s="1">
        <f t="shared" si="90"/>
        <v>400</v>
      </c>
      <c r="G2651" s="5">
        <f t="shared" si="89"/>
        <v>0.90075000000000005</v>
      </c>
    </row>
    <row r="2652" spans="1:7" ht="13">
      <c r="A2652" s="4" t="s">
        <v>120</v>
      </c>
      <c r="B2652" s="1">
        <v>7.7</v>
      </c>
      <c r="C2652" s="1">
        <v>438</v>
      </c>
      <c r="D2652" s="1" t="s">
        <v>33</v>
      </c>
      <c r="E2652" s="1" t="s">
        <v>16</v>
      </c>
      <c r="F2652" s="1">
        <f t="shared" si="90"/>
        <v>770</v>
      </c>
      <c r="G2652" s="5">
        <f t="shared" si="89"/>
        <v>0.5688311688311688</v>
      </c>
    </row>
    <row r="2653" spans="1:7" ht="13">
      <c r="A2653" s="4" t="s">
        <v>120</v>
      </c>
      <c r="B2653" s="1">
        <v>6.1</v>
      </c>
      <c r="C2653" s="1">
        <v>420</v>
      </c>
      <c r="D2653" s="1" t="s">
        <v>63</v>
      </c>
      <c r="E2653" s="1" t="s">
        <v>23</v>
      </c>
      <c r="F2653" s="1">
        <f t="shared" si="90"/>
        <v>610</v>
      </c>
      <c r="G2653" s="5">
        <f t="shared" si="89"/>
        <v>0.68852459016393441</v>
      </c>
    </row>
    <row r="2654" spans="1:7" ht="13">
      <c r="A2654" s="4" t="s">
        <v>120</v>
      </c>
      <c r="B2654" s="1">
        <v>6.24</v>
      </c>
      <c r="C2654" s="1">
        <v>689</v>
      </c>
      <c r="D2654" s="1" t="s">
        <v>11</v>
      </c>
      <c r="E2654" s="1" t="s">
        <v>17</v>
      </c>
      <c r="F2654" s="1">
        <f t="shared" si="90"/>
        <v>624</v>
      </c>
      <c r="G2654" s="5">
        <f t="shared" si="89"/>
        <v>1.1041666666666667</v>
      </c>
    </row>
    <row r="2655" spans="1:7" ht="13">
      <c r="A2655" s="4" t="s">
        <v>120</v>
      </c>
      <c r="B2655" s="1">
        <v>7.2</v>
      </c>
      <c r="C2655" s="1">
        <v>622</v>
      </c>
      <c r="D2655" s="1" t="s">
        <v>47</v>
      </c>
      <c r="E2655" s="1" t="s">
        <v>17</v>
      </c>
      <c r="F2655" s="1">
        <f t="shared" si="90"/>
        <v>720</v>
      </c>
      <c r="G2655" s="5">
        <f t="shared" si="89"/>
        <v>0.86388888888888893</v>
      </c>
    </row>
    <row r="2656" spans="1:7" ht="13">
      <c r="A2656" s="4" t="s">
        <v>120</v>
      </c>
      <c r="B2656" s="1">
        <v>7.7</v>
      </c>
      <c r="C2656" s="1">
        <v>493</v>
      </c>
      <c r="D2656" s="1" t="s">
        <v>33</v>
      </c>
      <c r="E2656" s="1" t="s">
        <v>8</v>
      </c>
      <c r="F2656" s="1">
        <f t="shared" si="90"/>
        <v>770</v>
      </c>
      <c r="G2656" s="5">
        <f t="shared" si="89"/>
        <v>0.64025974025974031</v>
      </c>
    </row>
    <row r="2657" spans="1:7" ht="13">
      <c r="A2657" s="4" t="s">
        <v>120</v>
      </c>
      <c r="B2657" s="1">
        <v>7.74</v>
      </c>
      <c r="C2657" s="1">
        <v>589</v>
      </c>
      <c r="D2657" s="1" t="s">
        <v>42</v>
      </c>
      <c r="E2657" s="1" t="s">
        <v>49</v>
      </c>
      <c r="F2657" s="1">
        <f t="shared" si="90"/>
        <v>774</v>
      </c>
      <c r="G2657" s="5">
        <f t="shared" si="89"/>
        <v>0.76098191214470279</v>
      </c>
    </row>
    <row r="2658" spans="1:7" ht="13">
      <c r="A2658" s="4" t="s">
        <v>120</v>
      </c>
      <c r="B2658" s="1">
        <v>6.1</v>
      </c>
      <c r="C2658" s="1">
        <v>476</v>
      </c>
      <c r="D2658" s="1" t="s">
        <v>11</v>
      </c>
      <c r="E2658" s="1" t="s">
        <v>20</v>
      </c>
      <c r="F2658" s="1">
        <f t="shared" si="90"/>
        <v>610</v>
      </c>
      <c r="G2658" s="5">
        <f t="shared" si="89"/>
        <v>0.78032786885245897</v>
      </c>
    </row>
    <row r="2659" spans="1:7" ht="13">
      <c r="A2659" s="4" t="s">
        <v>120</v>
      </c>
      <c r="B2659" s="1">
        <v>4.9800000000000004</v>
      </c>
      <c r="C2659" s="1">
        <v>349</v>
      </c>
      <c r="D2659" s="1" t="s">
        <v>11</v>
      </c>
      <c r="E2659" s="1" t="s">
        <v>25</v>
      </c>
      <c r="F2659" s="1">
        <f t="shared" si="90"/>
        <v>498.00000000000006</v>
      </c>
      <c r="G2659" s="5">
        <f t="shared" si="89"/>
        <v>0.70080321285140557</v>
      </c>
    </row>
    <row r="2660" spans="1:7" ht="13">
      <c r="A2660" s="4" t="s">
        <v>120</v>
      </c>
      <c r="B2660" s="1">
        <v>7.56</v>
      </c>
      <c r="C2660" s="1">
        <v>469</v>
      </c>
      <c r="D2660" s="1" t="s">
        <v>53</v>
      </c>
      <c r="E2660" s="1" t="s">
        <v>31</v>
      </c>
      <c r="F2660" s="1">
        <f t="shared" si="90"/>
        <v>756</v>
      </c>
      <c r="G2660" s="5">
        <f t="shared" si="89"/>
        <v>0.62037037037037035</v>
      </c>
    </row>
    <row r="2661" spans="1:7" ht="13">
      <c r="A2661" s="4" t="s">
        <v>120</v>
      </c>
      <c r="B2661" s="1">
        <v>6.88</v>
      </c>
      <c r="C2661" s="1">
        <v>603</v>
      </c>
      <c r="D2661" s="1" t="s">
        <v>11</v>
      </c>
      <c r="E2661" s="1" t="s">
        <v>15</v>
      </c>
      <c r="F2661" s="1">
        <f t="shared" si="90"/>
        <v>688</v>
      </c>
      <c r="G2661" s="5">
        <f t="shared" si="89"/>
        <v>0.87645348837209303</v>
      </c>
    </row>
    <row r="2662" spans="1:7" ht="13">
      <c r="A2662" s="4" t="s">
        <v>120</v>
      </c>
      <c r="B2662" s="1">
        <v>4.4000000000000004</v>
      </c>
      <c r="C2662" s="1">
        <v>279</v>
      </c>
      <c r="D2662" s="1" t="s">
        <v>33</v>
      </c>
      <c r="E2662" s="1" t="s">
        <v>8</v>
      </c>
      <c r="F2662" s="1">
        <f t="shared" si="90"/>
        <v>440.00000000000006</v>
      </c>
      <c r="G2662" s="5">
        <f t="shared" si="89"/>
        <v>0.63409090909090904</v>
      </c>
    </row>
    <row r="2663" spans="1:7" ht="13">
      <c r="A2663" s="4" t="s">
        <v>120</v>
      </c>
      <c r="B2663" s="1">
        <v>7.8</v>
      </c>
      <c r="C2663" s="1">
        <v>625</v>
      </c>
      <c r="D2663" s="1" t="s">
        <v>11</v>
      </c>
      <c r="E2663" s="1" t="s">
        <v>8</v>
      </c>
      <c r="F2663" s="1">
        <f t="shared" si="90"/>
        <v>780</v>
      </c>
      <c r="G2663" s="5">
        <f t="shared" si="89"/>
        <v>0.80128205128205132</v>
      </c>
    </row>
    <row r="2664" spans="1:7" ht="13">
      <c r="A2664" s="4" t="s">
        <v>120</v>
      </c>
      <c r="B2664" s="1">
        <v>6.4</v>
      </c>
      <c r="C2664" s="1">
        <v>628</v>
      </c>
      <c r="D2664" s="1" t="s">
        <v>11</v>
      </c>
      <c r="E2664" s="1" t="s">
        <v>32</v>
      </c>
      <c r="F2664" s="1">
        <f t="shared" si="90"/>
        <v>640</v>
      </c>
      <c r="G2664" s="5">
        <f t="shared" si="89"/>
        <v>0.98124999999999996</v>
      </c>
    </row>
    <row r="2665" spans="1:7" ht="13">
      <c r="A2665" s="4" t="s">
        <v>120</v>
      </c>
      <c r="B2665" s="1">
        <v>8.9</v>
      </c>
      <c r="C2665" s="1">
        <v>667.2</v>
      </c>
      <c r="D2665" s="1" t="s">
        <v>47</v>
      </c>
      <c r="E2665" s="1" t="s">
        <v>17</v>
      </c>
      <c r="F2665" s="1">
        <f t="shared" si="90"/>
        <v>890</v>
      </c>
      <c r="G2665" s="5">
        <f t="shared" si="89"/>
        <v>0.74966292134831469</v>
      </c>
    </row>
    <row r="2666" spans="1:7" ht="13">
      <c r="A2666" s="4" t="s">
        <v>120</v>
      </c>
      <c r="B2666" s="1">
        <v>6</v>
      </c>
      <c r="C2666" s="1">
        <v>502</v>
      </c>
      <c r="D2666" s="1" t="s">
        <v>38</v>
      </c>
      <c r="E2666" s="1" t="s">
        <v>15</v>
      </c>
      <c r="F2666" s="1">
        <f t="shared" si="90"/>
        <v>600</v>
      </c>
      <c r="G2666" s="5">
        <f t="shared" si="89"/>
        <v>0.83666666666666667</v>
      </c>
    </row>
    <row r="2667" spans="1:7" ht="13">
      <c r="A2667" s="4" t="s">
        <v>120</v>
      </c>
      <c r="B2667" s="1">
        <v>6.02</v>
      </c>
      <c r="C2667" s="1">
        <v>444.24</v>
      </c>
      <c r="D2667" s="1" t="s">
        <v>11</v>
      </c>
      <c r="E2667" s="1" t="s">
        <v>22</v>
      </c>
      <c r="F2667" s="1">
        <f t="shared" si="90"/>
        <v>602</v>
      </c>
      <c r="G2667" s="5">
        <f t="shared" si="89"/>
        <v>0.73794019933554822</v>
      </c>
    </row>
    <row r="2668" spans="1:7" ht="13">
      <c r="A2668" s="4" t="s">
        <v>120</v>
      </c>
      <c r="B2668" s="1">
        <v>8.6999999999999993</v>
      </c>
      <c r="C2668" s="1">
        <v>585</v>
      </c>
      <c r="D2668" s="1" t="s">
        <v>45</v>
      </c>
      <c r="E2668" s="1" t="s">
        <v>20</v>
      </c>
      <c r="F2668" s="1">
        <f t="shared" si="90"/>
        <v>869.99999999999989</v>
      </c>
      <c r="G2668" s="5">
        <f t="shared" si="89"/>
        <v>0.6724137931034484</v>
      </c>
    </row>
    <row r="2669" spans="1:7" ht="13">
      <c r="A2669" s="4" t="s">
        <v>120</v>
      </c>
      <c r="B2669" s="1">
        <v>6.09</v>
      </c>
      <c r="C2669" s="1">
        <v>465</v>
      </c>
      <c r="D2669" s="1" t="s">
        <v>44</v>
      </c>
      <c r="E2669" s="1" t="s">
        <v>20</v>
      </c>
      <c r="F2669" s="1">
        <f t="shared" si="90"/>
        <v>609</v>
      </c>
      <c r="G2669" s="5">
        <f t="shared" si="89"/>
        <v>0.76354679802955661</v>
      </c>
    </row>
    <row r="2670" spans="1:7" ht="13">
      <c r="A2670" s="4" t="s">
        <v>120</v>
      </c>
      <c r="B2670" s="1">
        <v>6.5</v>
      </c>
      <c r="C2670" s="1">
        <v>420</v>
      </c>
      <c r="D2670" s="1" t="s">
        <v>45</v>
      </c>
      <c r="E2670" s="1" t="s">
        <v>20</v>
      </c>
      <c r="F2670" s="1">
        <f t="shared" si="90"/>
        <v>650</v>
      </c>
      <c r="G2670" s="5">
        <f t="shared" si="89"/>
        <v>0.64615384615384619</v>
      </c>
    </row>
    <row r="2671" spans="1:7" ht="13">
      <c r="A2671" s="4" t="s">
        <v>120</v>
      </c>
      <c r="B2671" s="1">
        <v>20</v>
      </c>
      <c r="C2671" s="1">
        <v>1080</v>
      </c>
      <c r="D2671" s="1" t="s">
        <v>33</v>
      </c>
      <c r="E2671" s="1" t="s">
        <v>20</v>
      </c>
      <c r="F2671" s="1">
        <f t="shared" si="90"/>
        <v>2000</v>
      </c>
      <c r="G2671" s="5">
        <f t="shared" si="89"/>
        <v>0.54</v>
      </c>
    </row>
    <row r="2672" spans="1:7" ht="13">
      <c r="A2672" s="4" t="s">
        <v>120</v>
      </c>
      <c r="B2672" s="1">
        <v>8.5</v>
      </c>
      <c r="C2672" s="1">
        <v>569</v>
      </c>
      <c r="D2672" s="1" t="s">
        <v>33</v>
      </c>
      <c r="E2672" s="1" t="s">
        <v>46</v>
      </c>
      <c r="F2672" s="1">
        <f t="shared" si="90"/>
        <v>850</v>
      </c>
      <c r="G2672" s="5">
        <f t="shared" si="89"/>
        <v>0.66941176470588237</v>
      </c>
    </row>
    <row r="2673" spans="1:7" ht="13">
      <c r="A2673" s="4" t="s">
        <v>120</v>
      </c>
      <c r="B2673" s="1">
        <v>7.74</v>
      </c>
      <c r="C2673" s="1">
        <v>705.5</v>
      </c>
      <c r="D2673" s="1" t="s">
        <v>11</v>
      </c>
      <c r="E2673" s="1" t="s">
        <v>17</v>
      </c>
      <c r="F2673" s="1">
        <f t="shared" si="90"/>
        <v>774</v>
      </c>
      <c r="G2673" s="5">
        <f t="shared" si="89"/>
        <v>0.91149870801033595</v>
      </c>
    </row>
    <row r="2674" spans="1:7" ht="13">
      <c r="A2674" s="4" t="s">
        <v>120</v>
      </c>
      <c r="B2674" s="1">
        <v>4.3499999999999996</v>
      </c>
      <c r="C2674" s="1">
        <v>424</v>
      </c>
      <c r="D2674" s="1" t="s">
        <v>38</v>
      </c>
      <c r="E2674" s="1" t="s">
        <v>9</v>
      </c>
      <c r="F2674" s="1">
        <f t="shared" si="90"/>
        <v>434.99999999999994</v>
      </c>
      <c r="G2674" s="5">
        <f t="shared" si="89"/>
        <v>0.97471264367816102</v>
      </c>
    </row>
    <row r="2675" spans="1:7" ht="13">
      <c r="A2675" s="4" t="s">
        <v>120</v>
      </c>
      <c r="B2675" s="1">
        <v>6</v>
      </c>
      <c r="C2675" s="1">
        <v>398</v>
      </c>
      <c r="D2675" s="1" t="s">
        <v>108</v>
      </c>
      <c r="E2675" s="1" t="s">
        <v>9</v>
      </c>
      <c r="F2675" s="1">
        <f t="shared" si="90"/>
        <v>600</v>
      </c>
      <c r="G2675" s="5">
        <f t="shared" si="89"/>
        <v>0.66333333333333333</v>
      </c>
    </row>
    <row r="2676" spans="1:7" ht="13">
      <c r="A2676" s="4" t="s">
        <v>120</v>
      </c>
      <c r="B2676" s="1">
        <v>7.5</v>
      </c>
      <c r="C2676" s="1">
        <v>493</v>
      </c>
      <c r="D2676" s="1" t="s">
        <v>11</v>
      </c>
      <c r="E2676" s="1" t="s">
        <v>16</v>
      </c>
      <c r="F2676" s="1">
        <f t="shared" si="90"/>
        <v>750</v>
      </c>
      <c r="G2676" s="5">
        <f t="shared" si="89"/>
        <v>0.65733333333333333</v>
      </c>
    </row>
    <row r="2677" spans="1:7" ht="13">
      <c r="A2677" s="4" t="s">
        <v>120</v>
      </c>
      <c r="B2677" s="1">
        <v>6</v>
      </c>
      <c r="C2677" s="1">
        <v>526</v>
      </c>
      <c r="D2677" s="1" t="s">
        <v>11</v>
      </c>
      <c r="E2677" s="1" t="s">
        <v>17</v>
      </c>
      <c r="F2677" s="1">
        <f t="shared" si="90"/>
        <v>600</v>
      </c>
      <c r="G2677" s="5">
        <f t="shared" si="89"/>
        <v>0.87666666666666671</v>
      </c>
    </row>
    <row r="2678" spans="1:7" ht="13">
      <c r="A2678" s="4" t="s">
        <v>120</v>
      </c>
      <c r="B2678" s="1">
        <v>7</v>
      </c>
      <c r="C2678" s="1">
        <v>438</v>
      </c>
      <c r="D2678" s="1" t="s">
        <v>33</v>
      </c>
      <c r="E2678" s="1" t="s">
        <v>20</v>
      </c>
      <c r="F2678" s="1">
        <f t="shared" si="90"/>
        <v>700</v>
      </c>
      <c r="G2678" s="5">
        <f t="shared" si="89"/>
        <v>0.62571428571428567</v>
      </c>
    </row>
    <row r="2679" spans="1:7" ht="13">
      <c r="A2679" s="4" t="s">
        <v>120</v>
      </c>
      <c r="B2679" s="1">
        <v>7.6</v>
      </c>
      <c r="C2679" s="1">
        <v>544</v>
      </c>
      <c r="D2679" s="1" t="s">
        <v>33</v>
      </c>
      <c r="E2679" s="1" t="s">
        <v>27</v>
      </c>
      <c r="F2679" s="1">
        <f t="shared" si="90"/>
        <v>760</v>
      </c>
      <c r="G2679" s="5">
        <f t="shared" si="89"/>
        <v>0.71578947368421053</v>
      </c>
    </row>
    <row r="2680" spans="1:7" ht="13">
      <c r="A2680" s="4" t="s">
        <v>120</v>
      </c>
      <c r="B2680" s="1">
        <v>9.1999999999999993</v>
      </c>
      <c r="C2680" s="1">
        <v>746</v>
      </c>
      <c r="D2680" s="1" t="s">
        <v>43</v>
      </c>
      <c r="E2680" s="1" t="s">
        <v>14</v>
      </c>
      <c r="F2680" s="1">
        <f t="shared" si="90"/>
        <v>919.99999999999989</v>
      </c>
      <c r="G2680" s="5">
        <f t="shared" si="89"/>
        <v>0.8108695652173914</v>
      </c>
    </row>
    <row r="2681" spans="1:7" ht="13">
      <c r="A2681" s="4" t="s">
        <v>120</v>
      </c>
      <c r="B2681" s="1">
        <v>6.88</v>
      </c>
      <c r="C2681" s="1">
        <v>468</v>
      </c>
      <c r="D2681" s="1" t="s">
        <v>58</v>
      </c>
      <c r="E2681" s="1" t="s">
        <v>22</v>
      </c>
      <c r="F2681" s="1">
        <f t="shared" si="90"/>
        <v>688</v>
      </c>
      <c r="G2681" s="5">
        <f t="shared" si="89"/>
        <v>0.68023255813953487</v>
      </c>
    </row>
    <row r="2682" spans="1:7" ht="13">
      <c r="A2682" s="4" t="s">
        <v>120</v>
      </c>
      <c r="B2682" s="1">
        <v>8.6999999999999993</v>
      </c>
      <c r="C2682" s="1">
        <v>655</v>
      </c>
      <c r="D2682" s="1" t="s">
        <v>11</v>
      </c>
      <c r="E2682" s="1" t="s">
        <v>10</v>
      </c>
      <c r="F2682" s="1">
        <f t="shared" si="90"/>
        <v>869.99999999999989</v>
      </c>
      <c r="G2682" s="5">
        <f t="shared" si="89"/>
        <v>0.75287356321839094</v>
      </c>
    </row>
    <row r="2683" spans="1:7" ht="13">
      <c r="A2683" s="4" t="s">
        <v>120</v>
      </c>
      <c r="B2683" s="1">
        <v>8.6999999999999993</v>
      </c>
      <c r="C2683" s="1">
        <v>548</v>
      </c>
      <c r="D2683" s="1" t="s">
        <v>33</v>
      </c>
      <c r="E2683" s="1" t="s">
        <v>26</v>
      </c>
      <c r="F2683" s="1">
        <f t="shared" si="90"/>
        <v>869.99999999999989</v>
      </c>
      <c r="G2683" s="5">
        <f t="shared" si="89"/>
        <v>0.62988505747126444</v>
      </c>
    </row>
    <row r="2684" spans="1:7" ht="13">
      <c r="A2684" s="4" t="s">
        <v>120</v>
      </c>
      <c r="B2684" s="1">
        <v>7.82</v>
      </c>
      <c r="C2684" s="1">
        <v>597</v>
      </c>
      <c r="D2684" s="1" t="s">
        <v>11</v>
      </c>
      <c r="E2684" s="1" t="s">
        <v>16</v>
      </c>
      <c r="F2684" s="1">
        <f t="shared" si="90"/>
        <v>782</v>
      </c>
      <c r="G2684" s="5">
        <f t="shared" si="89"/>
        <v>0.76342710997442453</v>
      </c>
    </row>
    <row r="2685" spans="1:7" ht="13">
      <c r="A2685" s="4" t="s">
        <v>120</v>
      </c>
      <c r="B2685" s="1">
        <v>6.7</v>
      </c>
      <c r="C2685" s="1">
        <v>566</v>
      </c>
      <c r="D2685" s="1" t="s">
        <v>11</v>
      </c>
      <c r="E2685" s="1" t="s">
        <v>16</v>
      </c>
      <c r="F2685" s="1">
        <f t="shared" si="90"/>
        <v>670</v>
      </c>
      <c r="G2685" s="5">
        <f t="shared" si="89"/>
        <v>0.84477611940298503</v>
      </c>
    </row>
    <row r="2686" spans="1:7" ht="13">
      <c r="A2686" s="4" t="s">
        <v>120</v>
      </c>
      <c r="B2686" s="1">
        <v>4.7</v>
      </c>
      <c r="C2686" s="1">
        <v>3.65</v>
      </c>
      <c r="D2686" s="1" t="s">
        <v>35</v>
      </c>
      <c r="E2686" s="1" t="s">
        <v>16</v>
      </c>
      <c r="F2686" s="1">
        <f t="shared" si="90"/>
        <v>470</v>
      </c>
      <c r="G2686" s="5">
        <f t="shared" si="89"/>
        <v>7.7659574468085107E-3</v>
      </c>
    </row>
    <row r="2687" spans="1:7" ht="13">
      <c r="A2687" s="4" t="s">
        <v>120</v>
      </c>
      <c r="B2687" s="1">
        <v>6.09</v>
      </c>
      <c r="C2687" s="1">
        <v>346</v>
      </c>
      <c r="D2687" s="1" t="s">
        <v>42</v>
      </c>
      <c r="E2687" s="1" t="s">
        <v>15</v>
      </c>
      <c r="F2687" s="1">
        <f t="shared" si="90"/>
        <v>609</v>
      </c>
      <c r="G2687" s="5">
        <f t="shared" si="89"/>
        <v>0.56814449917898191</v>
      </c>
    </row>
    <row r="2688" spans="1:7" ht="13">
      <c r="A2688" s="4" t="s">
        <v>120</v>
      </c>
      <c r="B2688" s="1">
        <v>9</v>
      </c>
      <c r="C2688" s="1">
        <v>677</v>
      </c>
      <c r="D2688" s="1" t="s">
        <v>11</v>
      </c>
      <c r="E2688" s="1" t="s">
        <v>7</v>
      </c>
      <c r="F2688" s="1">
        <f t="shared" si="90"/>
        <v>900</v>
      </c>
      <c r="G2688" s="5">
        <f t="shared" si="89"/>
        <v>0.75222222222222224</v>
      </c>
    </row>
    <row r="2689" spans="1:7" ht="13">
      <c r="A2689" s="4" t="s">
        <v>120</v>
      </c>
      <c r="B2689" s="1">
        <v>6.88</v>
      </c>
      <c r="C2689" s="1">
        <v>530</v>
      </c>
      <c r="D2689" s="1" t="s">
        <v>58</v>
      </c>
      <c r="E2689" s="1" t="s">
        <v>16</v>
      </c>
      <c r="F2689" s="1">
        <f t="shared" si="90"/>
        <v>688</v>
      </c>
      <c r="G2689" s="5">
        <f t="shared" si="89"/>
        <v>0.77034883720930236</v>
      </c>
    </row>
    <row r="2690" spans="1:7" ht="13">
      <c r="A2690" s="4" t="s">
        <v>120</v>
      </c>
      <c r="B2690" s="1">
        <v>5.2</v>
      </c>
      <c r="C2690" s="1">
        <v>460</v>
      </c>
      <c r="D2690" s="1" t="s">
        <v>11</v>
      </c>
      <c r="E2690" s="1" t="s">
        <v>16</v>
      </c>
      <c r="F2690" s="1">
        <f t="shared" si="90"/>
        <v>520</v>
      </c>
      <c r="G2690" s="5">
        <f t="shared" ref="G2690:G2753" si="91">C2690/F2690</f>
        <v>0.88461538461538458</v>
      </c>
    </row>
    <row r="2691" spans="1:7" ht="13">
      <c r="A2691" s="4" t="s">
        <v>120</v>
      </c>
      <c r="B2691" s="1">
        <v>3.48</v>
      </c>
      <c r="C2691" s="1">
        <v>276</v>
      </c>
      <c r="D2691" s="1" t="s">
        <v>11</v>
      </c>
      <c r="E2691" s="1" t="s">
        <v>7</v>
      </c>
      <c r="F2691" s="1">
        <f t="shared" ref="F2691:F2754" si="92">B2691*100</f>
        <v>348</v>
      </c>
      <c r="G2691" s="5">
        <f t="shared" si="91"/>
        <v>0.7931034482758621</v>
      </c>
    </row>
    <row r="2692" spans="1:7" ht="13">
      <c r="A2692" s="4" t="s">
        <v>120</v>
      </c>
      <c r="B2692" s="1">
        <v>6.7</v>
      </c>
      <c r="C2692" s="1">
        <v>449</v>
      </c>
      <c r="D2692" s="1" t="s">
        <v>33</v>
      </c>
      <c r="E2692" s="1" t="s">
        <v>21</v>
      </c>
      <c r="F2692" s="1">
        <f t="shared" si="92"/>
        <v>670</v>
      </c>
      <c r="G2692" s="5">
        <f t="shared" si="91"/>
        <v>0.67014925373134326</v>
      </c>
    </row>
    <row r="2693" spans="1:7" ht="13">
      <c r="A2693" s="4" t="s">
        <v>120</v>
      </c>
      <c r="B2693" s="1">
        <v>8.6999999999999993</v>
      </c>
      <c r="C2693" s="1">
        <v>620</v>
      </c>
      <c r="D2693" s="1" t="s">
        <v>11</v>
      </c>
      <c r="E2693" s="1" t="s">
        <v>20</v>
      </c>
      <c r="F2693" s="1">
        <f t="shared" si="92"/>
        <v>869.99999999999989</v>
      </c>
      <c r="G2693" s="5">
        <f t="shared" si="91"/>
        <v>0.71264367816091967</v>
      </c>
    </row>
    <row r="2694" spans="1:7" ht="13">
      <c r="A2694" s="4" t="s">
        <v>120</v>
      </c>
      <c r="B2694" s="1">
        <v>3.4</v>
      </c>
      <c r="C2694" s="1">
        <v>353</v>
      </c>
      <c r="D2694" s="1" t="s">
        <v>40</v>
      </c>
      <c r="E2694" s="1" t="s">
        <v>19</v>
      </c>
      <c r="F2694" s="1">
        <f t="shared" si="92"/>
        <v>340</v>
      </c>
      <c r="G2694" s="5">
        <f t="shared" si="91"/>
        <v>1.0382352941176471</v>
      </c>
    </row>
    <row r="2695" spans="1:7" ht="13">
      <c r="A2695" s="4" t="s">
        <v>120</v>
      </c>
      <c r="B2695" s="1">
        <v>6.56</v>
      </c>
      <c r="C2695" s="1">
        <v>605</v>
      </c>
      <c r="D2695" s="1" t="s">
        <v>11</v>
      </c>
      <c r="E2695" s="1" t="s">
        <v>18</v>
      </c>
      <c r="F2695" s="1">
        <f t="shared" si="92"/>
        <v>656</v>
      </c>
      <c r="G2695" s="5">
        <f t="shared" si="91"/>
        <v>0.9222560975609756</v>
      </c>
    </row>
    <row r="2696" spans="1:7" ht="13">
      <c r="A2696" s="4" t="s">
        <v>120</v>
      </c>
      <c r="B2696" s="1">
        <v>4.9000000000000004</v>
      </c>
      <c r="C2696" s="1">
        <v>407</v>
      </c>
      <c r="D2696" s="1" t="s">
        <v>43</v>
      </c>
      <c r="E2696" s="1" t="s">
        <v>8</v>
      </c>
      <c r="F2696" s="1">
        <f t="shared" si="92"/>
        <v>490.00000000000006</v>
      </c>
      <c r="G2696" s="5">
        <f t="shared" si="91"/>
        <v>0.83061224489795904</v>
      </c>
    </row>
    <row r="2697" spans="1:7" ht="13">
      <c r="A2697" s="4" t="s">
        <v>120</v>
      </c>
      <c r="B2697" s="1">
        <v>8.58</v>
      </c>
      <c r="C2697" s="1">
        <v>545</v>
      </c>
      <c r="D2697" s="1" t="s">
        <v>33</v>
      </c>
      <c r="E2697" s="1" t="s">
        <v>17</v>
      </c>
      <c r="F2697" s="1">
        <f t="shared" si="92"/>
        <v>858</v>
      </c>
      <c r="G2697" s="5">
        <f t="shared" si="91"/>
        <v>0.63519813519813517</v>
      </c>
    </row>
    <row r="2698" spans="1:7" ht="13">
      <c r="A2698" s="4" t="s">
        <v>120</v>
      </c>
      <c r="B2698" s="1">
        <v>5.52</v>
      </c>
      <c r="C2698" s="1">
        <v>448</v>
      </c>
      <c r="D2698" s="1" t="s">
        <v>11</v>
      </c>
      <c r="E2698" s="1" t="s">
        <v>26</v>
      </c>
      <c r="F2698" s="1">
        <f t="shared" si="92"/>
        <v>552</v>
      </c>
      <c r="G2698" s="5">
        <f t="shared" si="91"/>
        <v>0.81159420289855078</v>
      </c>
    </row>
    <row r="2699" spans="1:7" ht="13">
      <c r="A2699" s="4" t="s">
        <v>120</v>
      </c>
      <c r="B2699" s="1">
        <v>5.5</v>
      </c>
      <c r="C2699" s="1">
        <v>436</v>
      </c>
      <c r="D2699" s="1" t="s">
        <v>11</v>
      </c>
      <c r="E2699" s="1" t="s">
        <v>15</v>
      </c>
      <c r="F2699" s="1">
        <f t="shared" si="92"/>
        <v>550</v>
      </c>
      <c r="G2699" s="5">
        <f t="shared" si="91"/>
        <v>0.79272727272727272</v>
      </c>
    </row>
    <row r="2700" spans="1:7" ht="13">
      <c r="A2700" s="4" t="s">
        <v>120</v>
      </c>
      <c r="B2700" s="1">
        <v>4</v>
      </c>
      <c r="C2700" s="1">
        <v>109</v>
      </c>
      <c r="D2700" s="1" t="s">
        <v>58</v>
      </c>
      <c r="E2700" s="1" t="s">
        <v>68</v>
      </c>
      <c r="F2700" s="1">
        <f t="shared" si="92"/>
        <v>400</v>
      </c>
      <c r="G2700" s="5">
        <f t="shared" si="91"/>
        <v>0.27250000000000002</v>
      </c>
    </row>
    <row r="2701" spans="1:7" ht="13">
      <c r="A2701" s="4" t="s">
        <v>120</v>
      </c>
      <c r="B2701" s="1">
        <v>5.2</v>
      </c>
      <c r="C2701" s="1">
        <v>468</v>
      </c>
      <c r="D2701" s="1" t="s">
        <v>11</v>
      </c>
      <c r="E2701" s="1" t="s">
        <v>16</v>
      </c>
      <c r="F2701" s="1">
        <f t="shared" si="92"/>
        <v>520</v>
      </c>
      <c r="G2701" s="5">
        <f t="shared" si="91"/>
        <v>0.9</v>
      </c>
    </row>
    <row r="2702" spans="1:7" ht="13">
      <c r="A2702" s="4" t="s">
        <v>120</v>
      </c>
      <c r="B2702" s="1">
        <v>7.8</v>
      </c>
      <c r="C2702" s="1">
        <v>655</v>
      </c>
      <c r="D2702" s="1" t="s">
        <v>11</v>
      </c>
      <c r="E2702" s="1" t="s">
        <v>12</v>
      </c>
      <c r="F2702" s="1">
        <f t="shared" si="92"/>
        <v>780</v>
      </c>
      <c r="G2702" s="5">
        <f t="shared" si="91"/>
        <v>0.83974358974358976</v>
      </c>
    </row>
    <row r="2703" spans="1:7" ht="13">
      <c r="A2703" s="4" t="s">
        <v>120</v>
      </c>
      <c r="B2703" s="1">
        <v>8.5</v>
      </c>
      <c r="C2703" s="1">
        <v>678</v>
      </c>
      <c r="D2703" s="1" t="s">
        <v>11</v>
      </c>
      <c r="E2703" s="1" t="s">
        <v>68</v>
      </c>
      <c r="F2703" s="1">
        <f t="shared" si="92"/>
        <v>850</v>
      </c>
      <c r="G2703" s="5">
        <f t="shared" si="91"/>
        <v>0.79764705882352938</v>
      </c>
    </row>
    <row r="2704" spans="1:7" ht="13">
      <c r="A2704" s="4" t="s">
        <v>120</v>
      </c>
      <c r="B2704" s="1">
        <v>11.25</v>
      </c>
      <c r="C2704" s="1">
        <v>806</v>
      </c>
      <c r="D2704" s="1" t="s">
        <v>45</v>
      </c>
      <c r="E2704" s="1" t="s">
        <v>8</v>
      </c>
      <c r="F2704" s="1">
        <f t="shared" si="92"/>
        <v>1125</v>
      </c>
      <c r="G2704" s="5">
        <f t="shared" si="91"/>
        <v>0.71644444444444444</v>
      </c>
    </row>
    <row r="2705" spans="1:7" ht="13">
      <c r="A2705" s="4" t="s">
        <v>120</v>
      </c>
      <c r="B2705" s="1">
        <v>6.9</v>
      </c>
      <c r="C2705" s="1">
        <v>490</v>
      </c>
      <c r="D2705" s="1" t="s">
        <v>33</v>
      </c>
      <c r="E2705" s="1" t="s">
        <v>8</v>
      </c>
      <c r="F2705" s="1">
        <f t="shared" si="92"/>
        <v>690</v>
      </c>
      <c r="G2705" s="5">
        <f t="shared" si="91"/>
        <v>0.71014492753623193</v>
      </c>
    </row>
    <row r="2706" spans="1:7" ht="13">
      <c r="A2706" s="4" t="s">
        <v>120</v>
      </c>
      <c r="B2706" s="1">
        <v>7.83</v>
      </c>
      <c r="C2706" s="1">
        <v>539</v>
      </c>
      <c r="D2706" s="1" t="s">
        <v>33</v>
      </c>
      <c r="E2706" s="1" t="s">
        <v>21</v>
      </c>
      <c r="F2706" s="1">
        <f t="shared" si="92"/>
        <v>783</v>
      </c>
      <c r="G2706" s="5">
        <f t="shared" si="91"/>
        <v>0.68837803320561941</v>
      </c>
    </row>
    <row r="2707" spans="1:7" ht="13">
      <c r="A2707" s="4" t="s">
        <v>120</v>
      </c>
      <c r="B2707" s="1">
        <v>9.5</v>
      </c>
      <c r="C2707" s="1">
        <v>982</v>
      </c>
      <c r="D2707" s="1" t="s">
        <v>43</v>
      </c>
      <c r="E2707" s="1" t="s">
        <v>18</v>
      </c>
      <c r="F2707" s="1">
        <f t="shared" si="92"/>
        <v>950</v>
      </c>
      <c r="G2707" s="5">
        <f t="shared" si="91"/>
        <v>1.0336842105263158</v>
      </c>
    </row>
    <row r="2708" spans="1:7" ht="13">
      <c r="A2708" s="4" t="s">
        <v>120</v>
      </c>
      <c r="B2708" s="1">
        <v>4.3</v>
      </c>
      <c r="C2708" s="1">
        <v>232</v>
      </c>
      <c r="D2708" s="1" t="s">
        <v>33</v>
      </c>
      <c r="E2708" s="1" t="s">
        <v>30</v>
      </c>
      <c r="F2708" s="1">
        <f t="shared" si="92"/>
        <v>430</v>
      </c>
      <c r="G2708" s="5">
        <f t="shared" si="91"/>
        <v>0.53953488372093028</v>
      </c>
    </row>
    <row r="2709" spans="1:7" ht="13">
      <c r="A2709" s="4" t="s">
        <v>120</v>
      </c>
      <c r="B2709" s="1">
        <v>5</v>
      </c>
      <c r="C2709" s="1">
        <v>407</v>
      </c>
      <c r="D2709" s="1" t="s">
        <v>38</v>
      </c>
      <c r="E2709" s="1" t="s">
        <v>8</v>
      </c>
      <c r="F2709" s="1">
        <f t="shared" si="92"/>
        <v>500</v>
      </c>
      <c r="G2709" s="5">
        <f t="shared" si="91"/>
        <v>0.81399999999999995</v>
      </c>
    </row>
    <row r="2710" spans="1:7" ht="13">
      <c r="A2710" s="4" t="s">
        <v>120</v>
      </c>
      <c r="B2710" s="1">
        <v>5.6</v>
      </c>
      <c r="C2710" s="1">
        <v>367</v>
      </c>
      <c r="D2710" s="1" t="s">
        <v>33</v>
      </c>
      <c r="E2710" s="1" t="s">
        <v>9</v>
      </c>
      <c r="F2710" s="1">
        <f t="shared" si="92"/>
        <v>560</v>
      </c>
      <c r="G2710" s="5">
        <f t="shared" si="91"/>
        <v>0.65535714285714286</v>
      </c>
    </row>
    <row r="2711" spans="1:7" ht="13">
      <c r="A2711" s="4" t="s">
        <v>120</v>
      </c>
      <c r="B2711" s="1">
        <v>9.4600000000000009</v>
      </c>
      <c r="C2711" s="1">
        <v>677</v>
      </c>
      <c r="D2711" s="1" t="s">
        <v>11</v>
      </c>
      <c r="E2711" s="1" t="s">
        <v>31</v>
      </c>
      <c r="F2711" s="1">
        <f t="shared" si="92"/>
        <v>946.00000000000011</v>
      </c>
      <c r="G2711" s="5">
        <f t="shared" si="91"/>
        <v>0.71564482029598298</v>
      </c>
    </row>
    <row r="2712" spans="1:7" ht="13">
      <c r="A2712" s="4" t="s">
        <v>120</v>
      </c>
      <c r="B2712" s="1">
        <v>12</v>
      </c>
      <c r="C2712" s="1">
        <v>625</v>
      </c>
      <c r="D2712" s="1" t="s">
        <v>33</v>
      </c>
      <c r="E2712" s="1" t="s">
        <v>20</v>
      </c>
      <c r="F2712" s="1">
        <f t="shared" si="92"/>
        <v>1200</v>
      </c>
      <c r="G2712" s="5">
        <f t="shared" si="91"/>
        <v>0.52083333333333337</v>
      </c>
    </row>
    <row r="2713" spans="1:7" ht="13">
      <c r="A2713" s="4" t="s">
        <v>120</v>
      </c>
      <c r="B2713" s="1">
        <v>6.3</v>
      </c>
      <c r="C2713" s="1">
        <v>489</v>
      </c>
      <c r="D2713" s="1" t="s">
        <v>43</v>
      </c>
      <c r="E2713" s="1" t="s">
        <v>29</v>
      </c>
      <c r="F2713" s="1">
        <f t="shared" si="92"/>
        <v>630</v>
      </c>
      <c r="G2713" s="5">
        <f t="shared" si="91"/>
        <v>0.77619047619047621</v>
      </c>
    </row>
    <row r="2714" spans="1:7" ht="13">
      <c r="A2714" s="4" t="s">
        <v>120</v>
      </c>
      <c r="B2714" s="1">
        <v>3.44</v>
      </c>
      <c r="C2714" s="1">
        <v>323</v>
      </c>
      <c r="D2714" s="1" t="s">
        <v>43</v>
      </c>
      <c r="E2714" s="1" t="s">
        <v>8</v>
      </c>
      <c r="F2714" s="1">
        <f t="shared" si="92"/>
        <v>344</v>
      </c>
      <c r="G2714" s="5">
        <f t="shared" si="91"/>
        <v>0.93895348837209303</v>
      </c>
    </row>
    <row r="2715" spans="1:7" ht="13">
      <c r="A2715" s="4" t="s">
        <v>120</v>
      </c>
      <c r="B2715" s="1">
        <v>6.4</v>
      </c>
      <c r="C2715" s="1">
        <v>566</v>
      </c>
      <c r="D2715" s="1" t="s">
        <v>11</v>
      </c>
      <c r="E2715" s="1" t="s">
        <v>26</v>
      </c>
      <c r="F2715" s="1">
        <f t="shared" si="92"/>
        <v>640</v>
      </c>
      <c r="G2715" s="5">
        <f t="shared" si="91"/>
        <v>0.88437500000000002</v>
      </c>
    </row>
    <row r="2716" spans="1:7" ht="13">
      <c r="A2716" s="4" t="s">
        <v>120</v>
      </c>
      <c r="B2716" s="1">
        <v>3.44</v>
      </c>
      <c r="C2716" s="1">
        <v>282</v>
      </c>
      <c r="D2716" s="1" t="s">
        <v>11</v>
      </c>
      <c r="E2716" s="1" t="s">
        <v>9</v>
      </c>
      <c r="F2716" s="1">
        <f t="shared" si="92"/>
        <v>344</v>
      </c>
      <c r="G2716" s="5">
        <f t="shared" si="91"/>
        <v>0.81976744186046513</v>
      </c>
    </row>
    <row r="2717" spans="1:7" ht="13">
      <c r="A2717" s="4" t="s">
        <v>120</v>
      </c>
      <c r="B2717" s="1">
        <v>7.5</v>
      </c>
      <c r="C2717" s="1">
        <v>609</v>
      </c>
      <c r="D2717" s="1" t="s">
        <v>43</v>
      </c>
      <c r="E2717" s="1" t="s">
        <v>24</v>
      </c>
      <c r="F2717" s="1">
        <f t="shared" si="92"/>
        <v>750</v>
      </c>
      <c r="G2717" s="5">
        <f t="shared" si="91"/>
        <v>0.81200000000000006</v>
      </c>
    </row>
    <row r="2718" spans="1:7" ht="13">
      <c r="A2718" s="4" t="s">
        <v>120</v>
      </c>
      <c r="B2718" s="1">
        <v>7.7</v>
      </c>
      <c r="C2718" s="1">
        <v>669</v>
      </c>
      <c r="D2718" s="1" t="s">
        <v>11</v>
      </c>
      <c r="E2718" s="1" t="s">
        <v>22</v>
      </c>
      <c r="F2718" s="1">
        <f t="shared" si="92"/>
        <v>770</v>
      </c>
      <c r="G2718" s="5">
        <f t="shared" si="91"/>
        <v>0.86883116883116884</v>
      </c>
    </row>
    <row r="2719" spans="1:7" ht="13">
      <c r="A2719" s="4" t="s">
        <v>120</v>
      </c>
      <c r="B2719" s="1">
        <v>5.81</v>
      </c>
      <c r="C2719" s="1">
        <v>509</v>
      </c>
      <c r="D2719" s="1" t="s">
        <v>38</v>
      </c>
      <c r="E2719" s="1" t="s">
        <v>8</v>
      </c>
      <c r="F2719" s="1">
        <f t="shared" si="92"/>
        <v>581</v>
      </c>
      <c r="G2719" s="5">
        <f t="shared" si="91"/>
        <v>0.87607573149741824</v>
      </c>
    </row>
    <row r="2720" spans="1:7" ht="13">
      <c r="A2720" s="4" t="s">
        <v>120</v>
      </c>
      <c r="B2720" s="1">
        <v>5.4</v>
      </c>
      <c r="C2720" s="1">
        <v>406</v>
      </c>
      <c r="D2720" s="1" t="s">
        <v>35</v>
      </c>
      <c r="E2720" s="1" t="s">
        <v>8</v>
      </c>
      <c r="F2720" s="1">
        <f t="shared" si="92"/>
        <v>540</v>
      </c>
      <c r="G2720" s="5">
        <f t="shared" si="91"/>
        <v>0.75185185185185188</v>
      </c>
    </row>
    <row r="2721" spans="1:7" ht="13">
      <c r="A2721" s="4" t="s">
        <v>120</v>
      </c>
      <c r="B2721" s="1">
        <v>6.02</v>
      </c>
      <c r="C2721" s="1">
        <v>512</v>
      </c>
      <c r="D2721" s="1" t="s">
        <v>33</v>
      </c>
      <c r="E2721" s="1" t="s">
        <v>10</v>
      </c>
      <c r="F2721" s="1">
        <f t="shared" si="92"/>
        <v>602</v>
      </c>
      <c r="G2721" s="5">
        <f t="shared" si="91"/>
        <v>0.85049833887043191</v>
      </c>
    </row>
    <row r="2722" spans="1:7" ht="13">
      <c r="A2722" s="4" t="s">
        <v>120</v>
      </c>
      <c r="B2722" s="1">
        <v>7.9</v>
      </c>
      <c r="C2722" s="1">
        <v>672</v>
      </c>
      <c r="D2722" s="1" t="s">
        <v>11</v>
      </c>
      <c r="E2722" s="1" t="s">
        <v>27</v>
      </c>
      <c r="F2722" s="1">
        <f t="shared" si="92"/>
        <v>790</v>
      </c>
      <c r="G2722" s="5">
        <f t="shared" si="91"/>
        <v>0.85063291139240504</v>
      </c>
    </row>
    <row r="2723" spans="1:7" ht="13">
      <c r="A2723" s="4" t="s">
        <v>120</v>
      </c>
      <c r="B2723" s="1">
        <v>7.74</v>
      </c>
      <c r="C2723" s="1">
        <v>735</v>
      </c>
      <c r="D2723" s="1" t="s">
        <v>11</v>
      </c>
      <c r="E2723" s="1" t="s">
        <v>29</v>
      </c>
      <c r="F2723" s="1">
        <f t="shared" si="92"/>
        <v>774</v>
      </c>
      <c r="G2723" s="5">
        <f t="shared" si="91"/>
        <v>0.94961240310077522</v>
      </c>
    </row>
    <row r="2724" spans="1:7" ht="13">
      <c r="A2724" s="4" t="s">
        <v>120</v>
      </c>
      <c r="B2724" s="1">
        <v>6.8</v>
      </c>
      <c r="C2724" s="1">
        <v>463</v>
      </c>
      <c r="D2724" s="1" t="s">
        <v>100</v>
      </c>
      <c r="E2724" s="1" t="s">
        <v>29</v>
      </c>
      <c r="F2724" s="1">
        <f t="shared" si="92"/>
        <v>680</v>
      </c>
      <c r="G2724" s="5">
        <f t="shared" si="91"/>
        <v>0.68088235294117649</v>
      </c>
    </row>
    <row r="2725" spans="1:7" ht="13">
      <c r="A2725" s="4" t="s">
        <v>120</v>
      </c>
      <c r="B2725" s="1">
        <v>5.16</v>
      </c>
      <c r="C2725" s="1">
        <v>374</v>
      </c>
      <c r="D2725" s="1" t="s">
        <v>48</v>
      </c>
      <c r="E2725" s="1" t="s">
        <v>30</v>
      </c>
      <c r="F2725" s="1">
        <f t="shared" si="92"/>
        <v>516</v>
      </c>
      <c r="G2725" s="5">
        <f t="shared" si="91"/>
        <v>0.72480620155038755</v>
      </c>
    </row>
    <row r="2726" spans="1:7" ht="13">
      <c r="A2726" s="4" t="s">
        <v>120</v>
      </c>
      <c r="B2726" s="1">
        <v>8.375</v>
      </c>
      <c r="C2726" s="1">
        <v>563</v>
      </c>
      <c r="D2726" s="1" t="s">
        <v>11</v>
      </c>
      <c r="E2726" s="1" t="s">
        <v>15</v>
      </c>
      <c r="F2726" s="1">
        <f t="shared" si="92"/>
        <v>837.5</v>
      </c>
      <c r="G2726" s="5">
        <f t="shared" si="91"/>
        <v>0.67223880597014929</v>
      </c>
    </row>
    <row r="2727" spans="1:7" ht="13">
      <c r="A2727" s="4" t="s">
        <v>120</v>
      </c>
      <c r="B2727" s="1">
        <v>6.4</v>
      </c>
      <c r="C2727" s="1">
        <v>514.9</v>
      </c>
      <c r="D2727" s="1" t="s">
        <v>35</v>
      </c>
      <c r="E2727" s="1" t="s">
        <v>18</v>
      </c>
      <c r="F2727" s="1">
        <f t="shared" si="92"/>
        <v>640</v>
      </c>
      <c r="G2727" s="5">
        <f t="shared" si="91"/>
        <v>0.80453124999999992</v>
      </c>
    </row>
    <row r="2728" spans="1:7" ht="13">
      <c r="A2728" s="4" t="s">
        <v>120</v>
      </c>
      <c r="B2728" s="1">
        <v>6.5250000000000004</v>
      </c>
      <c r="C2728" s="1">
        <v>528</v>
      </c>
      <c r="D2728" s="1" t="s">
        <v>11</v>
      </c>
      <c r="E2728" s="1" t="s">
        <v>16</v>
      </c>
      <c r="F2728" s="1">
        <f t="shared" si="92"/>
        <v>652.5</v>
      </c>
      <c r="G2728" s="5">
        <f t="shared" si="91"/>
        <v>0.80919540229885056</v>
      </c>
    </row>
    <row r="2729" spans="1:7" ht="13">
      <c r="A2729" s="4" t="s">
        <v>120</v>
      </c>
      <c r="B2729" s="1">
        <v>6</v>
      </c>
      <c r="C2729" s="1">
        <v>696</v>
      </c>
      <c r="D2729" s="1" t="s">
        <v>38</v>
      </c>
      <c r="E2729" s="1" t="s">
        <v>8</v>
      </c>
      <c r="F2729" s="1">
        <f t="shared" si="92"/>
        <v>600</v>
      </c>
      <c r="G2729" s="5">
        <f t="shared" si="91"/>
        <v>1.1599999999999999</v>
      </c>
    </row>
    <row r="2730" spans="1:7" ht="13">
      <c r="A2730" s="4" t="s">
        <v>120</v>
      </c>
      <c r="B2730" s="1">
        <v>8.33</v>
      </c>
      <c r="C2730" s="1">
        <v>603</v>
      </c>
      <c r="D2730" s="1" t="s">
        <v>47</v>
      </c>
      <c r="E2730" s="1" t="s">
        <v>7</v>
      </c>
      <c r="F2730" s="1">
        <f t="shared" si="92"/>
        <v>833</v>
      </c>
      <c r="G2730" s="5">
        <f t="shared" si="91"/>
        <v>0.72388955582232895</v>
      </c>
    </row>
    <row r="2731" spans="1:7" ht="13">
      <c r="A2731" s="4" t="s">
        <v>120</v>
      </c>
      <c r="B2731" s="1">
        <v>9.57</v>
      </c>
      <c r="C2731" s="1">
        <v>752</v>
      </c>
      <c r="D2731" s="1" t="s">
        <v>35</v>
      </c>
      <c r="E2731" s="1" t="s">
        <v>18</v>
      </c>
      <c r="F2731" s="1">
        <f t="shared" si="92"/>
        <v>957</v>
      </c>
      <c r="G2731" s="5">
        <f t="shared" si="91"/>
        <v>0.78578892371995823</v>
      </c>
    </row>
    <row r="2732" spans="1:7" ht="13">
      <c r="A2732" s="4" t="s">
        <v>120</v>
      </c>
      <c r="B2732" s="1">
        <v>5.1100000000000003</v>
      </c>
      <c r="C2732" s="1">
        <v>397</v>
      </c>
      <c r="D2732" s="1" t="s">
        <v>39</v>
      </c>
      <c r="E2732" s="1" t="s">
        <v>8</v>
      </c>
      <c r="F2732" s="1">
        <f t="shared" si="92"/>
        <v>511.00000000000006</v>
      </c>
      <c r="G2732" s="5">
        <f t="shared" si="91"/>
        <v>0.77690802348336585</v>
      </c>
    </row>
    <row r="2733" spans="1:7" ht="13">
      <c r="A2733" s="4" t="s">
        <v>120</v>
      </c>
      <c r="B2733" s="1">
        <v>4.4000000000000004</v>
      </c>
      <c r="C2733" s="1">
        <v>363</v>
      </c>
      <c r="D2733" s="1" t="s">
        <v>11</v>
      </c>
      <c r="E2733" s="1" t="s">
        <v>15</v>
      </c>
      <c r="F2733" s="1">
        <f t="shared" si="92"/>
        <v>440.00000000000006</v>
      </c>
      <c r="G2733" s="5">
        <f t="shared" si="91"/>
        <v>0.82499999999999984</v>
      </c>
    </row>
    <row r="2734" spans="1:7" ht="13">
      <c r="A2734" s="4" t="s">
        <v>120</v>
      </c>
      <c r="B2734" s="1">
        <v>7</v>
      </c>
      <c r="C2734" s="1">
        <v>492</v>
      </c>
      <c r="D2734" s="1" t="s">
        <v>36</v>
      </c>
      <c r="E2734" s="1" t="s">
        <v>15</v>
      </c>
      <c r="F2734" s="1">
        <f t="shared" si="92"/>
        <v>700</v>
      </c>
      <c r="G2734" s="5">
        <f t="shared" si="91"/>
        <v>0.70285714285714285</v>
      </c>
    </row>
    <row r="2735" spans="1:7" ht="13">
      <c r="A2735" s="4" t="s">
        <v>120</v>
      </c>
      <c r="B2735" s="1">
        <v>8.1999999999999993</v>
      </c>
      <c r="C2735" s="1">
        <v>654</v>
      </c>
      <c r="D2735" s="1" t="s">
        <v>39</v>
      </c>
      <c r="E2735" s="1" t="s">
        <v>16</v>
      </c>
      <c r="F2735" s="1">
        <f t="shared" si="92"/>
        <v>819.99999999999989</v>
      </c>
      <c r="G2735" s="5">
        <f t="shared" si="91"/>
        <v>0.79756097560975625</v>
      </c>
    </row>
    <row r="2736" spans="1:7" ht="13">
      <c r="A2736" s="4" t="s">
        <v>120</v>
      </c>
      <c r="B2736" s="1">
        <v>8.5</v>
      </c>
      <c r="C2736" s="1">
        <v>655</v>
      </c>
      <c r="D2736" s="1" t="s">
        <v>39</v>
      </c>
      <c r="E2736" s="1" t="s">
        <v>20</v>
      </c>
      <c r="F2736" s="1">
        <f t="shared" si="92"/>
        <v>850</v>
      </c>
      <c r="G2736" s="5">
        <f t="shared" si="91"/>
        <v>0.77058823529411768</v>
      </c>
    </row>
    <row r="2737" spans="1:7" ht="13">
      <c r="A2737" s="4" t="s">
        <v>120</v>
      </c>
      <c r="B2737" s="1">
        <v>5.59</v>
      </c>
      <c r="C2737" s="1">
        <v>373</v>
      </c>
      <c r="D2737" s="1" t="s">
        <v>36</v>
      </c>
      <c r="E2737" s="1" t="s">
        <v>9</v>
      </c>
      <c r="F2737" s="1">
        <f t="shared" si="92"/>
        <v>559</v>
      </c>
      <c r="G2737" s="5">
        <f t="shared" si="91"/>
        <v>0.66726296958855102</v>
      </c>
    </row>
    <row r="2738" spans="1:7" ht="13">
      <c r="A2738" s="4" t="s">
        <v>120</v>
      </c>
      <c r="B2738" s="1">
        <v>7.4</v>
      </c>
      <c r="C2738" s="1">
        <v>503.07</v>
      </c>
      <c r="D2738" s="1" t="s">
        <v>33</v>
      </c>
      <c r="E2738" s="1" t="s">
        <v>17</v>
      </c>
      <c r="F2738" s="1">
        <f t="shared" si="92"/>
        <v>740</v>
      </c>
      <c r="G2738" s="5">
        <f t="shared" si="91"/>
        <v>0.67982432432432427</v>
      </c>
    </row>
    <row r="2739" spans="1:7" ht="13">
      <c r="A2739" s="4" t="s">
        <v>120</v>
      </c>
      <c r="B2739" s="1">
        <v>5.0999999999999996</v>
      </c>
      <c r="C2739" s="1">
        <v>339</v>
      </c>
      <c r="D2739" s="1" t="s">
        <v>40</v>
      </c>
      <c r="E2739" s="1" t="s">
        <v>15</v>
      </c>
      <c r="F2739" s="1">
        <f t="shared" si="92"/>
        <v>509.99999999999994</v>
      </c>
      <c r="G2739" s="5">
        <f t="shared" si="91"/>
        <v>0.66470588235294126</v>
      </c>
    </row>
    <row r="2740" spans="1:7" ht="13">
      <c r="A2740" s="4" t="s">
        <v>120</v>
      </c>
      <c r="B2740" s="1">
        <v>4</v>
      </c>
      <c r="C2740" s="1">
        <v>324.10000000000002</v>
      </c>
      <c r="D2740" s="1" t="s">
        <v>43</v>
      </c>
      <c r="E2740" s="1" t="s">
        <v>22</v>
      </c>
      <c r="F2740" s="1">
        <f t="shared" si="92"/>
        <v>400</v>
      </c>
      <c r="G2740" s="5">
        <f t="shared" si="91"/>
        <v>0.81025000000000003</v>
      </c>
    </row>
    <row r="2741" spans="1:7" ht="13">
      <c r="A2741" s="4" t="s">
        <v>120</v>
      </c>
      <c r="B2741" s="1">
        <v>9.1999999999999993</v>
      </c>
      <c r="C2741" s="1">
        <v>571</v>
      </c>
      <c r="D2741" s="1" t="s">
        <v>33</v>
      </c>
      <c r="E2741" s="1" t="s">
        <v>15</v>
      </c>
      <c r="F2741" s="1">
        <f t="shared" si="92"/>
        <v>919.99999999999989</v>
      </c>
      <c r="G2741" s="5">
        <f t="shared" si="91"/>
        <v>0.6206521739130435</v>
      </c>
    </row>
    <row r="2742" spans="1:7" ht="13">
      <c r="A2742" s="4" t="s">
        <v>120</v>
      </c>
      <c r="B2742" s="1">
        <v>8.2650000000000006</v>
      </c>
      <c r="C2742" s="1">
        <v>743</v>
      </c>
      <c r="D2742" s="1" t="s">
        <v>43</v>
      </c>
      <c r="E2742" s="1" t="s">
        <v>18</v>
      </c>
      <c r="F2742" s="1">
        <f t="shared" si="92"/>
        <v>826.5</v>
      </c>
      <c r="G2742" s="5">
        <f t="shared" si="91"/>
        <v>0.89897156684815482</v>
      </c>
    </row>
    <row r="2743" spans="1:7" ht="13">
      <c r="A2743" s="4" t="s">
        <v>120</v>
      </c>
      <c r="B2743" s="1">
        <v>5.16</v>
      </c>
      <c r="C2743" s="1">
        <v>354</v>
      </c>
      <c r="D2743" s="1" t="s">
        <v>42</v>
      </c>
      <c r="E2743" s="1" t="s">
        <v>22</v>
      </c>
      <c r="F2743" s="1">
        <f t="shared" si="92"/>
        <v>516</v>
      </c>
      <c r="G2743" s="5">
        <f t="shared" si="91"/>
        <v>0.68604651162790697</v>
      </c>
    </row>
    <row r="2744" spans="1:7" ht="13">
      <c r="A2744" s="4" t="s">
        <v>120</v>
      </c>
      <c r="B2744" s="1">
        <v>4</v>
      </c>
      <c r="C2744" s="1">
        <v>360</v>
      </c>
      <c r="D2744" s="1" t="s">
        <v>43</v>
      </c>
      <c r="E2744" s="1" t="s">
        <v>17</v>
      </c>
      <c r="F2744" s="1">
        <f t="shared" si="92"/>
        <v>400</v>
      </c>
      <c r="G2744" s="5">
        <f t="shared" si="91"/>
        <v>0.9</v>
      </c>
    </row>
    <row r="2745" spans="1:7" ht="13">
      <c r="A2745" s="4" t="s">
        <v>120</v>
      </c>
      <c r="B2745" s="1">
        <v>8.1999999999999993</v>
      </c>
      <c r="C2745" s="1">
        <v>730</v>
      </c>
      <c r="D2745" s="1" t="s">
        <v>11</v>
      </c>
      <c r="E2745" s="1" t="s">
        <v>12</v>
      </c>
      <c r="F2745" s="1">
        <f t="shared" si="92"/>
        <v>819.99999999999989</v>
      </c>
      <c r="G2745" s="5">
        <f t="shared" si="91"/>
        <v>0.89024390243902451</v>
      </c>
    </row>
    <row r="2746" spans="1:7" ht="13">
      <c r="A2746" s="4" t="s">
        <v>120</v>
      </c>
      <c r="B2746" s="1">
        <v>6.9</v>
      </c>
      <c r="C2746" s="1">
        <v>535</v>
      </c>
      <c r="D2746" s="1" t="s">
        <v>38</v>
      </c>
      <c r="E2746" s="1" t="s">
        <v>8</v>
      </c>
      <c r="F2746" s="1">
        <f t="shared" si="92"/>
        <v>690</v>
      </c>
      <c r="G2746" s="5">
        <f t="shared" si="91"/>
        <v>0.77536231884057971</v>
      </c>
    </row>
    <row r="2747" spans="1:7" ht="13">
      <c r="A2747" s="4" t="s">
        <v>120</v>
      </c>
      <c r="B2747" s="1">
        <v>4.8</v>
      </c>
      <c r="C2747" s="1">
        <v>380</v>
      </c>
      <c r="D2747" s="1" t="s">
        <v>11</v>
      </c>
      <c r="E2747" s="1" t="s">
        <v>15</v>
      </c>
      <c r="F2747" s="1">
        <f t="shared" si="92"/>
        <v>480</v>
      </c>
      <c r="G2747" s="5">
        <f t="shared" si="91"/>
        <v>0.79166666666666663</v>
      </c>
    </row>
    <row r="2748" spans="1:7" ht="13">
      <c r="A2748" s="4" t="s">
        <v>120</v>
      </c>
      <c r="B2748" s="1">
        <v>5.46</v>
      </c>
      <c r="C2748" s="1">
        <v>447</v>
      </c>
      <c r="D2748" s="1" t="s">
        <v>43</v>
      </c>
      <c r="E2748" s="1" t="s">
        <v>15</v>
      </c>
      <c r="F2748" s="1">
        <f t="shared" si="92"/>
        <v>546</v>
      </c>
      <c r="G2748" s="5">
        <f t="shared" si="91"/>
        <v>0.81868131868131866</v>
      </c>
    </row>
    <row r="2749" spans="1:7" ht="13">
      <c r="A2749" s="4" t="s">
        <v>120</v>
      </c>
      <c r="B2749" s="1">
        <v>4.05</v>
      </c>
      <c r="C2749" s="1">
        <v>272</v>
      </c>
      <c r="D2749" s="1" t="s">
        <v>61</v>
      </c>
      <c r="E2749" s="1" t="s">
        <v>30</v>
      </c>
      <c r="F2749" s="1">
        <f t="shared" si="92"/>
        <v>405</v>
      </c>
      <c r="G2749" s="5">
        <f t="shared" si="91"/>
        <v>0.67160493827160495</v>
      </c>
    </row>
    <row r="2750" spans="1:7" ht="13">
      <c r="A2750" s="4" t="s">
        <v>120</v>
      </c>
      <c r="B2750" s="1">
        <v>6.4</v>
      </c>
      <c r="C2750" s="1">
        <v>361</v>
      </c>
      <c r="D2750" s="1" t="s">
        <v>33</v>
      </c>
      <c r="E2750" s="1" t="s">
        <v>15</v>
      </c>
      <c r="F2750" s="1">
        <f t="shared" si="92"/>
        <v>640</v>
      </c>
      <c r="G2750" s="5">
        <f t="shared" si="91"/>
        <v>0.56406250000000002</v>
      </c>
    </row>
    <row r="2751" spans="1:7" ht="13">
      <c r="A2751" s="4" t="s">
        <v>120</v>
      </c>
      <c r="B2751" s="1">
        <v>6.8</v>
      </c>
      <c r="C2751" s="1">
        <v>589</v>
      </c>
      <c r="D2751" s="1" t="s">
        <v>11</v>
      </c>
      <c r="E2751" s="1" t="s">
        <v>23</v>
      </c>
      <c r="F2751" s="1">
        <f t="shared" si="92"/>
        <v>680</v>
      </c>
      <c r="G2751" s="5">
        <f t="shared" si="91"/>
        <v>0.86617647058823533</v>
      </c>
    </row>
    <row r="2752" spans="1:7" ht="13">
      <c r="A2752" s="4" t="s">
        <v>120</v>
      </c>
      <c r="B2752" s="1">
        <v>5.88</v>
      </c>
      <c r="C2752" s="1">
        <v>438</v>
      </c>
      <c r="D2752" s="1" t="s">
        <v>11</v>
      </c>
      <c r="E2752" s="1" t="s">
        <v>15</v>
      </c>
      <c r="F2752" s="1">
        <f t="shared" si="92"/>
        <v>588</v>
      </c>
      <c r="G2752" s="5">
        <f t="shared" si="91"/>
        <v>0.74489795918367352</v>
      </c>
    </row>
    <row r="2753" spans="1:7" ht="13">
      <c r="A2753" s="4" t="s">
        <v>120</v>
      </c>
      <c r="B2753" s="1">
        <v>7.3</v>
      </c>
      <c r="C2753" s="1">
        <v>562</v>
      </c>
      <c r="D2753" s="1" t="s">
        <v>47</v>
      </c>
      <c r="E2753" s="1" t="s">
        <v>28</v>
      </c>
      <c r="F2753" s="1">
        <f t="shared" si="92"/>
        <v>730</v>
      </c>
      <c r="G2753" s="5">
        <f t="shared" si="91"/>
        <v>0.76986301369863008</v>
      </c>
    </row>
    <row r="2754" spans="1:7" ht="13">
      <c r="A2754" s="4" t="s">
        <v>120</v>
      </c>
      <c r="B2754" s="1">
        <v>6.96</v>
      </c>
      <c r="C2754" s="1">
        <v>371</v>
      </c>
      <c r="D2754" s="1" t="s">
        <v>43</v>
      </c>
      <c r="E2754" s="1" t="s">
        <v>8</v>
      </c>
      <c r="F2754" s="1">
        <f t="shared" si="92"/>
        <v>696</v>
      </c>
      <c r="G2754" s="5">
        <f t="shared" ref="G2754:G2817" si="93">C2754/F2754</f>
        <v>0.53304597701149425</v>
      </c>
    </row>
    <row r="2755" spans="1:7" ht="13">
      <c r="A2755" s="4" t="s">
        <v>120</v>
      </c>
      <c r="B2755" s="1">
        <v>5.6</v>
      </c>
      <c r="C2755" s="1">
        <v>429</v>
      </c>
      <c r="D2755" s="1" t="s">
        <v>94</v>
      </c>
      <c r="E2755" s="1" t="s">
        <v>22</v>
      </c>
      <c r="F2755" s="1">
        <f t="shared" ref="F2755:F2818" si="94">B2755*100</f>
        <v>560</v>
      </c>
      <c r="G2755" s="5">
        <f t="shared" si="93"/>
        <v>0.76607142857142863</v>
      </c>
    </row>
    <row r="2756" spans="1:7" ht="13">
      <c r="A2756" s="4" t="s">
        <v>120</v>
      </c>
      <c r="B2756" s="1">
        <v>6.25</v>
      </c>
      <c r="C2756" s="1">
        <v>590</v>
      </c>
      <c r="D2756" s="1" t="s">
        <v>11</v>
      </c>
      <c r="E2756" s="1" t="s">
        <v>32</v>
      </c>
      <c r="F2756" s="1">
        <f t="shared" si="94"/>
        <v>625</v>
      </c>
      <c r="G2756" s="5">
        <f t="shared" si="93"/>
        <v>0.94399999999999995</v>
      </c>
    </row>
    <row r="2757" spans="1:7" ht="13">
      <c r="A2757" s="4" t="s">
        <v>120</v>
      </c>
      <c r="B2757" s="1">
        <v>4</v>
      </c>
      <c r="C2757" s="1">
        <v>301</v>
      </c>
      <c r="D2757" s="1" t="s">
        <v>11</v>
      </c>
      <c r="E2757" s="1" t="s">
        <v>28</v>
      </c>
      <c r="F2757" s="1">
        <f t="shared" si="94"/>
        <v>400</v>
      </c>
      <c r="G2757" s="5">
        <f t="shared" si="93"/>
        <v>0.75249999999999995</v>
      </c>
    </row>
    <row r="2758" spans="1:7" ht="13">
      <c r="A2758" s="4" t="s">
        <v>120</v>
      </c>
      <c r="B2758" s="1">
        <v>6.72</v>
      </c>
      <c r="C2758" s="1">
        <v>407</v>
      </c>
      <c r="D2758" s="1" t="s">
        <v>39</v>
      </c>
      <c r="E2758" s="1" t="s">
        <v>25</v>
      </c>
      <c r="F2758" s="1">
        <f t="shared" si="94"/>
        <v>672</v>
      </c>
      <c r="G2758" s="5">
        <f t="shared" si="93"/>
        <v>0.60565476190476186</v>
      </c>
    </row>
    <row r="2759" spans="1:7" ht="13">
      <c r="A2759" s="4" t="s">
        <v>120</v>
      </c>
      <c r="B2759" s="1">
        <v>5</v>
      </c>
      <c r="C2759" s="1">
        <v>521</v>
      </c>
      <c r="D2759" s="1" t="s">
        <v>33</v>
      </c>
      <c r="E2759" s="1" t="s">
        <v>32</v>
      </c>
      <c r="F2759" s="1">
        <f t="shared" si="94"/>
        <v>500</v>
      </c>
      <c r="G2759" s="5">
        <f t="shared" si="93"/>
        <v>1.042</v>
      </c>
    </row>
    <row r="2760" spans="1:7" ht="13">
      <c r="A2760" s="4" t="s">
        <v>120</v>
      </c>
      <c r="B2760" s="1">
        <v>8.1999999999999993</v>
      </c>
      <c r="C2760" s="1">
        <v>777</v>
      </c>
      <c r="D2760" s="1" t="s">
        <v>11</v>
      </c>
      <c r="E2760" s="1" t="s">
        <v>17</v>
      </c>
      <c r="F2760" s="1">
        <f t="shared" si="94"/>
        <v>819.99999999999989</v>
      </c>
      <c r="G2760" s="5">
        <f t="shared" si="93"/>
        <v>0.94756097560975627</v>
      </c>
    </row>
    <row r="2761" spans="1:7" ht="13">
      <c r="A2761" s="4" t="s">
        <v>120</v>
      </c>
      <c r="B2761" s="1">
        <v>4.3</v>
      </c>
      <c r="C2761" s="1">
        <v>324</v>
      </c>
      <c r="D2761" s="1" t="s">
        <v>34</v>
      </c>
      <c r="E2761" s="1" t="s">
        <v>15</v>
      </c>
      <c r="F2761" s="1">
        <f t="shared" si="94"/>
        <v>430</v>
      </c>
      <c r="G2761" s="5">
        <f t="shared" si="93"/>
        <v>0.75348837209302322</v>
      </c>
    </row>
    <row r="2762" spans="1:7" ht="13">
      <c r="A2762" s="4" t="s">
        <v>120</v>
      </c>
      <c r="B2762" s="1">
        <v>6.2</v>
      </c>
      <c r="C2762" s="1">
        <v>458</v>
      </c>
      <c r="D2762" s="1" t="s">
        <v>11</v>
      </c>
      <c r="E2762" s="1" t="s">
        <v>7</v>
      </c>
      <c r="F2762" s="1">
        <f t="shared" si="94"/>
        <v>620</v>
      </c>
      <c r="G2762" s="5">
        <f t="shared" si="93"/>
        <v>0.73870967741935489</v>
      </c>
    </row>
    <row r="2763" spans="1:7" ht="13">
      <c r="A2763" s="4" t="s">
        <v>120</v>
      </c>
      <c r="B2763" s="1">
        <v>6.72</v>
      </c>
      <c r="C2763" s="1">
        <v>540</v>
      </c>
      <c r="D2763" s="1" t="s">
        <v>47</v>
      </c>
      <c r="E2763" s="1" t="s">
        <v>15</v>
      </c>
      <c r="F2763" s="1">
        <f t="shared" si="94"/>
        <v>672</v>
      </c>
      <c r="G2763" s="5">
        <f t="shared" si="93"/>
        <v>0.8035714285714286</v>
      </c>
    </row>
    <row r="2764" spans="1:7" ht="13">
      <c r="A2764" s="4" t="s">
        <v>120</v>
      </c>
      <c r="B2764" s="1">
        <v>7.64</v>
      </c>
      <c r="C2764" s="1">
        <v>584</v>
      </c>
      <c r="D2764" s="1" t="s">
        <v>11</v>
      </c>
      <c r="E2764" s="1" t="s">
        <v>7</v>
      </c>
      <c r="F2764" s="1">
        <f t="shared" si="94"/>
        <v>764</v>
      </c>
      <c r="G2764" s="5">
        <f t="shared" si="93"/>
        <v>0.76439790575916233</v>
      </c>
    </row>
    <row r="2765" spans="1:7" ht="13">
      <c r="A2765" s="4" t="s">
        <v>120</v>
      </c>
      <c r="B2765" s="1">
        <v>8.6999999999999993</v>
      </c>
      <c r="C2765" s="1">
        <v>788</v>
      </c>
      <c r="D2765" s="1" t="s">
        <v>11</v>
      </c>
      <c r="E2765" s="1" t="s">
        <v>27</v>
      </c>
      <c r="F2765" s="1">
        <f t="shared" si="94"/>
        <v>869.99999999999989</v>
      </c>
      <c r="G2765" s="5">
        <f t="shared" si="93"/>
        <v>0.90574712643678168</v>
      </c>
    </row>
    <row r="2766" spans="1:7" ht="13">
      <c r="A2766" s="4" t="s">
        <v>120</v>
      </c>
      <c r="B2766" s="1">
        <v>6.72</v>
      </c>
      <c r="C2766" s="1">
        <v>458</v>
      </c>
      <c r="D2766" s="1" t="s">
        <v>33</v>
      </c>
      <c r="E2766" s="1" t="s">
        <v>27</v>
      </c>
      <c r="F2766" s="1">
        <f t="shared" si="94"/>
        <v>672</v>
      </c>
      <c r="G2766" s="5">
        <f t="shared" si="93"/>
        <v>0.68154761904761907</v>
      </c>
    </row>
    <row r="2767" spans="1:7" ht="13">
      <c r="A2767" s="4" t="s">
        <v>120</v>
      </c>
      <c r="B2767" s="1">
        <v>4.3</v>
      </c>
      <c r="C2767" s="1">
        <v>270</v>
      </c>
      <c r="D2767" s="1" t="s">
        <v>11</v>
      </c>
      <c r="E2767" s="1" t="s">
        <v>10</v>
      </c>
      <c r="F2767" s="1">
        <f t="shared" si="94"/>
        <v>430</v>
      </c>
      <c r="G2767" s="5">
        <f t="shared" si="93"/>
        <v>0.62790697674418605</v>
      </c>
    </row>
    <row r="2768" spans="1:7" ht="13">
      <c r="A2768" s="4" t="s">
        <v>120</v>
      </c>
      <c r="B2768" s="1">
        <v>7.74</v>
      </c>
      <c r="C2768" s="1">
        <v>488</v>
      </c>
      <c r="D2768" s="1" t="s">
        <v>33</v>
      </c>
      <c r="E2768" s="1" t="s">
        <v>16</v>
      </c>
      <c r="F2768" s="1">
        <f t="shared" si="94"/>
        <v>774</v>
      </c>
      <c r="G2768" s="5">
        <f t="shared" si="93"/>
        <v>0.63049095607235139</v>
      </c>
    </row>
    <row r="2769" spans="1:7" ht="13">
      <c r="A2769" s="4" t="s">
        <v>120</v>
      </c>
      <c r="B2769" s="1">
        <v>6.88</v>
      </c>
      <c r="C2769" s="1">
        <v>438</v>
      </c>
      <c r="D2769" s="1" t="s">
        <v>53</v>
      </c>
      <c r="E2769" s="1" t="s">
        <v>16</v>
      </c>
      <c r="F2769" s="1">
        <f t="shared" si="94"/>
        <v>688</v>
      </c>
      <c r="G2769" s="5">
        <f t="shared" si="93"/>
        <v>0.63662790697674421</v>
      </c>
    </row>
    <row r="2770" spans="1:7" ht="13">
      <c r="A2770" s="4" t="s">
        <v>120</v>
      </c>
      <c r="B2770" s="1">
        <v>7.83</v>
      </c>
      <c r="C2770" s="1">
        <v>648</v>
      </c>
      <c r="D2770" s="1" t="s">
        <v>11</v>
      </c>
      <c r="E2770" s="1" t="s">
        <v>32</v>
      </c>
      <c r="F2770" s="1">
        <f t="shared" si="94"/>
        <v>783</v>
      </c>
      <c r="G2770" s="5">
        <f t="shared" si="93"/>
        <v>0.82758620689655171</v>
      </c>
    </row>
    <row r="2771" spans="1:7" ht="13">
      <c r="A2771" s="4" t="s">
        <v>120</v>
      </c>
      <c r="B2771" s="1">
        <v>8.6999999999999993</v>
      </c>
      <c r="C2771" s="1">
        <v>603</v>
      </c>
      <c r="D2771" s="1" t="s">
        <v>42</v>
      </c>
      <c r="E2771" s="1" t="s">
        <v>20</v>
      </c>
      <c r="F2771" s="1">
        <f t="shared" si="94"/>
        <v>869.99999999999989</v>
      </c>
      <c r="G2771" s="5">
        <f t="shared" si="93"/>
        <v>0.69310344827586212</v>
      </c>
    </row>
    <row r="2772" spans="1:7" ht="13">
      <c r="A2772" s="4" t="s">
        <v>121</v>
      </c>
      <c r="B2772" s="1">
        <v>6</v>
      </c>
      <c r="C2772" s="1">
        <v>279</v>
      </c>
      <c r="D2772" s="1" t="s">
        <v>38</v>
      </c>
      <c r="E2772" s="1" t="s">
        <v>22</v>
      </c>
      <c r="F2772" s="1">
        <f t="shared" si="94"/>
        <v>600</v>
      </c>
      <c r="G2772" s="5">
        <f t="shared" si="93"/>
        <v>0.46500000000000002</v>
      </c>
    </row>
    <row r="2773" spans="1:7" ht="13">
      <c r="A2773" s="4" t="s">
        <v>121</v>
      </c>
      <c r="B2773" s="1">
        <v>9.1999999999999993</v>
      </c>
      <c r="C2773" s="1">
        <v>364</v>
      </c>
      <c r="D2773" s="1" t="s">
        <v>37</v>
      </c>
      <c r="E2773" s="1" t="s">
        <v>18</v>
      </c>
      <c r="F2773" s="1">
        <f t="shared" si="94"/>
        <v>919.99999999999989</v>
      </c>
      <c r="G2773" s="5">
        <f t="shared" si="93"/>
        <v>0.39565217391304353</v>
      </c>
    </row>
    <row r="2774" spans="1:7" ht="13">
      <c r="A2774" s="4" t="s">
        <v>121</v>
      </c>
      <c r="B2774" s="1">
        <v>7.2</v>
      </c>
      <c r="C2774" s="1">
        <v>320</v>
      </c>
      <c r="D2774" s="1" t="s">
        <v>33</v>
      </c>
      <c r="E2774" s="1" t="s">
        <v>15</v>
      </c>
      <c r="F2774" s="1">
        <f t="shared" si="94"/>
        <v>720</v>
      </c>
      <c r="G2774" s="5">
        <f t="shared" si="93"/>
        <v>0.44444444444444442</v>
      </c>
    </row>
    <row r="2775" spans="1:7" ht="13">
      <c r="A2775" s="4" t="s">
        <v>121</v>
      </c>
      <c r="B2775" s="1">
        <v>6</v>
      </c>
      <c r="C2775" s="1">
        <v>261</v>
      </c>
      <c r="D2775" s="1" t="s">
        <v>33</v>
      </c>
      <c r="E2775" s="1" t="s">
        <v>16</v>
      </c>
      <c r="F2775" s="1">
        <f t="shared" si="94"/>
        <v>600</v>
      </c>
      <c r="G2775" s="5">
        <f t="shared" si="93"/>
        <v>0.435</v>
      </c>
    </row>
    <row r="2776" spans="1:7" ht="13">
      <c r="A2776" s="4" t="s">
        <v>121</v>
      </c>
      <c r="B2776" s="1">
        <v>3.44</v>
      </c>
      <c r="C2776" s="1">
        <v>219</v>
      </c>
      <c r="D2776" s="1" t="s">
        <v>39</v>
      </c>
      <c r="E2776" s="1" t="s">
        <v>15</v>
      </c>
      <c r="F2776" s="1">
        <f t="shared" si="94"/>
        <v>344</v>
      </c>
      <c r="G2776" s="5">
        <f t="shared" si="93"/>
        <v>0.63662790697674421</v>
      </c>
    </row>
    <row r="2777" spans="1:7" ht="13">
      <c r="A2777" s="4" t="s">
        <v>121</v>
      </c>
      <c r="B2777" s="1">
        <v>5</v>
      </c>
      <c r="C2777" s="1">
        <v>278</v>
      </c>
      <c r="D2777" s="1" t="s">
        <v>35</v>
      </c>
      <c r="E2777" s="1" t="s">
        <v>17</v>
      </c>
      <c r="F2777" s="1">
        <f t="shared" si="94"/>
        <v>500</v>
      </c>
      <c r="G2777" s="5">
        <f t="shared" si="93"/>
        <v>0.55600000000000005</v>
      </c>
    </row>
    <row r="2778" spans="1:7" ht="13">
      <c r="A2778" s="4" t="s">
        <v>121</v>
      </c>
      <c r="B2778" s="1">
        <v>9.5</v>
      </c>
      <c r="C2778" s="1">
        <v>356</v>
      </c>
      <c r="D2778" s="1" t="s">
        <v>58</v>
      </c>
      <c r="E2778" s="1" t="s">
        <v>18</v>
      </c>
      <c r="F2778" s="1">
        <f t="shared" si="94"/>
        <v>950</v>
      </c>
      <c r="G2778" s="5">
        <f t="shared" si="93"/>
        <v>0.37473684210526315</v>
      </c>
    </row>
    <row r="2779" spans="1:7" ht="13">
      <c r="A2779" s="4" t="s">
        <v>121</v>
      </c>
      <c r="B2779" s="1">
        <v>4.9000000000000004</v>
      </c>
      <c r="C2779" s="1">
        <v>237.49</v>
      </c>
      <c r="D2779" s="1" t="s">
        <v>35</v>
      </c>
      <c r="E2779" s="1" t="s">
        <v>19</v>
      </c>
      <c r="F2779" s="1">
        <f t="shared" si="94"/>
        <v>490.00000000000006</v>
      </c>
      <c r="G2779" s="5">
        <f t="shared" si="93"/>
        <v>0.48467346938775507</v>
      </c>
    </row>
    <row r="2780" spans="1:7" ht="13">
      <c r="A2780" s="4" t="s">
        <v>121</v>
      </c>
      <c r="B2780" s="1">
        <v>8.8000000000000007</v>
      </c>
      <c r="C2780" s="1">
        <v>418</v>
      </c>
      <c r="D2780" s="1" t="s">
        <v>42</v>
      </c>
      <c r="E2780" s="1" t="s">
        <v>32</v>
      </c>
      <c r="F2780" s="1">
        <f t="shared" si="94"/>
        <v>880.00000000000011</v>
      </c>
      <c r="G2780" s="5">
        <f t="shared" si="93"/>
        <v>0.47499999999999992</v>
      </c>
    </row>
    <row r="2781" spans="1:7" ht="13">
      <c r="A2781" s="4" t="s">
        <v>121</v>
      </c>
      <c r="B2781" s="1">
        <v>6.4</v>
      </c>
      <c r="C2781" s="1">
        <v>382</v>
      </c>
      <c r="D2781" s="1" t="s">
        <v>11</v>
      </c>
      <c r="E2781" s="1" t="s">
        <v>32</v>
      </c>
      <c r="F2781" s="1">
        <f t="shared" si="94"/>
        <v>640</v>
      </c>
      <c r="G2781" s="5">
        <f t="shared" si="93"/>
        <v>0.59687500000000004</v>
      </c>
    </row>
    <row r="2782" spans="1:7" ht="13">
      <c r="A2782" s="4" t="s">
        <v>121</v>
      </c>
      <c r="B2782" s="1">
        <v>7.2</v>
      </c>
      <c r="C2782" s="1">
        <v>422</v>
      </c>
      <c r="D2782" s="1" t="s">
        <v>11</v>
      </c>
      <c r="E2782" s="1" t="s">
        <v>7</v>
      </c>
      <c r="F2782" s="1">
        <f t="shared" si="94"/>
        <v>720</v>
      </c>
      <c r="G2782" s="5">
        <f t="shared" si="93"/>
        <v>0.58611111111111114</v>
      </c>
    </row>
    <row r="2783" spans="1:7" ht="13">
      <c r="A2783" s="4" t="s">
        <v>121</v>
      </c>
      <c r="B2783" s="1">
        <v>5.6</v>
      </c>
      <c r="C2783" s="1">
        <v>164</v>
      </c>
      <c r="D2783" s="1" t="s">
        <v>102</v>
      </c>
      <c r="E2783" s="1" t="s">
        <v>26</v>
      </c>
      <c r="F2783" s="1">
        <f t="shared" si="94"/>
        <v>560</v>
      </c>
      <c r="G2783" s="5">
        <f t="shared" si="93"/>
        <v>0.29285714285714287</v>
      </c>
    </row>
    <row r="2784" spans="1:7" ht="13">
      <c r="A2784" s="4" t="s">
        <v>121</v>
      </c>
      <c r="B2784" s="1">
        <v>5.2</v>
      </c>
      <c r="C2784" s="1">
        <v>266</v>
      </c>
      <c r="D2784" s="1" t="s">
        <v>50</v>
      </c>
      <c r="E2784" s="1" t="s">
        <v>15</v>
      </c>
      <c r="F2784" s="1">
        <f t="shared" si="94"/>
        <v>520</v>
      </c>
      <c r="G2784" s="5">
        <f t="shared" si="93"/>
        <v>0.5115384615384615</v>
      </c>
    </row>
    <row r="2785" spans="1:7" ht="13">
      <c r="A2785" s="4" t="s">
        <v>121</v>
      </c>
      <c r="B2785" s="1">
        <v>6.88</v>
      </c>
      <c r="C2785" s="1">
        <v>374</v>
      </c>
      <c r="D2785" s="1" t="s">
        <v>11</v>
      </c>
      <c r="E2785" s="1" t="s">
        <v>8</v>
      </c>
      <c r="F2785" s="1">
        <f t="shared" si="94"/>
        <v>688</v>
      </c>
      <c r="G2785" s="5">
        <f t="shared" si="93"/>
        <v>0.54360465116279066</v>
      </c>
    </row>
    <row r="2786" spans="1:7" ht="13">
      <c r="A2786" s="4" t="s">
        <v>121</v>
      </c>
      <c r="B2786" s="1">
        <v>9.6</v>
      </c>
      <c r="C2786" s="1">
        <v>670</v>
      </c>
      <c r="D2786" s="1" t="s">
        <v>11</v>
      </c>
      <c r="E2786" s="1" t="s">
        <v>29</v>
      </c>
      <c r="F2786" s="1">
        <f t="shared" si="94"/>
        <v>960</v>
      </c>
      <c r="G2786" s="5">
        <f t="shared" si="93"/>
        <v>0.69791666666666663</v>
      </c>
    </row>
    <row r="2787" spans="1:7" ht="13">
      <c r="A2787" s="4" t="s">
        <v>121</v>
      </c>
      <c r="B2787" s="1">
        <v>7.4</v>
      </c>
      <c r="C2787" s="1">
        <v>373</v>
      </c>
      <c r="D2787" s="1" t="s">
        <v>11</v>
      </c>
      <c r="E2787" s="1" t="s">
        <v>10</v>
      </c>
      <c r="F2787" s="1">
        <f t="shared" si="94"/>
        <v>740</v>
      </c>
      <c r="G2787" s="5">
        <f t="shared" si="93"/>
        <v>0.50405405405405401</v>
      </c>
    </row>
    <row r="2788" spans="1:7" ht="13">
      <c r="A2788" s="4" t="s">
        <v>121</v>
      </c>
      <c r="B2788" s="1">
        <v>5.2</v>
      </c>
      <c r="C2788" s="1">
        <v>335</v>
      </c>
      <c r="D2788" s="1" t="s">
        <v>38</v>
      </c>
      <c r="E2788" s="1" t="s">
        <v>9</v>
      </c>
      <c r="F2788" s="1">
        <f t="shared" si="94"/>
        <v>520</v>
      </c>
      <c r="G2788" s="5">
        <f t="shared" si="93"/>
        <v>0.64423076923076927</v>
      </c>
    </row>
    <row r="2789" spans="1:7" ht="13">
      <c r="A2789" s="4" t="s">
        <v>121</v>
      </c>
      <c r="B2789" s="1">
        <v>7.83</v>
      </c>
      <c r="C2789" s="1">
        <v>395</v>
      </c>
      <c r="D2789" s="1" t="s">
        <v>11</v>
      </c>
      <c r="E2789" s="1" t="s">
        <v>17</v>
      </c>
      <c r="F2789" s="1">
        <f t="shared" si="94"/>
        <v>783</v>
      </c>
      <c r="G2789" s="5">
        <f t="shared" si="93"/>
        <v>0.50446998722860792</v>
      </c>
    </row>
    <row r="2790" spans="1:7" ht="13">
      <c r="A2790" s="4" t="s">
        <v>121</v>
      </c>
      <c r="B2790" s="1">
        <v>7.8</v>
      </c>
      <c r="C2790" s="1">
        <v>477</v>
      </c>
      <c r="D2790" s="1" t="s">
        <v>11</v>
      </c>
      <c r="E2790" s="1" t="s">
        <v>26</v>
      </c>
      <c r="F2790" s="1">
        <f t="shared" si="94"/>
        <v>780</v>
      </c>
      <c r="G2790" s="5">
        <f t="shared" si="93"/>
        <v>0.61153846153846159</v>
      </c>
    </row>
    <row r="2791" spans="1:7" ht="13">
      <c r="A2791" s="4" t="s">
        <v>121</v>
      </c>
      <c r="B2791" s="1">
        <v>4</v>
      </c>
      <c r="C2791" s="1">
        <v>245</v>
      </c>
      <c r="D2791" s="1" t="s">
        <v>38</v>
      </c>
      <c r="E2791" s="1" t="s">
        <v>31</v>
      </c>
      <c r="F2791" s="1">
        <f t="shared" si="94"/>
        <v>400</v>
      </c>
      <c r="G2791" s="5">
        <f t="shared" si="93"/>
        <v>0.61250000000000004</v>
      </c>
    </row>
    <row r="2792" spans="1:7" ht="13">
      <c r="A2792" s="4" t="s">
        <v>121</v>
      </c>
      <c r="B2792" s="1">
        <v>2.87</v>
      </c>
      <c r="C2792" s="1">
        <v>165</v>
      </c>
      <c r="D2792" s="1" t="s">
        <v>11</v>
      </c>
      <c r="E2792" s="1" t="s">
        <v>8</v>
      </c>
      <c r="F2792" s="1">
        <f t="shared" si="94"/>
        <v>287</v>
      </c>
      <c r="G2792" s="5">
        <f t="shared" si="93"/>
        <v>0.57491289198606277</v>
      </c>
    </row>
    <row r="2793" spans="1:7" ht="13">
      <c r="A2793" s="4" t="s">
        <v>121</v>
      </c>
      <c r="B2793" s="1">
        <v>7.6</v>
      </c>
      <c r="C2793" s="1">
        <v>240</v>
      </c>
      <c r="D2793" s="1" t="s">
        <v>33</v>
      </c>
      <c r="E2793" s="1" t="s">
        <v>17</v>
      </c>
      <c r="F2793" s="1">
        <f t="shared" si="94"/>
        <v>760</v>
      </c>
      <c r="G2793" s="5">
        <f t="shared" si="93"/>
        <v>0.31578947368421051</v>
      </c>
    </row>
    <row r="2794" spans="1:7" ht="13">
      <c r="A2794" s="4" t="s">
        <v>121</v>
      </c>
      <c r="B2794" s="1">
        <v>7.3949999999999996</v>
      </c>
      <c r="C2794" s="1">
        <v>334</v>
      </c>
      <c r="D2794" s="1" t="s">
        <v>11</v>
      </c>
      <c r="E2794" s="1" t="s">
        <v>20</v>
      </c>
      <c r="F2794" s="1">
        <f t="shared" si="94"/>
        <v>739.5</v>
      </c>
      <c r="G2794" s="5">
        <f t="shared" si="93"/>
        <v>0.45165652467883705</v>
      </c>
    </row>
    <row r="2795" spans="1:7" ht="13">
      <c r="A2795" s="4" t="s">
        <v>121</v>
      </c>
      <c r="B2795" s="1">
        <v>5.81</v>
      </c>
      <c r="C2795" s="1">
        <v>338</v>
      </c>
      <c r="D2795" s="1" t="s">
        <v>38</v>
      </c>
      <c r="E2795" s="1" t="s">
        <v>8</v>
      </c>
      <c r="F2795" s="1">
        <f t="shared" si="94"/>
        <v>581</v>
      </c>
      <c r="G2795" s="5">
        <f t="shared" si="93"/>
        <v>0.58175559380378661</v>
      </c>
    </row>
    <row r="2796" spans="1:7" ht="13">
      <c r="A2796" s="4" t="s">
        <v>121</v>
      </c>
      <c r="B2796" s="1">
        <v>6.4</v>
      </c>
      <c r="C2796" s="1">
        <v>381</v>
      </c>
      <c r="D2796" s="1" t="s">
        <v>11</v>
      </c>
      <c r="E2796" s="1" t="s">
        <v>16</v>
      </c>
      <c r="F2796" s="1">
        <f t="shared" si="94"/>
        <v>640</v>
      </c>
      <c r="G2796" s="5">
        <f t="shared" si="93"/>
        <v>0.59531250000000002</v>
      </c>
    </row>
    <row r="2797" spans="1:7" ht="13">
      <c r="A2797" s="4" t="s">
        <v>121</v>
      </c>
      <c r="B2797" s="1">
        <v>4</v>
      </c>
      <c r="C2797" s="1">
        <v>300</v>
      </c>
      <c r="D2797" s="1" t="s">
        <v>11</v>
      </c>
      <c r="E2797" s="1" t="s">
        <v>24</v>
      </c>
      <c r="F2797" s="1">
        <f t="shared" si="94"/>
        <v>400</v>
      </c>
      <c r="G2797" s="5">
        <f t="shared" si="93"/>
        <v>0.75</v>
      </c>
    </row>
    <row r="2798" spans="1:7" ht="13">
      <c r="A2798" s="4" t="s">
        <v>121</v>
      </c>
      <c r="B2798" s="1">
        <v>5.4</v>
      </c>
      <c r="C2798" s="1">
        <v>364</v>
      </c>
      <c r="D2798" s="1" t="s">
        <v>39</v>
      </c>
      <c r="E2798" s="1" t="s">
        <v>8</v>
      </c>
      <c r="F2798" s="1">
        <f t="shared" si="94"/>
        <v>540</v>
      </c>
      <c r="G2798" s="5">
        <f t="shared" si="93"/>
        <v>0.67407407407407405</v>
      </c>
    </row>
    <row r="2799" spans="1:7" ht="13">
      <c r="A2799" s="4" t="s">
        <v>121</v>
      </c>
      <c r="B2799" s="1">
        <v>3.85</v>
      </c>
      <c r="C2799" s="1">
        <v>270</v>
      </c>
      <c r="D2799" s="1" t="s">
        <v>55</v>
      </c>
      <c r="E2799" s="1" t="s">
        <v>15</v>
      </c>
      <c r="F2799" s="1">
        <f t="shared" si="94"/>
        <v>385</v>
      </c>
      <c r="G2799" s="5">
        <f t="shared" si="93"/>
        <v>0.70129870129870131</v>
      </c>
    </row>
    <row r="2800" spans="1:7" ht="13">
      <c r="A2800" s="4" t="s">
        <v>121</v>
      </c>
      <c r="B2800" s="1">
        <v>6.24</v>
      </c>
      <c r="C2800" s="1">
        <v>465</v>
      </c>
      <c r="D2800" s="1" t="s">
        <v>11</v>
      </c>
      <c r="E2800" s="1" t="s">
        <v>17</v>
      </c>
      <c r="F2800" s="1">
        <f t="shared" si="94"/>
        <v>624</v>
      </c>
      <c r="G2800" s="5">
        <f t="shared" si="93"/>
        <v>0.74519230769230771</v>
      </c>
    </row>
    <row r="2801" spans="1:7" ht="13">
      <c r="A2801" s="4" t="s">
        <v>121</v>
      </c>
      <c r="B2801" s="1">
        <v>7.7</v>
      </c>
      <c r="C2801" s="1">
        <v>378</v>
      </c>
      <c r="D2801" s="1" t="s">
        <v>11</v>
      </c>
      <c r="E2801" s="1" t="s">
        <v>25</v>
      </c>
      <c r="F2801" s="1">
        <f t="shared" si="94"/>
        <v>770</v>
      </c>
      <c r="G2801" s="5">
        <f t="shared" si="93"/>
        <v>0.49090909090909091</v>
      </c>
    </row>
    <row r="2802" spans="1:7" ht="13">
      <c r="A2802" s="4" t="s">
        <v>121</v>
      </c>
      <c r="B2802" s="1">
        <v>5.16</v>
      </c>
      <c r="C2802" s="1">
        <v>191</v>
      </c>
      <c r="D2802" s="1" t="s">
        <v>42</v>
      </c>
      <c r="E2802" s="1" t="s">
        <v>22</v>
      </c>
      <c r="F2802" s="1">
        <f t="shared" si="94"/>
        <v>516</v>
      </c>
      <c r="G2802" s="5">
        <f t="shared" si="93"/>
        <v>0.37015503875968991</v>
      </c>
    </row>
    <row r="2803" spans="1:7" ht="13">
      <c r="A2803" s="4" t="s">
        <v>121</v>
      </c>
      <c r="B2803" s="1">
        <v>7.5</v>
      </c>
      <c r="C2803" s="1">
        <v>294</v>
      </c>
      <c r="D2803" s="1" t="s">
        <v>11</v>
      </c>
      <c r="E2803" s="1" t="s">
        <v>16</v>
      </c>
      <c r="F2803" s="1">
        <f t="shared" si="94"/>
        <v>750</v>
      </c>
      <c r="G2803" s="5">
        <f t="shared" si="93"/>
        <v>0.39200000000000002</v>
      </c>
    </row>
    <row r="2804" spans="1:7" ht="13">
      <c r="A2804" s="4" t="s">
        <v>121</v>
      </c>
      <c r="B2804" s="1">
        <v>7</v>
      </c>
      <c r="C2804" s="1">
        <v>272</v>
      </c>
      <c r="D2804" s="1" t="s">
        <v>33</v>
      </c>
      <c r="E2804" s="1" t="s">
        <v>20</v>
      </c>
      <c r="F2804" s="1">
        <f t="shared" si="94"/>
        <v>700</v>
      </c>
      <c r="G2804" s="5">
        <f t="shared" si="93"/>
        <v>0.38857142857142857</v>
      </c>
    </row>
    <row r="2805" spans="1:7" ht="13">
      <c r="A2805" s="4" t="s">
        <v>121</v>
      </c>
      <c r="B2805" s="1">
        <v>4.4000000000000004</v>
      </c>
      <c r="C2805" s="1">
        <v>280</v>
      </c>
      <c r="D2805" s="1" t="s">
        <v>11</v>
      </c>
      <c r="E2805" s="1" t="s">
        <v>15</v>
      </c>
      <c r="F2805" s="1">
        <f t="shared" si="94"/>
        <v>440.00000000000006</v>
      </c>
      <c r="G2805" s="5">
        <f t="shared" si="93"/>
        <v>0.63636363636363624</v>
      </c>
    </row>
    <row r="2806" spans="1:7" ht="13">
      <c r="A2806" s="4" t="s">
        <v>121</v>
      </c>
      <c r="B2806" s="1">
        <v>8</v>
      </c>
      <c r="C2806" s="1">
        <v>392</v>
      </c>
      <c r="D2806" s="1" t="s">
        <v>11</v>
      </c>
      <c r="E2806" s="1" t="s">
        <v>22</v>
      </c>
      <c r="F2806" s="1">
        <f t="shared" si="94"/>
        <v>800</v>
      </c>
      <c r="G2806" s="5">
        <f t="shared" si="93"/>
        <v>0.49</v>
      </c>
    </row>
    <row r="2807" spans="1:7" ht="13">
      <c r="A2807" s="4" t="s">
        <v>121</v>
      </c>
      <c r="B2807" s="1">
        <v>9</v>
      </c>
      <c r="C2807" s="1">
        <v>404</v>
      </c>
      <c r="D2807" s="1" t="s">
        <v>44</v>
      </c>
      <c r="E2807" s="1" t="s">
        <v>25</v>
      </c>
      <c r="F2807" s="1">
        <f t="shared" si="94"/>
        <v>900</v>
      </c>
      <c r="G2807" s="5">
        <f t="shared" si="93"/>
        <v>0.44888888888888889</v>
      </c>
    </row>
    <row r="2808" spans="1:7" ht="13">
      <c r="A2808" s="4" t="s">
        <v>121</v>
      </c>
      <c r="B2808" s="1">
        <v>6.3</v>
      </c>
      <c r="C2808" s="1">
        <v>282</v>
      </c>
      <c r="D2808" s="1" t="s">
        <v>43</v>
      </c>
      <c r="E2808" s="1" t="s">
        <v>29</v>
      </c>
      <c r="F2808" s="1">
        <f t="shared" si="94"/>
        <v>630</v>
      </c>
      <c r="G2808" s="5">
        <f t="shared" si="93"/>
        <v>0.44761904761904764</v>
      </c>
    </row>
    <row r="2809" spans="1:7" ht="13">
      <c r="A2809" s="4" t="s">
        <v>121</v>
      </c>
      <c r="B2809" s="1">
        <v>6.6</v>
      </c>
      <c r="C2809" s="1">
        <v>324</v>
      </c>
      <c r="D2809" s="1" t="s">
        <v>43</v>
      </c>
      <c r="E2809" s="1" t="s">
        <v>17</v>
      </c>
      <c r="F2809" s="1">
        <f t="shared" si="94"/>
        <v>660</v>
      </c>
      <c r="G2809" s="5">
        <f t="shared" si="93"/>
        <v>0.49090909090909091</v>
      </c>
    </row>
    <row r="2810" spans="1:7" ht="13">
      <c r="A2810" s="4" t="s">
        <v>121</v>
      </c>
      <c r="B2810" s="1">
        <v>8.1999999999999993</v>
      </c>
      <c r="C2810" s="1">
        <v>436</v>
      </c>
      <c r="D2810" s="1" t="s">
        <v>11</v>
      </c>
      <c r="E2810" s="1" t="s">
        <v>12</v>
      </c>
      <c r="F2810" s="1">
        <f t="shared" si="94"/>
        <v>819.99999999999989</v>
      </c>
      <c r="G2810" s="5">
        <f t="shared" si="93"/>
        <v>0.53170731707317076</v>
      </c>
    </row>
    <row r="2811" spans="1:7" ht="13">
      <c r="A2811" s="4" t="s">
        <v>121</v>
      </c>
      <c r="B2811" s="1">
        <v>8.5</v>
      </c>
      <c r="C2811" s="1">
        <v>284</v>
      </c>
      <c r="D2811" s="1" t="s">
        <v>33</v>
      </c>
      <c r="E2811" s="1" t="s">
        <v>46</v>
      </c>
      <c r="F2811" s="1">
        <f t="shared" si="94"/>
        <v>850</v>
      </c>
      <c r="G2811" s="5">
        <f t="shared" si="93"/>
        <v>0.33411764705882352</v>
      </c>
    </row>
    <row r="2812" spans="1:7" ht="13">
      <c r="A2812" s="4" t="s">
        <v>121</v>
      </c>
      <c r="B2812" s="1">
        <v>8.6</v>
      </c>
      <c r="C2812" s="1">
        <v>483</v>
      </c>
      <c r="D2812" s="1" t="s">
        <v>11</v>
      </c>
      <c r="E2812" s="1" t="s">
        <v>9</v>
      </c>
      <c r="F2812" s="1">
        <f t="shared" si="94"/>
        <v>860</v>
      </c>
      <c r="G2812" s="5">
        <f t="shared" si="93"/>
        <v>0.56162790697674414</v>
      </c>
    </row>
    <row r="2813" spans="1:7" ht="13">
      <c r="A2813" s="4" t="s">
        <v>121</v>
      </c>
      <c r="B2813" s="1">
        <v>3.44</v>
      </c>
      <c r="C2813" s="1">
        <v>212</v>
      </c>
      <c r="D2813" s="1" t="s">
        <v>43</v>
      </c>
      <c r="E2813" s="1" t="s">
        <v>8</v>
      </c>
      <c r="F2813" s="1">
        <f t="shared" si="94"/>
        <v>344</v>
      </c>
      <c r="G2813" s="5">
        <f t="shared" si="93"/>
        <v>0.61627906976744184</v>
      </c>
    </row>
    <row r="2814" spans="1:7" ht="13">
      <c r="A2814" s="4" t="s">
        <v>121</v>
      </c>
      <c r="B2814" s="1">
        <v>6.9</v>
      </c>
      <c r="C2814" s="1">
        <v>395</v>
      </c>
      <c r="D2814" s="1" t="s">
        <v>11</v>
      </c>
      <c r="E2814" s="1" t="s">
        <v>26</v>
      </c>
      <c r="F2814" s="1">
        <f t="shared" si="94"/>
        <v>690</v>
      </c>
      <c r="G2814" s="5">
        <f t="shared" si="93"/>
        <v>0.57246376811594202</v>
      </c>
    </row>
    <row r="2815" spans="1:7" ht="13">
      <c r="A2815" s="4" t="s">
        <v>121</v>
      </c>
      <c r="B2815" s="1">
        <v>4.0999999999999996</v>
      </c>
      <c r="C2815" s="1">
        <v>210</v>
      </c>
      <c r="D2815" s="1" t="s">
        <v>11</v>
      </c>
      <c r="E2815" s="1" t="s">
        <v>18</v>
      </c>
      <c r="F2815" s="1">
        <f t="shared" si="94"/>
        <v>409.99999999999994</v>
      </c>
      <c r="G2815" s="5">
        <f t="shared" si="93"/>
        <v>0.51219512195121963</v>
      </c>
    </row>
    <row r="2816" spans="1:7" ht="13">
      <c r="A2816" s="4" t="s">
        <v>121</v>
      </c>
      <c r="B2816" s="1">
        <v>6.2</v>
      </c>
      <c r="C2816" s="1">
        <v>313</v>
      </c>
      <c r="D2816" s="1" t="s">
        <v>11</v>
      </c>
      <c r="E2816" s="1" t="s">
        <v>7</v>
      </c>
      <c r="F2816" s="1">
        <f t="shared" si="94"/>
        <v>620</v>
      </c>
      <c r="G2816" s="5">
        <f t="shared" si="93"/>
        <v>0.50483870967741939</v>
      </c>
    </row>
    <row r="2817" spans="1:7" ht="13">
      <c r="A2817" s="4" t="s">
        <v>121</v>
      </c>
      <c r="B2817" s="1">
        <v>5.0999999999999996</v>
      </c>
      <c r="C2817" s="1">
        <v>227</v>
      </c>
      <c r="D2817" s="1" t="s">
        <v>11</v>
      </c>
      <c r="E2817" s="1" t="s">
        <v>8</v>
      </c>
      <c r="F2817" s="1">
        <f t="shared" si="94"/>
        <v>509.99999999999994</v>
      </c>
      <c r="G2817" s="5">
        <f t="shared" si="93"/>
        <v>0.4450980392156863</v>
      </c>
    </row>
    <row r="2818" spans="1:7" ht="13">
      <c r="A2818" s="4" t="s">
        <v>121</v>
      </c>
      <c r="B2818" s="1">
        <v>5.88</v>
      </c>
      <c r="C2818" s="1">
        <v>238</v>
      </c>
      <c r="D2818" s="1" t="s">
        <v>39</v>
      </c>
      <c r="E2818" s="1" t="s">
        <v>19</v>
      </c>
      <c r="F2818" s="1">
        <f t="shared" si="94"/>
        <v>588</v>
      </c>
      <c r="G2818" s="5">
        <f t="shared" ref="G2818:G2881" si="95">C2818/F2818</f>
        <v>0.40476190476190477</v>
      </c>
    </row>
    <row r="2819" spans="1:7" ht="13">
      <c r="A2819" s="4" t="s">
        <v>121</v>
      </c>
      <c r="B2819" s="1">
        <v>7.4</v>
      </c>
      <c r="C2819" s="1">
        <v>384</v>
      </c>
      <c r="D2819" s="1" t="s">
        <v>39</v>
      </c>
      <c r="E2819" s="1" t="s">
        <v>10</v>
      </c>
      <c r="F2819" s="1">
        <f t="shared" ref="F2819:F2882" si="96">B2819*100</f>
        <v>740</v>
      </c>
      <c r="G2819" s="5">
        <f t="shared" si="95"/>
        <v>0.51891891891891895</v>
      </c>
    </row>
    <row r="2820" spans="1:7" ht="13">
      <c r="A2820" s="4" t="s">
        <v>121</v>
      </c>
      <c r="B2820" s="1">
        <v>7.9</v>
      </c>
      <c r="C2820" s="1">
        <v>491</v>
      </c>
      <c r="D2820" s="1" t="s">
        <v>11</v>
      </c>
      <c r="E2820" s="1" t="s">
        <v>30</v>
      </c>
      <c r="F2820" s="1">
        <f t="shared" si="96"/>
        <v>790</v>
      </c>
      <c r="G2820" s="5">
        <f t="shared" si="95"/>
        <v>0.62151898734177213</v>
      </c>
    </row>
    <row r="2821" spans="1:7" ht="13">
      <c r="A2821" s="4" t="s">
        <v>121</v>
      </c>
      <c r="B2821" s="1">
        <v>6.96</v>
      </c>
      <c r="C2821" s="1">
        <v>363</v>
      </c>
      <c r="D2821" s="1" t="s">
        <v>11</v>
      </c>
      <c r="E2821" s="1" t="s">
        <v>8</v>
      </c>
      <c r="F2821" s="1">
        <f t="shared" si="96"/>
        <v>696</v>
      </c>
      <c r="G2821" s="5">
        <f t="shared" si="95"/>
        <v>0.52155172413793105</v>
      </c>
    </row>
    <row r="2822" spans="1:7" ht="13">
      <c r="A2822" s="4" t="s">
        <v>121</v>
      </c>
      <c r="B2822" s="1">
        <v>8.1999999999999993</v>
      </c>
      <c r="C2822" s="1">
        <v>431</v>
      </c>
      <c r="D2822" s="1" t="s">
        <v>39</v>
      </c>
      <c r="E2822" s="1" t="s">
        <v>16</v>
      </c>
      <c r="F2822" s="1">
        <f t="shared" si="96"/>
        <v>819.99999999999989</v>
      </c>
      <c r="G2822" s="5">
        <f t="shared" si="95"/>
        <v>0.525609756097561</v>
      </c>
    </row>
    <row r="2823" spans="1:7" ht="13">
      <c r="A2823" s="4" t="s">
        <v>121</v>
      </c>
      <c r="B2823" s="1">
        <v>6.8</v>
      </c>
      <c r="C2823" s="1">
        <v>247</v>
      </c>
      <c r="D2823" s="1" t="s">
        <v>33</v>
      </c>
      <c r="E2823" s="1" t="s">
        <v>20</v>
      </c>
      <c r="F2823" s="1">
        <f t="shared" si="96"/>
        <v>680</v>
      </c>
      <c r="G2823" s="5">
        <f t="shared" si="95"/>
        <v>0.36323529411764705</v>
      </c>
    </row>
    <row r="2824" spans="1:7" ht="13">
      <c r="A2824" s="4" t="s">
        <v>121</v>
      </c>
      <c r="B2824" s="1">
        <v>7.6</v>
      </c>
      <c r="C2824" s="1">
        <v>319</v>
      </c>
      <c r="D2824" s="1" t="s">
        <v>59</v>
      </c>
      <c r="E2824" s="1" t="s">
        <v>49</v>
      </c>
      <c r="F2824" s="1">
        <f t="shared" si="96"/>
        <v>760</v>
      </c>
      <c r="G2824" s="5">
        <f t="shared" si="95"/>
        <v>0.41973684210526313</v>
      </c>
    </row>
    <row r="2825" spans="1:7" ht="13">
      <c r="A2825" s="4" t="s">
        <v>121</v>
      </c>
      <c r="B2825" s="1">
        <v>7.9</v>
      </c>
      <c r="C2825" s="1">
        <v>283</v>
      </c>
      <c r="D2825" s="1" t="s">
        <v>53</v>
      </c>
      <c r="E2825" s="1" t="s">
        <v>9</v>
      </c>
      <c r="F2825" s="1">
        <f t="shared" si="96"/>
        <v>790</v>
      </c>
      <c r="G2825" s="5">
        <f t="shared" si="95"/>
        <v>0.35822784810126584</v>
      </c>
    </row>
    <row r="2826" spans="1:7" ht="13">
      <c r="A2826" s="4" t="s">
        <v>121</v>
      </c>
      <c r="B2826" s="1">
        <v>5.6</v>
      </c>
      <c r="C2826" s="1">
        <v>200</v>
      </c>
      <c r="D2826" s="1" t="s">
        <v>33</v>
      </c>
      <c r="E2826" s="1" t="s">
        <v>9</v>
      </c>
      <c r="F2826" s="1">
        <f t="shared" si="96"/>
        <v>560</v>
      </c>
      <c r="G2826" s="5">
        <f t="shared" si="95"/>
        <v>0.35714285714285715</v>
      </c>
    </row>
    <row r="2827" spans="1:7" ht="13">
      <c r="A2827" s="4" t="s">
        <v>121</v>
      </c>
      <c r="B2827" s="1">
        <v>5.6</v>
      </c>
      <c r="C2827" s="1">
        <v>210</v>
      </c>
      <c r="D2827" s="1" t="s">
        <v>33</v>
      </c>
      <c r="E2827" s="1" t="s">
        <v>8</v>
      </c>
      <c r="F2827" s="1">
        <f t="shared" si="96"/>
        <v>560</v>
      </c>
      <c r="G2827" s="5">
        <f t="shared" si="95"/>
        <v>0.375</v>
      </c>
    </row>
    <row r="2828" spans="1:7" ht="13">
      <c r="A2828" s="4" t="s">
        <v>121</v>
      </c>
      <c r="B2828" s="1">
        <v>5.6</v>
      </c>
      <c r="C2828" s="1">
        <v>328</v>
      </c>
      <c r="D2828" s="1" t="s">
        <v>33</v>
      </c>
      <c r="E2828" s="1" t="s">
        <v>12</v>
      </c>
      <c r="F2828" s="1">
        <f t="shared" si="96"/>
        <v>560</v>
      </c>
      <c r="G2828" s="5">
        <f t="shared" si="95"/>
        <v>0.58571428571428574</v>
      </c>
    </row>
    <row r="2829" spans="1:7" ht="13">
      <c r="A2829" s="4" t="s">
        <v>121</v>
      </c>
      <c r="B2829" s="1">
        <v>8.5</v>
      </c>
      <c r="C2829" s="1">
        <v>314</v>
      </c>
      <c r="D2829" s="1" t="s">
        <v>88</v>
      </c>
      <c r="E2829" s="1" t="s">
        <v>17</v>
      </c>
      <c r="F2829" s="1">
        <f t="shared" si="96"/>
        <v>850</v>
      </c>
      <c r="G2829" s="5">
        <f t="shared" si="95"/>
        <v>0.36941176470588233</v>
      </c>
    </row>
    <row r="2830" spans="1:7" ht="13">
      <c r="A2830" s="4" t="s">
        <v>121</v>
      </c>
      <c r="B2830" s="1">
        <v>6.96</v>
      </c>
      <c r="C2830" s="1">
        <v>429</v>
      </c>
      <c r="D2830" s="1" t="s">
        <v>11</v>
      </c>
      <c r="E2830" s="1" t="s">
        <v>8</v>
      </c>
      <c r="F2830" s="1">
        <f t="shared" si="96"/>
        <v>696</v>
      </c>
      <c r="G2830" s="5">
        <f t="shared" si="95"/>
        <v>0.61637931034482762</v>
      </c>
    </row>
    <row r="2831" spans="1:7" ht="13">
      <c r="A2831" s="4" t="s">
        <v>121</v>
      </c>
      <c r="B2831" s="1">
        <v>6.45</v>
      </c>
      <c r="C2831" s="1">
        <v>310</v>
      </c>
      <c r="D2831" s="1" t="s">
        <v>42</v>
      </c>
      <c r="E2831" s="1" t="s">
        <v>18</v>
      </c>
      <c r="F2831" s="1">
        <f t="shared" si="96"/>
        <v>645</v>
      </c>
      <c r="G2831" s="5">
        <f t="shared" si="95"/>
        <v>0.48062015503875971</v>
      </c>
    </row>
    <row r="2832" spans="1:7" ht="13">
      <c r="A2832" s="4" t="s">
        <v>121</v>
      </c>
      <c r="B2832" s="1">
        <v>5.2</v>
      </c>
      <c r="C2832" s="1">
        <v>278</v>
      </c>
      <c r="D2832" s="1" t="s">
        <v>39</v>
      </c>
      <c r="E2832" s="1" t="s">
        <v>15</v>
      </c>
      <c r="F2832" s="1">
        <f t="shared" si="96"/>
        <v>520</v>
      </c>
      <c r="G2832" s="5">
        <f t="shared" si="95"/>
        <v>0.5346153846153846</v>
      </c>
    </row>
    <row r="2833" spans="1:7" ht="13">
      <c r="A2833" s="4" t="s">
        <v>121</v>
      </c>
      <c r="B2833" s="1">
        <v>8.33</v>
      </c>
      <c r="C2833" s="1">
        <v>376</v>
      </c>
      <c r="D2833" s="1" t="s">
        <v>47</v>
      </c>
      <c r="E2833" s="1" t="s">
        <v>7</v>
      </c>
      <c r="F2833" s="1">
        <f t="shared" si="96"/>
        <v>833</v>
      </c>
      <c r="G2833" s="5">
        <f t="shared" si="95"/>
        <v>0.45138055222088835</v>
      </c>
    </row>
    <row r="2834" spans="1:7" ht="13">
      <c r="A2834" s="4" t="s">
        <v>121</v>
      </c>
      <c r="B2834" s="1">
        <v>7.7</v>
      </c>
      <c r="C2834" s="1">
        <v>498</v>
      </c>
      <c r="D2834" s="1" t="s">
        <v>11</v>
      </c>
      <c r="E2834" s="1" t="s">
        <v>49</v>
      </c>
      <c r="F2834" s="1">
        <f t="shared" si="96"/>
        <v>770</v>
      </c>
      <c r="G2834" s="5">
        <f t="shared" si="95"/>
        <v>0.64675324675324675</v>
      </c>
    </row>
    <row r="2835" spans="1:7" ht="13">
      <c r="A2835" s="4" t="s">
        <v>121</v>
      </c>
      <c r="B2835" s="1">
        <v>6.96</v>
      </c>
      <c r="C2835" s="1">
        <v>244</v>
      </c>
      <c r="D2835" s="1" t="s">
        <v>33</v>
      </c>
      <c r="E2835" s="1" t="s">
        <v>12</v>
      </c>
      <c r="F2835" s="1">
        <f t="shared" si="96"/>
        <v>696</v>
      </c>
      <c r="G2835" s="5">
        <f t="shared" si="95"/>
        <v>0.35057471264367818</v>
      </c>
    </row>
    <row r="2836" spans="1:7" ht="13">
      <c r="A2836" s="4" t="s">
        <v>121</v>
      </c>
      <c r="B2836" s="1">
        <v>5</v>
      </c>
      <c r="C2836" s="1">
        <v>277</v>
      </c>
      <c r="D2836" s="1" t="s">
        <v>39</v>
      </c>
      <c r="E2836" s="1" t="s">
        <v>8</v>
      </c>
      <c r="F2836" s="1">
        <f t="shared" si="96"/>
        <v>500</v>
      </c>
      <c r="G2836" s="5">
        <f t="shared" si="95"/>
        <v>0.55400000000000005</v>
      </c>
    </row>
    <row r="2837" spans="1:7" ht="13">
      <c r="A2837" s="4" t="s">
        <v>121</v>
      </c>
      <c r="B2837" s="1">
        <v>5.28</v>
      </c>
      <c r="C2837" s="1">
        <v>207</v>
      </c>
      <c r="D2837" s="1" t="s">
        <v>33</v>
      </c>
      <c r="E2837" s="1" t="s">
        <v>21</v>
      </c>
      <c r="F2837" s="1">
        <f t="shared" si="96"/>
        <v>528</v>
      </c>
      <c r="G2837" s="5">
        <f t="shared" si="95"/>
        <v>0.39204545454545453</v>
      </c>
    </row>
    <row r="2838" spans="1:7" ht="13">
      <c r="A2838" s="4" t="s">
        <v>121</v>
      </c>
      <c r="B2838" s="1">
        <v>7.83</v>
      </c>
      <c r="C2838" s="1">
        <v>359</v>
      </c>
      <c r="D2838" s="1" t="s">
        <v>11</v>
      </c>
      <c r="E2838" s="1" t="s">
        <v>32</v>
      </c>
      <c r="F2838" s="1">
        <f t="shared" si="96"/>
        <v>783</v>
      </c>
      <c r="G2838" s="5">
        <f t="shared" si="95"/>
        <v>0.45849297573435505</v>
      </c>
    </row>
    <row r="2839" spans="1:7" ht="13">
      <c r="A2839" s="4" t="s">
        <v>121</v>
      </c>
      <c r="B2839" s="1">
        <v>7.7</v>
      </c>
      <c r="C2839" s="1">
        <v>223</v>
      </c>
      <c r="D2839" s="1" t="s">
        <v>33</v>
      </c>
      <c r="E2839" s="1" t="s">
        <v>16</v>
      </c>
      <c r="F2839" s="1">
        <f t="shared" si="96"/>
        <v>770</v>
      </c>
      <c r="G2839" s="5">
        <f t="shared" si="95"/>
        <v>0.2896103896103896</v>
      </c>
    </row>
    <row r="2840" spans="1:7" ht="13">
      <c r="A2840" s="4" t="s">
        <v>121</v>
      </c>
      <c r="B2840" s="1">
        <v>10</v>
      </c>
      <c r="C2840" s="1">
        <v>492</v>
      </c>
      <c r="D2840" s="1" t="s">
        <v>45</v>
      </c>
      <c r="E2840" s="1" t="s">
        <v>15</v>
      </c>
      <c r="F2840" s="1">
        <f t="shared" si="96"/>
        <v>1000</v>
      </c>
      <c r="G2840" s="5">
        <f t="shared" si="95"/>
        <v>0.49199999999999999</v>
      </c>
    </row>
    <row r="2841" spans="1:7" ht="13">
      <c r="A2841" s="4" t="s">
        <v>121</v>
      </c>
      <c r="B2841" s="1">
        <v>9.57</v>
      </c>
      <c r="C2841" s="1">
        <v>483</v>
      </c>
      <c r="D2841" s="1" t="s">
        <v>11</v>
      </c>
      <c r="E2841" s="1" t="s">
        <v>7</v>
      </c>
      <c r="F2841" s="1">
        <f t="shared" si="96"/>
        <v>957</v>
      </c>
      <c r="G2841" s="5">
        <f t="shared" si="95"/>
        <v>0.50470219435736674</v>
      </c>
    </row>
    <row r="2842" spans="1:7" ht="13">
      <c r="A2842" s="4" t="s">
        <v>121</v>
      </c>
      <c r="B2842" s="1">
        <v>7.4</v>
      </c>
      <c r="C2842" s="1">
        <v>100</v>
      </c>
      <c r="D2842" s="1" t="s">
        <v>33</v>
      </c>
      <c r="E2842" s="1" t="s">
        <v>15</v>
      </c>
      <c r="F2842" s="1">
        <f t="shared" si="96"/>
        <v>740</v>
      </c>
      <c r="G2842" s="5">
        <f t="shared" si="95"/>
        <v>0.13513513513513514</v>
      </c>
    </row>
    <row r="2843" spans="1:7" ht="13">
      <c r="A2843" s="4" t="s">
        <v>121</v>
      </c>
      <c r="B2843" s="1">
        <v>8.1999999999999993</v>
      </c>
      <c r="C2843" s="1">
        <v>374</v>
      </c>
      <c r="D2843" s="1" t="s">
        <v>11</v>
      </c>
      <c r="E2843" s="1" t="s">
        <v>12</v>
      </c>
      <c r="F2843" s="1">
        <f t="shared" si="96"/>
        <v>819.99999999999989</v>
      </c>
      <c r="G2843" s="5">
        <f t="shared" si="95"/>
        <v>0.45609756097560983</v>
      </c>
    </row>
    <row r="2844" spans="1:7" ht="13">
      <c r="A2844" s="4" t="s">
        <v>121</v>
      </c>
      <c r="B2844" s="1">
        <v>8.5</v>
      </c>
      <c r="C2844" s="1">
        <v>462</v>
      </c>
      <c r="D2844" s="1" t="s">
        <v>11</v>
      </c>
      <c r="E2844" s="1" t="s">
        <v>68</v>
      </c>
      <c r="F2844" s="1">
        <f t="shared" si="96"/>
        <v>850</v>
      </c>
      <c r="G2844" s="5">
        <f t="shared" si="95"/>
        <v>0.54352941176470593</v>
      </c>
    </row>
    <row r="2845" spans="1:7" ht="13">
      <c r="A2845" s="4" t="s">
        <v>121</v>
      </c>
      <c r="B2845" s="1">
        <v>7.3</v>
      </c>
      <c r="C2845" s="1">
        <v>334</v>
      </c>
      <c r="D2845" s="1" t="s">
        <v>40</v>
      </c>
      <c r="E2845" s="1" t="s">
        <v>12</v>
      </c>
      <c r="F2845" s="1">
        <f t="shared" si="96"/>
        <v>730</v>
      </c>
      <c r="G2845" s="5">
        <f t="shared" si="95"/>
        <v>0.45753424657534247</v>
      </c>
    </row>
    <row r="2846" spans="1:7" ht="13">
      <c r="A2846" s="4" t="s">
        <v>121</v>
      </c>
      <c r="B2846" s="1">
        <v>9.4600000000000009</v>
      </c>
      <c r="C2846" s="1">
        <v>418</v>
      </c>
      <c r="D2846" s="1" t="s">
        <v>52</v>
      </c>
      <c r="E2846" s="1" t="s">
        <v>18</v>
      </c>
      <c r="F2846" s="1">
        <f t="shared" si="96"/>
        <v>946.00000000000011</v>
      </c>
      <c r="G2846" s="5">
        <f t="shared" si="95"/>
        <v>0.44186046511627902</v>
      </c>
    </row>
    <row r="2847" spans="1:7" ht="13">
      <c r="A2847" s="4" t="s">
        <v>121</v>
      </c>
      <c r="B2847" s="1">
        <v>6.09</v>
      </c>
      <c r="C2847" s="1">
        <v>215.05</v>
      </c>
      <c r="D2847" s="1" t="s">
        <v>42</v>
      </c>
      <c r="E2847" s="1" t="s">
        <v>15</v>
      </c>
      <c r="F2847" s="1">
        <f t="shared" si="96"/>
        <v>609</v>
      </c>
      <c r="G2847" s="5">
        <f t="shared" si="95"/>
        <v>0.35311986863711003</v>
      </c>
    </row>
    <row r="2848" spans="1:7" ht="13">
      <c r="A2848" s="4" t="s">
        <v>121</v>
      </c>
      <c r="B2848" s="1">
        <v>4.9000000000000004</v>
      </c>
      <c r="C2848" s="1">
        <v>308</v>
      </c>
      <c r="D2848" s="1" t="s">
        <v>44</v>
      </c>
      <c r="E2848" s="1" t="s">
        <v>15</v>
      </c>
      <c r="F2848" s="1">
        <f t="shared" si="96"/>
        <v>490.00000000000006</v>
      </c>
      <c r="G2848" s="5">
        <f t="shared" si="95"/>
        <v>0.62857142857142845</v>
      </c>
    </row>
    <row r="2849" spans="1:7" ht="13">
      <c r="A2849" s="4" t="s">
        <v>121</v>
      </c>
      <c r="B2849" s="1">
        <v>4.8600000000000003</v>
      </c>
      <c r="C2849" s="1">
        <v>301</v>
      </c>
      <c r="D2849" s="1" t="s">
        <v>38</v>
      </c>
      <c r="E2849" s="1" t="s">
        <v>15</v>
      </c>
      <c r="F2849" s="1">
        <f t="shared" si="96"/>
        <v>486.00000000000006</v>
      </c>
      <c r="G2849" s="5">
        <f t="shared" si="95"/>
        <v>0.61934156378600813</v>
      </c>
    </row>
    <row r="2850" spans="1:7" ht="13">
      <c r="A2850" s="4" t="s">
        <v>121</v>
      </c>
      <c r="B2850" s="1">
        <v>5</v>
      </c>
      <c r="C2850" s="1">
        <v>304</v>
      </c>
      <c r="D2850" s="1" t="s">
        <v>39</v>
      </c>
      <c r="E2850" s="1" t="s">
        <v>22</v>
      </c>
      <c r="F2850" s="1">
        <f t="shared" si="96"/>
        <v>500</v>
      </c>
      <c r="G2850" s="5">
        <f t="shared" si="95"/>
        <v>0.60799999999999998</v>
      </c>
    </row>
    <row r="2851" spans="1:7" ht="13">
      <c r="A2851" s="4" t="s">
        <v>121</v>
      </c>
      <c r="B2851" s="1">
        <v>8.8000000000000007</v>
      </c>
      <c r="C2851" s="1">
        <v>254</v>
      </c>
      <c r="D2851" s="1" t="s">
        <v>53</v>
      </c>
      <c r="E2851" s="1" t="s">
        <v>8</v>
      </c>
      <c r="F2851" s="1">
        <f t="shared" si="96"/>
        <v>880.00000000000011</v>
      </c>
      <c r="G2851" s="5">
        <f t="shared" si="95"/>
        <v>0.28863636363636358</v>
      </c>
    </row>
    <row r="2852" spans="1:7" ht="13">
      <c r="A2852" s="4" t="s">
        <v>121</v>
      </c>
      <c r="B2852" s="1">
        <v>5.0999999999999996</v>
      </c>
      <c r="C2852" s="1">
        <v>285</v>
      </c>
      <c r="D2852" s="1" t="s">
        <v>42</v>
      </c>
      <c r="E2852" s="1" t="s">
        <v>30</v>
      </c>
      <c r="F2852" s="1">
        <f t="shared" si="96"/>
        <v>509.99999999999994</v>
      </c>
      <c r="G2852" s="5">
        <f t="shared" si="95"/>
        <v>0.55882352941176472</v>
      </c>
    </row>
    <row r="2853" spans="1:7" ht="13">
      <c r="A2853" s="4" t="s">
        <v>121</v>
      </c>
      <c r="B2853" s="1">
        <v>6.2</v>
      </c>
      <c r="C2853" s="1">
        <v>286</v>
      </c>
      <c r="D2853" s="1" t="s">
        <v>72</v>
      </c>
      <c r="E2853" s="1" t="s">
        <v>8</v>
      </c>
      <c r="F2853" s="1">
        <f t="shared" si="96"/>
        <v>620</v>
      </c>
      <c r="G2853" s="5">
        <f t="shared" si="95"/>
        <v>0.46129032258064517</v>
      </c>
    </row>
    <row r="2854" spans="1:7" ht="13">
      <c r="A2854" s="4" t="s">
        <v>121</v>
      </c>
      <c r="B2854" s="1">
        <v>6.6</v>
      </c>
      <c r="C2854" s="1">
        <v>280</v>
      </c>
      <c r="D2854" s="1" t="s">
        <v>34</v>
      </c>
      <c r="E2854" s="1" t="s">
        <v>16</v>
      </c>
      <c r="F2854" s="1">
        <f t="shared" si="96"/>
        <v>660</v>
      </c>
      <c r="G2854" s="5">
        <f t="shared" si="95"/>
        <v>0.42424242424242425</v>
      </c>
    </row>
    <row r="2855" spans="1:7" ht="13">
      <c r="A2855" s="4" t="s">
        <v>121</v>
      </c>
      <c r="B2855" s="1">
        <v>8</v>
      </c>
      <c r="C2855" s="1">
        <v>483</v>
      </c>
      <c r="D2855" s="1" t="s">
        <v>11</v>
      </c>
      <c r="E2855" s="1" t="s">
        <v>28</v>
      </c>
      <c r="F2855" s="1">
        <f t="shared" si="96"/>
        <v>800</v>
      </c>
      <c r="G2855" s="5">
        <f t="shared" si="95"/>
        <v>0.60375000000000001</v>
      </c>
    </row>
    <row r="2856" spans="1:7" ht="13">
      <c r="A2856" s="4" t="s">
        <v>121</v>
      </c>
      <c r="B2856" s="1">
        <v>3.4</v>
      </c>
      <c r="C2856" s="1">
        <v>213</v>
      </c>
      <c r="D2856" s="1" t="s">
        <v>11</v>
      </c>
      <c r="E2856" s="1" t="s">
        <v>15</v>
      </c>
      <c r="F2856" s="1">
        <f t="shared" si="96"/>
        <v>340</v>
      </c>
      <c r="G2856" s="5">
        <f t="shared" si="95"/>
        <v>0.62647058823529411</v>
      </c>
    </row>
    <row r="2857" spans="1:7" ht="13">
      <c r="A2857" s="4" t="s">
        <v>121</v>
      </c>
      <c r="B2857" s="1">
        <v>5</v>
      </c>
      <c r="C2857" s="1">
        <v>173</v>
      </c>
      <c r="D2857" s="1" t="s">
        <v>33</v>
      </c>
      <c r="E2857" s="1" t="s">
        <v>15</v>
      </c>
      <c r="F2857" s="1">
        <f t="shared" si="96"/>
        <v>500</v>
      </c>
      <c r="G2857" s="5">
        <f t="shared" si="95"/>
        <v>0.34599999999999997</v>
      </c>
    </row>
    <row r="2858" spans="1:7" ht="13">
      <c r="A2858" s="4" t="s">
        <v>121</v>
      </c>
      <c r="B2858" s="1">
        <v>6</v>
      </c>
      <c r="C2858" s="1">
        <v>233</v>
      </c>
      <c r="D2858" s="1" t="s">
        <v>33</v>
      </c>
      <c r="E2858" s="1" t="s">
        <v>9</v>
      </c>
      <c r="F2858" s="1">
        <f t="shared" si="96"/>
        <v>600</v>
      </c>
      <c r="G2858" s="5">
        <f t="shared" si="95"/>
        <v>0.38833333333333331</v>
      </c>
    </row>
    <row r="2859" spans="1:7" ht="13">
      <c r="A2859" s="4" t="s">
        <v>121</v>
      </c>
      <c r="B2859" s="1">
        <v>4.9800000000000004</v>
      </c>
      <c r="C2859" s="1">
        <v>194</v>
      </c>
      <c r="D2859" s="1" t="s">
        <v>11</v>
      </c>
      <c r="E2859" s="1" t="s">
        <v>25</v>
      </c>
      <c r="F2859" s="1">
        <f t="shared" si="96"/>
        <v>498.00000000000006</v>
      </c>
      <c r="G2859" s="5">
        <f t="shared" si="95"/>
        <v>0.38955823293172687</v>
      </c>
    </row>
    <row r="2860" spans="1:7" ht="13">
      <c r="A2860" s="4" t="s">
        <v>121</v>
      </c>
      <c r="B2860" s="1">
        <v>7.36</v>
      </c>
      <c r="C2860" s="1">
        <v>317</v>
      </c>
      <c r="D2860" s="1" t="s">
        <v>37</v>
      </c>
      <c r="E2860" s="1" t="s">
        <v>15</v>
      </c>
      <c r="F2860" s="1">
        <f t="shared" si="96"/>
        <v>736</v>
      </c>
      <c r="G2860" s="5">
        <f t="shared" si="95"/>
        <v>0.43070652173913043</v>
      </c>
    </row>
    <row r="2861" spans="1:7" ht="13">
      <c r="A2861" s="4" t="s">
        <v>121</v>
      </c>
      <c r="B2861" s="1">
        <v>9</v>
      </c>
      <c r="C2861" s="1">
        <v>432</v>
      </c>
      <c r="D2861" s="1" t="s">
        <v>11</v>
      </c>
      <c r="E2861" s="1" t="s">
        <v>7</v>
      </c>
      <c r="F2861" s="1">
        <f t="shared" si="96"/>
        <v>900</v>
      </c>
      <c r="G2861" s="5">
        <f t="shared" si="95"/>
        <v>0.48</v>
      </c>
    </row>
    <row r="2862" spans="1:7" ht="13">
      <c r="A2862" s="4" t="s">
        <v>121</v>
      </c>
      <c r="B2862" s="1">
        <v>7.2</v>
      </c>
      <c r="C2862" s="1">
        <v>434</v>
      </c>
      <c r="D2862" s="1" t="s">
        <v>39</v>
      </c>
      <c r="E2862" s="1" t="s">
        <v>26</v>
      </c>
      <c r="F2862" s="1">
        <f t="shared" si="96"/>
        <v>720</v>
      </c>
      <c r="G2862" s="5">
        <f t="shared" si="95"/>
        <v>0.60277777777777775</v>
      </c>
    </row>
    <row r="2863" spans="1:7" ht="13">
      <c r="A2863" s="4" t="s">
        <v>121</v>
      </c>
      <c r="B2863" s="1">
        <v>8.5</v>
      </c>
      <c r="C2863" s="1">
        <v>386</v>
      </c>
      <c r="D2863" s="1" t="s">
        <v>39</v>
      </c>
      <c r="E2863" s="1" t="s">
        <v>20</v>
      </c>
      <c r="F2863" s="1">
        <f t="shared" si="96"/>
        <v>850</v>
      </c>
      <c r="G2863" s="5">
        <f t="shared" si="95"/>
        <v>0.45411764705882351</v>
      </c>
    </row>
    <row r="2864" spans="1:7" ht="13">
      <c r="A2864" s="4" t="s">
        <v>121</v>
      </c>
      <c r="B2864" s="1">
        <v>5.2</v>
      </c>
      <c r="C2864" s="1">
        <v>235</v>
      </c>
      <c r="D2864" s="1" t="s">
        <v>67</v>
      </c>
      <c r="E2864" s="1" t="s">
        <v>8</v>
      </c>
      <c r="F2864" s="1">
        <f t="shared" si="96"/>
        <v>520</v>
      </c>
      <c r="G2864" s="5">
        <f t="shared" si="95"/>
        <v>0.45192307692307693</v>
      </c>
    </row>
    <row r="2865" spans="1:7" ht="13">
      <c r="A2865" s="4" t="s">
        <v>121</v>
      </c>
      <c r="B2865" s="1">
        <v>7.74</v>
      </c>
      <c r="C2865" s="1">
        <v>366</v>
      </c>
      <c r="D2865" s="1" t="s">
        <v>39</v>
      </c>
      <c r="E2865" s="1" t="s">
        <v>16</v>
      </c>
      <c r="F2865" s="1">
        <f t="shared" si="96"/>
        <v>774</v>
      </c>
      <c r="G2865" s="5">
        <f t="shared" si="95"/>
        <v>0.47286821705426357</v>
      </c>
    </row>
    <row r="2866" spans="1:7" ht="13">
      <c r="A2866" s="4" t="s">
        <v>121</v>
      </c>
      <c r="B2866" s="1">
        <v>7.5</v>
      </c>
      <c r="C2866" s="1">
        <v>312.7</v>
      </c>
      <c r="D2866" s="1" t="s">
        <v>40</v>
      </c>
      <c r="E2866" s="1" t="s">
        <v>16</v>
      </c>
      <c r="F2866" s="1">
        <f t="shared" si="96"/>
        <v>750</v>
      </c>
      <c r="G2866" s="5">
        <f t="shared" si="95"/>
        <v>0.41693333333333332</v>
      </c>
    </row>
    <row r="2867" spans="1:7" ht="13">
      <c r="A2867" s="4" t="s">
        <v>121</v>
      </c>
      <c r="B2867" s="1">
        <v>7</v>
      </c>
      <c r="C2867" s="1">
        <v>5</v>
      </c>
      <c r="D2867" s="1" t="s">
        <v>109</v>
      </c>
      <c r="E2867" s="1" t="s">
        <v>27</v>
      </c>
      <c r="F2867" s="1">
        <f t="shared" si="96"/>
        <v>700</v>
      </c>
      <c r="G2867" s="5">
        <f t="shared" si="95"/>
        <v>7.1428571428571426E-3</v>
      </c>
    </row>
    <row r="2868" spans="1:7" ht="13">
      <c r="A2868" s="4" t="s">
        <v>121</v>
      </c>
      <c r="B2868" s="1">
        <v>8.43</v>
      </c>
      <c r="C2868" s="1">
        <v>311</v>
      </c>
      <c r="D2868" s="1" t="s">
        <v>33</v>
      </c>
      <c r="E2868" s="1" t="s">
        <v>26</v>
      </c>
      <c r="F2868" s="1">
        <f t="shared" si="96"/>
        <v>843</v>
      </c>
      <c r="G2868" s="5">
        <f t="shared" si="95"/>
        <v>0.36892052194543296</v>
      </c>
    </row>
    <row r="2869" spans="1:7" ht="13">
      <c r="A2869" s="4" t="s">
        <v>121</v>
      </c>
      <c r="B2869" s="1">
        <v>9.1999999999999993</v>
      </c>
      <c r="C2869" s="1">
        <v>272</v>
      </c>
      <c r="D2869" s="1" t="s">
        <v>33</v>
      </c>
      <c r="E2869" s="1" t="s">
        <v>20</v>
      </c>
      <c r="F2869" s="1">
        <f t="shared" si="96"/>
        <v>919.99999999999989</v>
      </c>
      <c r="G2869" s="5">
        <f t="shared" si="95"/>
        <v>0.29565217391304349</v>
      </c>
    </row>
    <row r="2870" spans="1:7" ht="13">
      <c r="A2870" s="4" t="s">
        <v>121</v>
      </c>
      <c r="B2870" s="1">
        <v>5.2</v>
      </c>
      <c r="C2870" s="1">
        <v>291</v>
      </c>
      <c r="D2870" s="1" t="s">
        <v>11</v>
      </c>
      <c r="E2870" s="1" t="s">
        <v>27</v>
      </c>
      <c r="F2870" s="1">
        <f t="shared" si="96"/>
        <v>520</v>
      </c>
      <c r="G2870" s="5">
        <f t="shared" si="95"/>
        <v>0.55961538461538463</v>
      </c>
    </row>
    <row r="2871" spans="1:7" ht="13">
      <c r="A2871" s="4" t="s">
        <v>121</v>
      </c>
      <c r="B2871" s="1">
        <v>7.8</v>
      </c>
      <c r="C2871" s="1">
        <v>422</v>
      </c>
      <c r="D2871" s="1" t="s">
        <v>35</v>
      </c>
      <c r="E2871" s="1" t="s">
        <v>23</v>
      </c>
      <c r="F2871" s="1">
        <f t="shared" si="96"/>
        <v>780</v>
      </c>
      <c r="G2871" s="5">
        <f t="shared" si="95"/>
        <v>0.54102564102564099</v>
      </c>
    </row>
    <row r="2872" spans="1:7" ht="15.75" customHeight="1">
      <c r="A2872" s="4" t="s">
        <v>121</v>
      </c>
      <c r="B2872" s="1">
        <v>6.08</v>
      </c>
      <c r="C2872" s="1">
        <v>339</v>
      </c>
      <c r="D2872" s="1" t="s">
        <v>38</v>
      </c>
      <c r="E2872" s="1" t="s">
        <v>8</v>
      </c>
      <c r="F2872" s="1">
        <f t="shared" si="96"/>
        <v>608</v>
      </c>
      <c r="G2872" s="5">
        <f t="shared" si="95"/>
        <v>0.55756578947368418</v>
      </c>
    </row>
    <row r="2873" spans="1:7" ht="15.75" customHeight="1">
      <c r="A2873" s="4" t="s">
        <v>121</v>
      </c>
      <c r="B2873" s="1">
        <v>7.3</v>
      </c>
      <c r="C2873" s="1">
        <v>391</v>
      </c>
      <c r="D2873" s="1" t="s">
        <v>47</v>
      </c>
      <c r="E2873" s="1" t="s">
        <v>28</v>
      </c>
      <c r="F2873" s="1">
        <f t="shared" si="96"/>
        <v>730</v>
      </c>
      <c r="G2873" s="5">
        <f t="shared" si="95"/>
        <v>0.53561643835616435</v>
      </c>
    </row>
    <row r="2874" spans="1:7" ht="15.75" customHeight="1">
      <c r="A2874" s="4" t="s">
        <v>121</v>
      </c>
      <c r="B2874" s="1">
        <v>6.8849999999999998</v>
      </c>
      <c r="C2874" s="1">
        <v>312</v>
      </c>
      <c r="D2874" s="1" t="s">
        <v>44</v>
      </c>
      <c r="E2874" s="1" t="s">
        <v>22</v>
      </c>
      <c r="F2874" s="1">
        <f t="shared" si="96"/>
        <v>688.5</v>
      </c>
      <c r="G2874" s="5">
        <f t="shared" si="95"/>
        <v>0.45315904139433549</v>
      </c>
    </row>
    <row r="2875" spans="1:7" ht="15.75" customHeight="1">
      <c r="A2875" s="4" t="s">
        <v>121</v>
      </c>
      <c r="B2875" s="1">
        <v>6</v>
      </c>
      <c r="C2875" s="1">
        <v>404</v>
      </c>
      <c r="D2875" s="1" t="s">
        <v>11</v>
      </c>
      <c r="E2875" s="1" t="s">
        <v>16</v>
      </c>
      <c r="F2875" s="1">
        <f t="shared" si="96"/>
        <v>600</v>
      </c>
      <c r="G2875" s="5">
        <f t="shared" si="95"/>
        <v>0.67333333333333334</v>
      </c>
    </row>
    <row r="2876" spans="1:7" ht="15.75" customHeight="1">
      <c r="A2876" s="4" t="s">
        <v>121</v>
      </c>
      <c r="B2876" s="1">
        <v>8.6</v>
      </c>
      <c r="C2876" s="1">
        <v>440</v>
      </c>
      <c r="D2876" s="1" t="s">
        <v>11</v>
      </c>
      <c r="E2876" s="1" t="s">
        <v>10</v>
      </c>
      <c r="F2876" s="1">
        <f t="shared" si="96"/>
        <v>860</v>
      </c>
      <c r="G2876" s="5">
        <f t="shared" si="95"/>
        <v>0.51162790697674421</v>
      </c>
    </row>
    <row r="2877" spans="1:7" ht="15.75" customHeight="1">
      <c r="A2877" s="4" t="s">
        <v>121</v>
      </c>
      <c r="B2877" s="1">
        <v>6</v>
      </c>
      <c r="C2877" s="1">
        <v>297</v>
      </c>
      <c r="D2877" s="1" t="s">
        <v>43</v>
      </c>
      <c r="E2877" s="1" t="s">
        <v>25</v>
      </c>
      <c r="F2877" s="1">
        <f t="shared" si="96"/>
        <v>600</v>
      </c>
      <c r="G2877" s="5">
        <f t="shared" si="95"/>
        <v>0.495</v>
      </c>
    </row>
    <row r="2878" spans="1:7" ht="15.75" customHeight="1">
      <c r="A2878" s="4" t="s">
        <v>121</v>
      </c>
      <c r="B2878" s="1">
        <v>6.1</v>
      </c>
      <c r="C2878" s="1">
        <v>266</v>
      </c>
      <c r="D2878" s="1" t="s">
        <v>11</v>
      </c>
      <c r="E2878" s="1" t="s">
        <v>17</v>
      </c>
      <c r="F2878" s="1">
        <f t="shared" si="96"/>
        <v>610</v>
      </c>
      <c r="G2878" s="5">
        <f t="shared" si="95"/>
        <v>0.43606557377049182</v>
      </c>
    </row>
    <row r="2879" spans="1:7" ht="15.75" customHeight="1">
      <c r="A2879" s="4" t="s">
        <v>121</v>
      </c>
      <c r="B2879" s="1">
        <v>8.6999999999999993</v>
      </c>
      <c r="C2879" s="1">
        <v>558</v>
      </c>
      <c r="D2879" s="1" t="s">
        <v>11</v>
      </c>
      <c r="E2879" s="1" t="s">
        <v>24</v>
      </c>
      <c r="F2879" s="1">
        <f t="shared" si="96"/>
        <v>869.99999999999989</v>
      </c>
      <c r="G2879" s="5">
        <f t="shared" si="95"/>
        <v>0.64137931034482765</v>
      </c>
    </row>
    <row r="2880" spans="1:7" ht="15.75" customHeight="1">
      <c r="A2880" s="4" t="s">
        <v>121</v>
      </c>
      <c r="B2880" s="1">
        <v>6.09</v>
      </c>
      <c r="C2880" s="1">
        <v>283</v>
      </c>
      <c r="D2880" s="1" t="s">
        <v>36</v>
      </c>
      <c r="E2880" s="1" t="s">
        <v>15</v>
      </c>
      <c r="F2880" s="1">
        <f t="shared" si="96"/>
        <v>609</v>
      </c>
      <c r="G2880" s="5">
        <f t="shared" si="95"/>
        <v>0.46469622331691296</v>
      </c>
    </row>
    <row r="2881" spans="1:7" ht="15.75" customHeight="1">
      <c r="A2881" s="4" t="s">
        <v>121</v>
      </c>
      <c r="B2881" s="1">
        <v>8.6999999999999993</v>
      </c>
      <c r="C2881" s="1">
        <v>502</v>
      </c>
      <c r="D2881" s="1" t="s">
        <v>11</v>
      </c>
      <c r="E2881" s="1" t="s">
        <v>27</v>
      </c>
      <c r="F2881" s="1">
        <f t="shared" si="96"/>
        <v>869.99999999999989</v>
      </c>
      <c r="G2881" s="5">
        <f t="shared" si="95"/>
        <v>0.57701149425287368</v>
      </c>
    </row>
    <row r="2882" spans="1:7" ht="15.75" customHeight="1">
      <c r="A2882" s="4" t="s">
        <v>121</v>
      </c>
      <c r="B2882" s="1">
        <v>5.88</v>
      </c>
      <c r="C2882" s="1">
        <v>423.7</v>
      </c>
      <c r="D2882" s="1" t="s">
        <v>39</v>
      </c>
      <c r="E2882" s="1" t="s">
        <v>15</v>
      </c>
      <c r="F2882" s="1">
        <f t="shared" si="96"/>
        <v>588</v>
      </c>
      <c r="G2882" s="5">
        <f t="shared" ref="G2882:G2945" si="97">C2882/F2882</f>
        <v>0.72057823129251697</v>
      </c>
    </row>
    <row r="2883" spans="1:7" ht="15.75" customHeight="1">
      <c r="A2883" s="4" t="s">
        <v>121</v>
      </c>
      <c r="B2883" s="1">
        <v>6</v>
      </c>
      <c r="C2883" s="1">
        <v>285</v>
      </c>
      <c r="D2883" s="1" t="s">
        <v>47</v>
      </c>
      <c r="E2883" s="1" t="s">
        <v>19</v>
      </c>
      <c r="F2883" s="1">
        <f t="shared" ref="F2883:F2946" si="98">B2883*100</f>
        <v>600</v>
      </c>
      <c r="G2883" s="5">
        <f t="shared" si="97"/>
        <v>0.47499999999999998</v>
      </c>
    </row>
    <row r="2884" spans="1:7" ht="15.75" customHeight="1">
      <c r="A2884" s="4" t="s">
        <v>121</v>
      </c>
      <c r="B2884" s="1">
        <v>8.6999999999999993</v>
      </c>
      <c r="C2884" s="1">
        <v>495</v>
      </c>
      <c r="D2884" s="1" t="s">
        <v>47</v>
      </c>
      <c r="E2884" s="1" t="s">
        <v>12</v>
      </c>
      <c r="F2884" s="1">
        <f t="shared" si="98"/>
        <v>869.99999999999989</v>
      </c>
      <c r="G2884" s="5">
        <f t="shared" si="97"/>
        <v>0.56896551724137934</v>
      </c>
    </row>
    <row r="2885" spans="1:7" ht="15.75" customHeight="1">
      <c r="A2885" s="4" t="s">
        <v>121</v>
      </c>
      <c r="B2885" s="1">
        <v>3.8</v>
      </c>
      <c r="C2885" s="1">
        <v>139</v>
      </c>
      <c r="D2885" s="1" t="s">
        <v>42</v>
      </c>
      <c r="E2885" s="1" t="s">
        <v>10</v>
      </c>
      <c r="F2885" s="1">
        <f t="shared" si="98"/>
        <v>380</v>
      </c>
      <c r="G2885" s="5">
        <f t="shared" si="97"/>
        <v>0.36578947368421055</v>
      </c>
    </row>
    <row r="2886" spans="1:7" ht="15.75" customHeight="1">
      <c r="A2886" s="4" t="s">
        <v>121</v>
      </c>
      <c r="B2886" s="1">
        <v>6.09</v>
      </c>
      <c r="C2886" s="1">
        <v>261</v>
      </c>
      <c r="D2886" s="1" t="s">
        <v>42</v>
      </c>
      <c r="E2886" s="1" t="s">
        <v>8</v>
      </c>
      <c r="F2886" s="1">
        <f t="shared" si="98"/>
        <v>609</v>
      </c>
      <c r="G2886" s="5">
        <f t="shared" si="97"/>
        <v>0.42857142857142855</v>
      </c>
    </row>
    <row r="2887" spans="1:7" ht="15.75" customHeight="1">
      <c r="A2887" s="4" t="s">
        <v>121</v>
      </c>
      <c r="B2887" s="1">
        <v>6.72</v>
      </c>
      <c r="C2887" s="1">
        <v>426</v>
      </c>
      <c r="D2887" s="1" t="s">
        <v>11</v>
      </c>
      <c r="E2887" s="1" t="s">
        <v>24</v>
      </c>
      <c r="F2887" s="1">
        <f t="shared" si="98"/>
        <v>672</v>
      </c>
      <c r="G2887" s="5">
        <f t="shared" si="97"/>
        <v>0.6339285714285714</v>
      </c>
    </row>
    <row r="2888" spans="1:7" ht="15.75" customHeight="1">
      <c r="A2888" s="4" t="s">
        <v>121</v>
      </c>
      <c r="B2888" s="1">
        <v>8.75</v>
      </c>
      <c r="C2888" s="1">
        <v>498</v>
      </c>
      <c r="D2888" s="1" t="s">
        <v>38</v>
      </c>
      <c r="E2888" s="1" t="s">
        <v>31</v>
      </c>
      <c r="F2888" s="1">
        <f t="shared" si="98"/>
        <v>875</v>
      </c>
      <c r="G2888" s="5">
        <f t="shared" si="97"/>
        <v>0.56914285714285717</v>
      </c>
    </row>
    <row r="2889" spans="1:7" ht="15.75" customHeight="1">
      <c r="A2889" s="4" t="s">
        <v>121</v>
      </c>
      <c r="B2889" s="1">
        <v>7.2</v>
      </c>
      <c r="C2889" s="1">
        <v>383</v>
      </c>
      <c r="D2889" s="1" t="s">
        <v>47</v>
      </c>
      <c r="E2889" s="1" t="s">
        <v>17</v>
      </c>
      <c r="F2889" s="1">
        <f t="shared" si="98"/>
        <v>720</v>
      </c>
      <c r="G2889" s="5">
        <f t="shared" si="97"/>
        <v>0.53194444444444444</v>
      </c>
    </row>
    <row r="2890" spans="1:7" ht="15.75" customHeight="1">
      <c r="A2890" s="4" t="s">
        <v>121</v>
      </c>
      <c r="B2890" s="1">
        <v>8.6999999999999993</v>
      </c>
      <c r="C2890" s="1">
        <v>534</v>
      </c>
      <c r="D2890" s="1" t="s">
        <v>11</v>
      </c>
      <c r="E2890" s="1" t="s">
        <v>10</v>
      </c>
      <c r="F2890" s="1">
        <f t="shared" si="98"/>
        <v>869.99999999999989</v>
      </c>
      <c r="G2890" s="5">
        <f t="shared" si="97"/>
        <v>0.61379310344827598</v>
      </c>
    </row>
    <row r="2891" spans="1:7" ht="15.75" customHeight="1">
      <c r="A2891" s="4" t="s">
        <v>121</v>
      </c>
      <c r="B2891" s="1">
        <v>8.6999999999999993</v>
      </c>
      <c r="C2891" s="1">
        <v>534</v>
      </c>
      <c r="D2891" s="1" t="s">
        <v>11</v>
      </c>
      <c r="E2891" s="1" t="s">
        <v>10</v>
      </c>
      <c r="F2891" s="1">
        <f t="shared" si="98"/>
        <v>869.99999999999989</v>
      </c>
      <c r="G2891" s="5">
        <f t="shared" si="97"/>
        <v>0.61379310344827598</v>
      </c>
    </row>
    <row r="2892" spans="1:7" ht="15.75" customHeight="1">
      <c r="A2892" s="4" t="s">
        <v>121</v>
      </c>
      <c r="B2892" s="1">
        <v>5.2</v>
      </c>
      <c r="C2892" s="1">
        <v>256</v>
      </c>
      <c r="D2892" s="1" t="s">
        <v>11</v>
      </c>
      <c r="E2892" s="1" t="s">
        <v>15</v>
      </c>
      <c r="F2892" s="1">
        <f t="shared" si="98"/>
        <v>520</v>
      </c>
      <c r="G2892" s="5">
        <f t="shared" si="97"/>
        <v>0.49230769230769234</v>
      </c>
    </row>
    <row r="2893" spans="1:7" ht="15.75" customHeight="1">
      <c r="A2893" s="4" t="s">
        <v>121</v>
      </c>
      <c r="B2893" s="1">
        <v>6.8</v>
      </c>
      <c r="C2893" s="1">
        <v>403</v>
      </c>
      <c r="D2893" s="1" t="s">
        <v>11</v>
      </c>
      <c r="E2893" s="1" t="s">
        <v>26</v>
      </c>
      <c r="F2893" s="1">
        <f t="shared" si="98"/>
        <v>680</v>
      </c>
      <c r="G2893" s="5">
        <f t="shared" si="97"/>
        <v>0.59264705882352942</v>
      </c>
    </row>
    <row r="2894" spans="1:7" ht="15.75" customHeight="1">
      <c r="A2894" s="4" t="s">
        <v>121</v>
      </c>
      <c r="B2894" s="1">
        <v>4.5</v>
      </c>
      <c r="C2894" s="1">
        <v>157</v>
      </c>
      <c r="D2894" s="1" t="s">
        <v>39</v>
      </c>
      <c r="E2894" s="1" t="s">
        <v>9</v>
      </c>
      <c r="F2894" s="1">
        <f t="shared" si="98"/>
        <v>450</v>
      </c>
      <c r="G2894" s="5">
        <f t="shared" si="97"/>
        <v>0.34888888888888892</v>
      </c>
    </row>
    <row r="2895" spans="1:7" ht="15.75" customHeight="1">
      <c r="A2895" s="4" t="s">
        <v>121</v>
      </c>
      <c r="B2895" s="1">
        <v>6</v>
      </c>
      <c r="C2895" s="1">
        <v>325</v>
      </c>
      <c r="D2895" s="1" t="s">
        <v>11</v>
      </c>
      <c r="E2895" s="1" t="s">
        <v>30</v>
      </c>
      <c r="F2895" s="1">
        <f t="shared" si="98"/>
        <v>600</v>
      </c>
      <c r="G2895" s="5">
        <f t="shared" si="97"/>
        <v>0.54166666666666663</v>
      </c>
    </row>
    <row r="2896" spans="1:7" ht="15.75" customHeight="1">
      <c r="A2896" s="4" t="s">
        <v>121</v>
      </c>
      <c r="B2896" s="1">
        <v>5.4</v>
      </c>
      <c r="C2896" s="1">
        <v>197</v>
      </c>
      <c r="D2896" s="1" t="s">
        <v>33</v>
      </c>
      <c r="E2896" s="1" t="s">
        <v>25</v>
      </c>
      <c r="F2896" s="1">
        <f t="shared" si="98"/>
        <v>540</v>
      </c>
      <c r="G2896" s="5">
        <f t="shared" si="97"/>
        <v>0.36481481481481481</v>
      </c>
    </row>
    <row r="2897" spans="1:7" ht="15.75" customHeight="1">
      <c r="A2897" s="4" t="s">
        <v>121</v>
      </c>
      <c r="B2897" s="1">
        <v>6.72</v>
      </c>
      <c r="C2897" s="1">
        <v>434</v>
      </c>
      <c r="D2897" s="1" t="s">
        <v>11</v>
      </c>
      <c r="E2897" s="1" t="s">
        <v>15</v>
      </c>
      <c r="F2897" s="1">
        <f t="shared" si="98"/>
        <v>672</v>
      </c>
      <c r="G2897" s="5">
        <f t="shared" si="97"/>
        <v>0.64583333333333337</v>
      </c>
    </row>
    <row r="2898" spans="1:7" ht="15.75" customHeight="1">
      <c r="A2898" s="4" t="s">
        <v>121</v>
      </c>
      <c r="B2898" s="1">
        <v>8.1</v>
      </c>
      <c r="C2898" s="1">
        <v>500</v>
      </c>
      <c r="D2898" s="1" t="s">
        <v>42</v>
      </c>
      <c r="E2898" s="1" t="s">
        <v>10</v>
      </c>
      <c r="F2898" s="1">
        <f t="shared" si="98"/>
        <v>810</v>
      </c>
      <c r="G2898" s="5">
        <f t="shared" si="97"/>
        <v>0.61728395061728392</v>
      </c>
    </row>
    <row r="2899" spans="1:7" ht="15.75" customHeight="1">
      <c r="A2899" s="4" t="s">
        <v>121</v>
      </c>
      <c r="B2899" s="1">
        <v>6.4</v>
      </c>
      <c r="C2899" s="1">
        <v>372</v>
      </c>
      <c r="D2899" s="1" t="s">
        <v>42</v>
      </c>
      <c r="E2899" s="1" t="s">
        <v>8</v>
      </c>
      <c r="F2899" s="1">
        <f t="shared" si="98"/>
        <v>640</v>
      </c>
      <c r="G2899" s="5">
        <f t="shared" si="97"/>
        <v>0.58125000000000004</v>
      </c>
    </row>
    <row r="2900" spans="1:7" ht="15.75" customHeight="1">
      <c r="A2900" s="4" t="s">
        <v>121</v>
      </c>
      <c r="B2900" s="1">
        <v>6.88</v>
      </c>
      <c r="C2900" s="1">
        <v>290</v>
      </c>
      <c r="D2900" s="1" t="s">
        <v>53</v>
      </c>
      <c r="E2900" s="1" t="s">
        <v>16</v>
      </c>
      <c r="F2900" s="1">
        <f t="shared" si="98"/>
        <v>688</v>
      </c>
      <c r="G2900" s="5">
        <f t="shared" si="97"/>
        <v>0.42151162790697677</v>
      </c>
    </row>
    <row r="2901" spans="1:7" ht="15.75" customHeight="1">
      <c r="A2901" s="4" t="s">
        <v>121</v>
      </c>
      <c r="B2901" s="1">
        <v>6</v>
      </c>
      <c r="C2901" s="1">
        <v>360</v>
      </c>
      <c r="D2901" s="1" t="s">
        <v>11</v>
      </c>
      <c r="E2901" s="1" t="s">
        <v>10</v>
      </c>
      <c r="F2901" s="1">
        <f t="shared" si="98"/>
        <v>600</v>
      </c>
      <c r="G2901" s="5">
        <f t="shared" si="97"/>
        <v>0.6</v>
      </c>
    </row>
    <row r="2902" spans="1:7" ht="15.75" customHeight="1">
      <c r="A2902" s="4" t="s">
        <v>121</v>
      </c>
      <c r="B2902" s="1">
        <v>6.88</v>
      </c>
      <c r="C2902" s="1">
        <v>325</v>
      </c>
      <c r="D2902" s="1" t="s">
        <v>43</v>
      </c>
      <c r="E2902" s="1" t="s">
        <v>8</v>
      </c>
      <c r="F2902" s="1">
        <f t="shared" si="98"/>
        <v>688</v>
      </c>
      <c r="G2902" s="5">
        <f t="shared" si="97"/>
        <v>0.47238372093023256</v>
      </c>
    </row>
    <row r="2903" spans="1:7" ht="15.75" customHeight="1">
      <c r="A2903" s="4" t="s">
        <v>121</v>
      </c>
      <c r="B2903" s="1">
        <v>7.3949999999999996</v>
      </c>
      <c r="C2903" s="1">
        <v>374</v>
      </c>
      <c r="D2903" s="1" t="s">
        <v>42</v>
      </c>
      <c r="E2903" s="1" t="s">
        <v>25</v>
      </c>
      <c r="F2903" s="1">
        <f t="shared" si="98"/>
        <v>739.5</v>
      </c>
      <c r="G2903" s="5">
        <f t="shared" si="97"/>
        <v>0.50574712643678166</v>
      </c>
    </row>
    <row r="2904" spans="1:7" ht="15.75" customHeight="1">
      <c r="A2904" s="4" t="s">
        <v>121</v>
      </c>
      <c r="B2904" s="1">
        <v>7.76</v>
      </c>
      <c r="C2904" s="1">
        <v>447</v>
      </c>
      <c r="D2904" s="1" t="s">
        <v>11</v>
      </c>
      <c r="E2904" s="1" t="s">
        <v>16</v>
      </c>
      <c r="F2904" s="1">
        <f t="shared" si="98"/>
        <v>776</v>
      </c>
      <c r="G2904" s="5">
        <f t="shared" si="97"/>
        <v>0.5760309278350515</v>
      </c>
    </row>
    <row r="2905" spans="1:7" ht="15.75" customHeight="1">
      <c r="A2905" s="4" t="s">
        <v>121</v>
      </c>
      <c r="B2905" s="1">
        <v>6.4</v>
      </c>
      <c r="C2905" s="1">
        <v>263</v>
      </c>
      <c r="D2905" s="1" t="s">
        <v>33</v>
      </c>
      <c r="E2905" s="1" t="s">
        <v>15</v>
      </c>
      <c r="F2905" s="1">
        <f t="shared" si="98"/>
        <v>640</v>
      </c>
      <c r="G2905" s="5">
        <f t="shared" si="97"/>
        <v>0.41093750000000001</v>
      </c>
    </row>
    <row r="2906" spans="1:7" ht="15.75" customHeight="1">
      <c r="A2906" s="4" t="s">
        <v>121</v>
      </c>
      <c r="B2906" s="1">
        <v>3.44</v>
      </c>
      <c r="C2906" s="1">
        <v>180</v>
      </c>
      <c r="D2906" s="1" t="s">
        <v>11</v>
      </c>
      <c r="E2906" s="1" t="s">
        <v>9</v>
      </c>
      <c r="F2906" s="1">
        <f t="shared" si="98"/>
        <v>344</v>
      </c>
      <c r="G2906" s="5">
        <f t="shared" si="97"/>
        <v>0.52325581395348841</v>
      </c>
    </row>
    <row r="2907" spans="1:7" ht="15.75" customHeight="1">
      <c r="A2907" s="4" t="s">
        <v>121</v>
      </c>
      <c r="B2907" s="1">
        <v>8.6</v>
      </c>
      <c r="C2907" s="1">
        <v>427</v>
      </c>
      <c r="D2907" s="1" t="s">
        <v>11</v>
      </c>
      <c r="E2907" s="1" t="s">
        <v>19</v>
      </c>
      <c r="F2907" s="1">
        <f t="shared" si="98"/>
        <v>860</v>
      </c>
      <c r="G2907" s="5">
        <f t="shared" si="97"/>
        <v>0.49651162790697673</v>
      </c>
    </row>
    <row r="2908" spans="1:7" ht="15.75" customHeight="1">
      <c r="A2908" s="4" t="s">
        <v>121</v>
      </c>
      <c r="B2908" s="1">
        <v>8</v>
      </c>
      <c r="C2908" s="1">
        <v>433</v>
      </c>
      <c r="D2908" s="1" t="s">
        <v>11</v>
      </c>
      <c r="E2908" s="1" t="s">
        <v>22</v>
      </c>
      <c r="F2908" s="1">
        <f t="shared" si="98"/>
        <v>800</v>
      </c>
      <c r="G2908" s="5">
        <f t="shared" si="97"/>
        <v>0.54125000000000001</v>
      </c>
    </row>
    <row r="2909" spans="1:7" ht="15.75" customHeight="1">
      <c r="A2909" s="4" t="s">
        <v>121</v>
      </c>
      <c r="B2909" s="1">
        <v>7.74</v>
      </c>
      <c r="C2909" s="1">
        <v>409.24</v>
      </c>
      <c r="D2909" s="1" t="s">
        <v>11</v>
      </c>
      <c r="E2909" s="1" t="s">
        <v>17</v>
      </c>
      <c r="F2909" s="1">
        <f t="shared" si="98"/>
        <v>774</v>
      </c>
      <c r="G2909" s="5">
        <f t="shared" si="97"/>
        <v>0.52873385012919893</v>
      </c>
    </row>
    <row r="2910" spans="1:7" ht="15.75" customHeight="1">
      <c r="A2910" s="4" t="s">
        <v>121</v>
      </c>
      <c r="B2910" s="1">
        <v>5.85</v>
      </c>
      <c r="C2910" s="1">
        <v>340</v>
      </c>
      <c r="D2910" s="1" t="s">
        <v>45</v>
      </c>
      <c r="E2910" s="1" t="s">
        <v>15</v>
      </c>
      <c r="F2910" s="1">
        <f t="shared" si="98"/>
        <v>585</v>
      </c>
      <c r="G2910" s="5">
        <f t="shared" si="97"/>
        <v>0.58119658119658124</v>
      </c>
    </row>
    <row r="2911" spans="1:7" ht="15.75" customHeight="1">
      <c r="A2911" s="4" t="s">
        <v>121</v>
      </c>
      <c r="B2911" s="1">
        <v>5.6</v>
      </c>
      <c r="C2911" s="1">
        <v>193</v>
      </c>
      <c r="D2911" s="1" t="s">
        <v>33</v>
      </c>
      <c r="E2911" s="1" t="s">
        <v>15</v>
      </c>
      <c r="F2911" s="1">
        <f t="shared" si="98"/>
        <v>560</v>
      </c>
      <c r="G2911" s="5">
        <f t="shared" si="97"/>
        <v>0.34464285714285714</v>
      </c>
    </row>
    <row r="2912" spans="1:7" ht="15.75" customHeight="1">
      <c r="A2912" s="4" t="s">
        <v>121</v>
      </c>
      <c r="B2912" s="1">
        <v>6.1</v>
      </c>
      <c r="C2912" s="1">
        <v>248</v>
      </c>
      <c r="D2912" s="1" t="s">
        <v>33</v>
      </c>
      <c r="E2912" s="1" t="s">
        <v>26</v>
      </c>
      <c r="F2912" s="1">
        <f t="shared" si="98"/>
        <v>610</v>
      </c>
      <c r="G2912" s="5">
        <f t="shared" si="97"/>
        <v>0.40655737704918032</v>
      </c>
    </row>
    <row r="2913" spans="1:7" ht="15.75" customHeight="1">
      <c r="A2913" s="4" t="s">
        <v>121</v>
      </c>
      <c r="B2913" s="1">
        <v>5.22</v>
      </c>
      <c r="C2913" s="1">
        <v>245</v>
      </c>
      <c r="D2913" s="1" t="s">
        <v>43</v>
      </c>
      <c r="E2913" s="1" t="s">
        <v>25</v>
      </c>
      <c r="F2913" s="1">
        <f t="shared" si="98"/>
        <v>522</v>
      </c>
      <c r="G2913" s="5">
        <f t="shared" si="97"/>
        <v>0.46934865900383144</v>
      </c>
    </row>
    <row r="2914" spans="1:7" ht="15.75" customHeight="1">
      <c r="A2914" s="4" t="s">
        <v>121</v>
      </c>
      <c r="B2914" s="1">
        <v>8</v>
      </c>
      <c r="C2914" s="1">
        <v>359.74</v>
      </c>
      <c r="D2914" s="1" t="s">
        <v>33</v>
      </c>
      <c r="E2914" s="1" t="s">
        <v>22</v>
      </c>
      <c r="F2914" s="1">
        <f t="shared" si="98"/>
        <v>800</v>
      </c>
      <c r="G2914" s="5">
        <f t="shared" si="97"/>
        <v>0.44967499999999999</v>
      </c>
    </row>
    <row r="2915" spans="1:7" ht="15.75" customHeight="1">
      <c r="A2915" s="4" t="s">
        <v>121</v>
      </c>
      <c r="B2915" s="1">
        <v>5.0999999999999996</v>
      </c>
      <c r="C2915" s="1">
        <v>186</v>
      </c>
      <c r="D2915" s="1" t="s">
        <v>33</v>
      </c>
      <c r="E2915" s="1" t="s">
        <v>15</v>
      </c>
      <c r="F2915" s="1">
        <f t="shared" si="98"/>
        <v>509.99999999999994</v>
      </c>
      <c r="G2915" s="5">
        <f t="shared" si="97"/>
        <v>0.36470588235294121</v>
      </c>
    </row>
    <row r="2916" spans="1:7" ht="15.75" customHeight="1">
      <c r="A2916" s="4" t="s">
        <v>121</v>
      </c>
      <c r="B2916" s="1">
        <v>7.6</v>
      </c>
      <c r="C2916" s="1">
        <v>378</v>
      </c>
      <c r="D2916" s="1" t="s">
        <v>35</v>
      </c>
      <c r="E2916" s="1" t="s">
        <v>28</v>
      </c>
      <c r="F2916" s="1">
        <f t="shared" si="98"/>
        <v>760</v>
      </c>
      <c r="G2916" s="5">
        <f t="shared" si="97"/>
        <v>0.49736842105263157</v>
      </c>
    </row>
    <row r="2917" spans="1:7" ht="15.75" customHeight="1">
      <c r="A2917" s="4" t="s">
        <v>121</v>
      </c>
      <c r="B2917" s="1">
        <v>6.1</v>
      </c>
      <c r="C2917" s="1">
        <v>306</v>
      </c>
      <c r="D2917" s="1" t="s">
        <v>63</v>
      </c>
      <c r="E2917" s="1" t="s">
        <v>23</v>
      </c>
      <c r="F2917" s="1">
        <f t="shared" si="98"/>
        <v>610</v>
      </c>
      <c r="G2917" s="5">
        <f t="shared" si="97"/>
        <v>0.50163934426229506</v>
      </c>
    </row>
    <row r="2918" spans="1:7" ht="15.75" customHeight="1">
      <c r="A2918" s="4" t="s">
        <v>121</v>
      </c>
      <c r="B2918" s="1">
        <v>5.0999999999999996</v>
      </c>
      <c r="C2918" s="1">
        <v>212</v>
      </c>
      <c r="D2918" s="1" t="s">
        <v>40</v>
      </c>
      <c r="E2918" s="1" t="s">
        <v>15</v>
      </c>
      <c r="F2918" s="1">
        <f t="shared" si="98"/>
        <v>509.99999999999994</v>
      </c>
      <c r="G2918" s="5">
        <f t="shared" si="97"/>
        <v>0.41568627450980394</v>
      </c>
    </row>
    <row r="2919" spans="1:7" ht="15.75" customHeight="1">
      <c r="A2919" s="4" t="s">
        <v>121</v>
      </c>
      <c r="B2919" s="1">
        <v>6.72</v>
      </c>
      <c r="C2919" s="1">
        <v>257</v>
      </c>
      <c r="D2919" s="1" t="s">
        <v>55</v>
      </c>
      <c r="E2919" s="1" t="s">
        <v>27</v>
      </c>
      <c r="F2919" s="1">
        <f t="shared" si="98"/>
        <v>672</v>
      </c>
      <c r="G2919" s="5">
        <f t="shared" si="97"/>
        <v>0.38244047619047616</v>
      </c>
    </row>
    <row r="2920" spans="1:7" ht="15.75" customHeight="1">
      <c r="A2920" s="4" t="s">
        <v>121</v>
      </c>
      <c r="B2920" s="1">
        <v>5.92</v>
      </c>
      <c r="C2920" s="1">
        <v>364</v>
      </c>
      <c r="D2920" s="1" t="s">
        <v>11</v>
      </c>
      <c r="E2920" s="1" t="s">
        <v>17</v>
      </c>
      <c r="F2920" s="1">
        <f t="shared" si="98"/>
        <v>592</v>
      </c>
      <c r="G2920" s="5">
        <f t="shared" si="97"/>
        <v>0.61486486486486491</v>
      </c>
    </row>
    <row r="2921" spans="1:7" ht="15.75" customHeight="1">
      <c r="A2921" s="4" t="s">
        <v>121</v>
      </c>
      <c r="B2921" s="1">
        <v>7.38</v>
      </c>
      <c r="C2921" s="1">
        <v>291</v>
      </c>
      <c r="D2921" s="1" t="s">
        <v>33</v>
      </c>
      <c r="E2921" s="1" t="s">
        <v>22</v>
      </c>
      <c r="F2921" s="1">
        <f t="shared" si="98"/>
        <v>738</v>
      </c>
      <c r="G2921" s="5">
        <f t="shared" si="97"/>
        <v>0.39430894308943087</v>
      </c>
    </row>
    <row r="2922" spans="1:7" ht="15.75" customHeight="1">
      <c r="A2922" s="4" t="s">
        <v>121</v>
      </c>
      <c r="B2922" s="1">
        <v>9.1999999999999993</v>
      </c>
      <c r="C2922" s="1">
        <v>458</v>
      </c>
      <c r="D2922" s="1" t="s">
        <v>43</v>
      </c>
      <c r="E2922" s="1" t="s">
        <v>14</v>
      </c>
      <c r="F2922" s="1">
        <f t="shared" si="98"/>
        <v>919.99999999999989</v>
      </c>
      <c r="G2922" s="5">
        <f t="shared" si="97"/>
        <v>0.49782608695652181</v>
      </c>
    </row>
    <row r="2923" spans="1:7" ht="15.75" customHeight="1">
      <c r="A2923" s="4" t="s">
        <v>121</v>
      </c>
      <c r="B2923" s="1">
        <v>6.25</v>
      </c>
      <c r="C2923" s="1">
        <v>406</v>
      </c>
      <c r="D2923" s="1" t="s">
        <v>11</v>
      </c>
      <c r="E2923" s="1" t="s">
        <v>32</v>
      </c>
      <c r="F2923" s="1">
        <f t="shared" si="98"/>
        <v>625</v>
      </c>
      <c r="G2923" s="5">
        <f t="shared" si="97"/>
        <v>0.64959999999999996</v>
      </c>
    </row>
    <row r="2924" spans="1:7" ht="15.75" customHeight="1">
      <c r="A2924" s="4" t="s">
        <v>121</v>
      </c>
      <c r="B2924" s="1">
        <v>9.1</v>
      </c>
      <c r="C2924" s="1">
        <v>506</v>
      </c>
      <c r="D2924" s="1" t="s">
        <v>44</v>
      </c>
      <c r="E2924" s="1" t="s">
        <v>10</v>
      </c>
      <c r="F2924" s="1">
        <f t="shared" si="98"/>
        <v>910</v>
      </c>
      <c r="G2924" s="5">
        <f t="shared" si="97"/>
        <v>0.55604395604395607</v>
      </c>
    </row>
    <row r="2925" spans="1:7" ht="15.75" customHeight="1">
      <c r="A2925" s="4" t="s">
        <v>121</v>
      </c>
      <c r="B2925" s="1">
        <v>6.8</v>
      </c>
      <c r="C2925" s="1">
        <v>252</v>
      </c>
      <c r="D2925" s="1" t="s">
        <v>33</v>
      </c>
      <c r="E2925" s="1" t="s">
        <v>19</v>
      </c>
      <c r="F2925" s="1">
        <f t="shared" si="98"/>
        <v>680</v>
      </c>
      <c r="G2925" s="5">
        <f t="shared" si="97"/>
        <v>0.37058823529411766</v>
      </c>
    </row>
    <row r="2926" spans="1:7" ht="15.75" customHeight="1">
      <c r="A2926" s="4" t="s">
        <v>121</v>
      </c>
      <c r="B2926" s="1">
        <v>9</v>
      </c>
      <c r="C2926" s="1">
        <v>508</v>
      </c>
      <c r="D2926" s="1" t="s">
        <v>11</v>
      </c>
      <c r="E2926" s="1" t="s">
        <v>12</v>
      </c>
      <c r="F2926" s="1">
        <f t="shared" si="98"/>
        <v>900</v>
      </c>
      <c r="G2926" s="5">
        <f t="shared" si="97"/>
        <v>0.56444444444444442</v>
      </c>
    </row>
    <row r="2927" spans="1:7" ht="15.75" customHeight="1">
      <c r="A2927" s="4" t="s">
        <v>121</v>
      </c>
      <c r="B2927" s="1">
        <v>5.0999999999999996</v>
      </c>
      <c r="C2927" s="1">
        <v>225</v>
      </c>
      <c r="D2927" s="1" t="s">
        <v>59</v>
      </c>
      <c r="E2927" s="1" t="s">
        <v>18</v>
      </c>
      <c r="F2927" s="1">
        <f t="shared" si="98"/>
        <v>509.99999999999994</v>
      </c>
      <c r="G2927" s="5">
        <f t="shared" si="97"/>
        <v>0.44117647058823534</v>
      </c>
    </row>
    <row r="2928" spans="1:7" ht="15.75" customHeight="1">
      <c r="A2928" s="4" t="s">
        <v>121</v>
      </c>
      <c r="B2928" s="1">
        <v>4.5</v>
      </c>
      <c r="C2928" s="1">
        <v>1</v>
      </c>
      <c r="D2928" s="1" t="s">
        <v>11</v>
      </c>
      <c r="E2928" s="1" t="s">
        <v>15</v>
      </c>
      <c r="F2928" s="1">
        <f t="shared" si="98"/>
        <v>450</v>
      </c>
      <c r="G2928" s="5">
        <f t="shared" si="97"/>
        <v>2.2222222222222222E-3</v>
      </c>
    </row>
    <row r="2929" spans="1:7" ht="15.75" customHeight="1">
      <c r="A2929" s="4" t="s">
        <v>121</v>
      </c>
      <c r="B2929" s="1">
        <v>7.74</v>
      </c>
      <c r="C2929" s="1">
        <v>325</v>
      </c>
      <c r="D2929" s="1" t="s">
        <v>110</v>
      </c>
      <c r="E2929" s="1" t="s">
        <v>9</v>
      </c>
      <c r="F2929" s="1">
        <f t="shared" si="98"/>
        <v>774</v>
      </c>
      <c r="G2929" s="5">
        <f t="shared" si="97"/>
        <v>0.41989664082687339</v>
      </c>
    </row>
    <row r="2930" spans="1:7" ht="15.75" customHeight="1">
      <c r="A2930" s="4" t="s">
        <v>121</v>
      </c>
      <c r="B2930" s="1">
        <v>6</v>
      </c>
      <c r="C2930" s="1">
        <v>295</v>
      </c>
      <c r="D2930" s="1" t="s">
        <v>11</v>
      </c>
      <c r="E2930" s="1" t="s">
        <v>69</v>
      </c>
      <c r="F2930" s="1">
        <f t="shared" si="98"/>
        <v>600</v>
      </c>
      <c r="G2930" s="5">
        <f t="shared" si="97"/>
        <v>0.49166666666666664</v>
      </c>
    </row>
    <row r="2931" spans="1:7" ht="15.75" customHeight="1">
      <c r="A2931" s="4" t="s">
        <v>121</v>
      </c>
      <c r="B2931" s="1">
        <v>7.74</v>
      </c>
      <c r="C2931" s="1">
        <v>329</v>
      </c>
      <c r="D2931" s="1" t="s">
        <v>35</v>
      </c>
      <c r="E2931" s="1" t="s">
        <v>8</v>
      </c>
      <c r="F2931" s="1">
        <f t="shared" si="98"/>
        <v>774</v>
      </c>
      <c r="G2931" s="5">
        <f t="shared" si="97"/>
        <v>0.42506459948320413</v>
      </c>
    </row>
    <row r="2932" spans="1:7" ht="15.75" customHeight="1">
      <c r="A2932" s="4" t="s">
        <v>121</v>
      </c>
      <c r="B2932" s="1">
        <v>9.3000000000000007</v>
      </c>
      <c r="C2932" s="1">
        <v>309</v>
      </c>
      <c r="D2932" s="1" t="s">
        <v>33</v>
      </c>
      <c r="E2932" s="1" t="s">
        <v>18</v>
      </c>
      <c r="F2932" s="1">
        <f t="shared" si="98"/>
        <v>930.00000000000011</v>
      </c>
      <c r="G2932" s="5">
        <f t="shared" si="97"/>
        <v>0.33225806451612899</v>
      </c>
    </row>
    <row r="2933" spans="1:7" ht="15.75" customHeight="1">
      <c r="A2933" s="4" t="s">
        <v>121</v>
      </c>
      <c r="B2933" s="1">
        <v>8.6999999999999993</v>
      </c>
      <c r="C2933" s="1">
        <v>379</v>
      </c>
      <c r="D2933" s="1" t="s">
        <v>43</v>
      </c>
      <c r="E2933" s="1" t="s">
        <v>20</v>
      </c>
      <c r="F2933" s="1">
        <f t="shared" si="98"/>
        <v>869.99999999999989</v>
      </c>
      <c r="G2933" s="5">
        <f t="shared" si="97"/>
        <v>0.43563218390804603</v>
      </c>
    </row>
    <row r="2934" spans="1:7" ht="15.75" customHeight="1">
      <c r="A2934" s="4" t="s">
        <v>121</v>
      </c>
      <c r="B2934" s="1">
        <v>6.96</v>
      </c>
      <c r="C2934" s="1">
        <v>311</v>
      </c>
      <c r="D2934" s="1" t="s">
        <v>33</v>
      </c>
      <c r="E2934" s="1" t="s">
        <v>22</v>
      </c>
      <c r="F2934" s="1">
        <f t="shared" si="98"/>
        <v>696</v>
      </c>
      <c r="G2934" s="5">
        <f t="shared" si="97"/>
        <v>0.44683908045977011</v>
      </c>
    </row>
    <row r="2935" spans="1:7" ht="15.75" customHeight="1">
      <c r="A2935" s="4" t="s">
        <v>121</v>
      </c>
      <c r="B2935" s="1">
        <v>6.7</v>
      </c>
      <c r="C2935" s="1">
        <v>386</v>
      </c>
      <c r="D2935" s="1" t="s">
        <v>11</v>
      </c>
      <c r="E2935" s="1" t="s">
        <v>16</v>
      </c>
      <c r="F2935" s="1">
        <f t="shared" si="98"/>
        <v>670</v>
      </c>
      <c r="G2935" s="5">
        <f t="shared" si="97"/>
        <v>0.57611940298507458</v>
      </c>
    </row>
    <row r="2936" spans="1:7" ht="15.75" customHeight="1">
      <c r="A2936" s="4" t="s">
        <v>121</v>
      </c>
      <c r="B2936" s="1">
        <v>7.8</v>
      </c>
      <c r="C2936" s="1">
        <v>346</v>
      </c>
      <c r="D2936" s="1" t="s">
        <v>11</v>
      </c>
      <c r="E2936" s="1" t="s">
        <v>8</v>
      </c>
      <c r="F2936" s="1">
        <f t="shared" si="98"/>
        <v>780</v>
      </c>
      <c r="G2936" s="5">
        <f t="shared" si="97"/>
        <v>0.44358974358974357</v>
      </c>
    </row>
    <row r="2937" spans="1:7" ht="15.75" customHeight="1">
      <c r="A2937" s="4" t="s">
        <v>121</v>
      </c>
      <c r="B2937" s="1">
        <v>6</v>
      </c>
      <c r="C2937" s="1">
        <v>268</v>
      </c>
      <c r="D2937" s="1" t="s">
        <v>11</v>
      </c>
      <c r="E2937" s="1" t="s">
        <v>12</v>
      </c>
      <c r="F2937" s="1">
        <f t="shared" si="98"/>
        <v>600</v>
      </c>
      <c r="G2937" s="5">
        <f t="shared" si="97"/>
        <v>0.44666666666666666</v>
      </c>
    </row>
    <row r="2938" spans="1:7" ht="15.75" customHeight="1">
      <c r="A2938" s="4" t="s">
        <v>121</v>
      </c>
      <c r="B2938" s="1">
        <v>5.6</v>
      </c>
      <c r="C2938" s="1">
        <v>398</v>
      </c>
      <c r="D2938" s="1" t="s">
        <v>11</v>
      </c>
      <c r="E2938" s="1" t="s">
        <v>8</v>
      </c>
      <c r="F2938" s="1">
        <f t="shared" si="98"/>
        <v>560</v>
      </c>
      <c r="G2938" s="5">
        <f t="shared" si="97"/>
        <v>0.71071428571428574</v>
      </c>
    </row>
    <row r="2939" spans="1:7" ht="15.75" customHeight="1">
      <c r="A2939" s="4" t="s">
        <v>121</v>
      </c>
      <c r="B2939" s="1">
        <v>7.88</v>
      </c>
      <c r="C2939" s="1">
        <v>421</v>
      </c>
      <c r="D2939" s="1" t="s">
        <v>39</v>
      </c>
      <c r="E2939" s="1" t="s">
        <v>12</v>
      </c>
      <c r="F2939" s="1">
        <f t="shared" si="98"/>
        <v>788</v>
      </c>
      <c r="G2939" s="5">
        <f t="shared" si="97"/>
        <v>0.53426395939086291</v>
      </c>
    </row>
    <row r="2940" spans="1:7" ht="15.75" customHeight="1">
      <c r="A2940" s="4" t="s">
        <v>121</v>
      </c>
      <c r="B2940" s="1">
        <v>6.96</v>
      </c>
      <c r="C2940" s="1">
        <v>271</v>
      </c>
      <c r="D2940" s="1" t="s">
        <v>33</v>
      </c>
      <c r="E2940" s="1" t="s">
        <v>8</v>
      </c>
      <c r="F2940" s="1">
        <f t="shared" si="98"/>
        <v>696</v>
      </c>
      <c r="G2940" s="5">
        <f t="shared" si="97"/>
        <v>0.38936781609195403</v>
      </c>
    </row>
    <row r="2941" spans="1:7" ht="15.75" customHeight="1">
      <c r="A2941" s="4" t="s">
        <v>121</v>
      </c>
      <c r="B2941" s="1">
        <v>6.5</v>
      </c>
      <c r="C2941" s="1">
        <v>310</v>
      </c>
      <c r="D2941" s="1" t="s">
        <v>11</v>
      </c>
      <c r="E2941" s="1" t="s">
        <v>8</v>
      </c>
      <c r="F2941" s="1">
        <f t="shared" si="98"/>
        <v>650</v>
      </c>
      <c r="G2941" s="5">
        <f t="shared" si="97"/>
        <v>0.47692307692307695</v>
      </c>
    </row>
    <row r="2942" spans="1:7" ht="15.75" customHeight="1">
      <c r="A2942" s="4" t="s">
        <v>121</v>
      </c>
      <c r="B2942" s="1">
        <v>5.6</v>
      </c>
      <c r="C2942" s="1">
        <v>296</v>
      </c>
      <c r="D2942" s="1" t="s">
        <v>11</v>
      </c>
      <c r="E2942" s="1" t="s">
        <v>8</v>
      </c>
      <c r="F2942" s="1">
        <f t="shared" si="98"/>
        <v>560</v>
      </c>
      <c r="G2942" s="5">
        <f t="shared" si="97"/>
        <v>0.52857142857142858</v>
      </c>
    </row>
    <row r="2943" spans="1:7" ht="15.75" customHeight="1">
      <c r="A2943" s="4" t="s">
        <v>121</v>
      </c>
      <c r="B2943" s="1">
        <v>7.6</v>
      </c>
      <c r="C2943" s="1">
        <v>5</v>
      </c>
      <c r="D2943" s="1" t="s">
        <v>11</v>
      </c>
      <c r="E2943" s="1" t="s">
        <v>19</v>
      </c>
      <c r="F2943" s="1">
        <f t="shared" si="98"/>
        <v>760</v>
      </c>
      <c r="G2943" s="5">
        <f t="shared" si="97"/>
        <v>6.5789473684210523E-3</v>
      </c>
    </row>
    <row r="2944" spans="1:7" ht="15.75" customHeight="1">
      <c r="A2944" s="4" t="s">
        <v>121</v>
      </c>
      <c r="B2944" s="1">
        <v>6.88</v>
      </c>
      <c r="C2944" s="1">
        <v>276</v>
      </c>
      <c r="D2944" s="1" t="s">
        <v>47</v>
      </c>
      <c r="E2944" s="1" t="s">
        <v>7</v>
      </c>
      <c r="F2944" s="1">
        <f t="shared" si="98"/>
        <v>688</v>
      </c>
      <c r="G2944" s="5">
        <f t="shared" si="97"/>
        <v>0.40116279069767441</v>
      </c>
    </row>
    <row r="2945" spans="1:7" ht="15.75" customHeight="1">
      <c r="A2945" s="4" t="s">
        <v>121</v>
      </c>
      <c r="B2945" s="1">
        <v>6.8</v>
      </c>
      <c r="C2945" s="1">
        <v>389</v>
      </c>
      <c r="D2945" s="1" t="s">
        <v>11</v>
      </c>
      <c r="E2945" s="1" t="s">
        <v>26</v>
      </c>
      <c r="F2945" s="1">
        <f t="shared" si="98"/>
        <v>680</v>
      </c>
      <c r="G2945" s="5">
        <f t="shared" si="97"/>
        <v>0.57205882352941173</v>
      </c>
    </row>
    <row r="2946" spans="1:7" ht="15.75" customHeight="1">
      <c r="A2946" s="4" t="s">
        <v>121</v>
      </c>
      <c r="B2946" s="1">
        <v>8.2650000000000006</v>
      </c>
      <c r="C2946" s="1">
        <v>418</v>
      </c>
      <c r="D2946" s="1" t="s">
        <v>43</v>
      </c>
      <c r="E2946" s="1" t="s">
        <v>18</v>
      </c>
      <c r="F2946" s="1">
        <f t="shared" si="98"/>
        <v>826.5</v>
      </c>
      <c r="G2946" s="5">
        <f t="shared" ref="G2946:G3009" si="99">C2946/F2946</f>
        <v>0.50574712643678166</v>
      </c>
    </row>
    <row r="2947" spans="1:7" ht="15.75" customHeight="1">
      <c r="A2947" s="4" t="s">
        <v>121</v>
      </c>
      <c r="B2947" s="1">
        <v>7.1</v>
      </c>
      <c r="C2947" s="1">
        <v>304</v>
      </c>
      <c r="D2947" s="1" t="s">
        <v>92</v>
      </c>
      <c r="E2947" s="1" t="s">
        <v>26</v>
      </c>
      <c r="F2947" s="1">
        <f t="shared" ref="F2947:F3010" si="100">B2947*100</f>
        <v>710</v>
      </c>
      <c r="G2947" s="5">
        <f t="shared" si="99"/>
        <v>0.42816901408450703</v>
      </c>
    </row>
    <row r="2948" spans="1:7" ht="15.75" customHeight="1">
      <c r="A2948" s="4" t="s">
        <v>121</v>
      </c>
      <c r="B2948" s="1">
        <v>5.5</v>
      </c>
      <c r="C2948" s="1">
        <v>266</v>
      </c>
      <c r="D2948" s="1" t="s">
        <v>35</v>
      </c>
      <c r="E2948" s="1" t="s">
        <v>8</v>
      </c>
      <c r="F2948" s="1">
        <f t="shared" si="100"/>
        <v>550</v>
      </c>
      <c r="G2948" s="5">
        <f t="shared" si="99"/>
        <v>0.48363636363636364</v>
      </c>
    </row>
    <row r="2949" spans="1:7" ht="15.75" customHeight="1">
      <c r="A2949" s="4" t="s">
        <v>121</v>
      </c>
      <c r="B2949" s="1">
        <v>7.4</v>
      </c>
      <c r="C2949" s="1">
        <v>253</v>
      </c>
      <c r="D2949" s="1" t="s">
        <v>55</v>
      </c>
      <c r="E2949" s="1" t="s">
        <v>17</v>
      </c>
      <c r="F2949" s="1">
        <f t="shared" si="100"/>
        <v>740</v>
      </c>
      <c r="G2949" s="5">
        <f t="shared" si="99"/>
        <v>0.3418918918918919</v>
      </c>
    </row>
    <row r="2950" spans="1:7" ht="15.75" customHeight="1">
      <c r="A2950" s="4" t="s">
        <v>121</v>
      </c>
      <c r="B2950" s="1">
        <v>9.36</v>
      </c>
      <c r="C2950" s="1">
        <v>319</v>
      </c>
      <c r="D2950" s="1" t="s">
        <v>11</v>
      </c>
      <c r="E2950" s="1" t="s">
        <v>18</v>
      </c>
      <c r="F2950" s="1">
        <f t="shared" si="100"/>
        <v>936</v>
      </c>
      <c r="G2950" s="5">
        <f t="shared" si="99"/>
        <v>0.34081196581196582</v>
      </c>
    </row>
    <row r="2951" spans="1:7" ht="15.75" customHeight="1">
      <c r="A2951" s="4" t="s">
        <v>121</v>
      </c>
      <c r="B2951" s="1">
        <v>6.1</v>
      </c>
      <c r="C2951" s="1">
        <v>338</v>
      </c>
      <c r="D2951" s="1" t="s">
        <v>11</v>
      </c>
      <c r="E2951" s="1" t="s">
        <v>17</v>
      </c>
      <c r="F2951" s="1">
        <f t="shared" si="100"/>
        <v>610</v>
      </c>
      <c r="G2951" s="5">
        <f t="shared" si="99"/>
        <v>0.5540983606557377</v>
      </c>
    </row>
    <row r="2952" spans="1:7" ht="15.75" customHeight="1">
      <c r="A2952" s="4" t="s">
        <v>121</v>
      </c>
      <c r="B2952" s="1">
        <v>6.7</v>
      </c>
      <c r="C2952" s="1">
        <v>269</v>
      </c>
      <c r="D2952" s="1" t="s">
        <v>33</v>
      </c>
      <c r="E2952" s="1" t="s">
        <v>21</v>
      </c>
      <c r="F2952" s="1">
        <f t="shared" si="100"/>
        <v>670</v>
      </c>
      <c r="G2952" s="5">
        <f t="shared" si="99"/>
        <v>0.40149253731343282</v>
      </c>
    </row>
    <row r="2953" spans="1:7" ht="15.75" customHeight="1">
      <c r="A2953" s="4" t="s">
        <v>121</v>
      </c>
      <c r="B2953" s="1">
        <v>3.48</v>
      </c>
      <c r="C2953" s="1">
        <v>193</v>
      </c>
      <c r="D2953" s="1" t="s">
        <v>11</v>
      </c>
      <c r="E2953" s="1" t="s">
        <v>7</v>
      </c>
      <c r="F2953" s="1">
        <f t="shared" si="100"/>
        <v>348</v>
      </c>
      <c r="G2953" s="5">
        <f t="shared" si="99"/>
        <v>0.5545977011494253</v>
      </c>
    </row>
    <row r="2954" spans="1:7" ht="15.75" customHeight="1">
      <c r="A2954" s="4" t="s">
        <v>121</v>
      </c>
      <c r="B2954" s="1">
        <v>7.83</v>
      </c>
      <c r="C2954" s="1">
        <v>306</v>
      </c>
      <c r="D2954" s="1" t="s">
        <v>52</v>
      </c>
      <c r="E2954" s="1" t="s">
        <v>17</v>
      </c>
      <c r="F2954" s="1">
        <f t="shared" si="100"/>
        <v>783</v>
      </c>
      <c r="G2954" s="5">
        <f t="shared" si="99"/>
        <v>0.39080459770114945</v>
      </c>
    </row>
    <row r="2955" spans="1:7" ht="15.75" customHeight="1">
      <c r="A2955" s="4" t="s">
        <v>121</v>
      </c>
      <c r="B2955" s="1">
        <v>5.5</v>
      </c>
      <c r="C2955" s="1">
        <v>421</v>
      </c>
      <c r="D2955" s="1" t="s">
        <v>11</v>
      </c>
      <c r="E2955" s="1" t="s">
        <v>15</v>
      </c>
      <c r="F2955" s="1">
        <f t="shared" si="100"/>
        <v>550</v>
      </c>
      <c r="G2955" s="5">
        <f t="shared" si="99"/>
        <v>0.7654545454545455</v>
      </c>
    </row>
    <row r="2956" spans="1:7" ht="15.75" customHeight="1">
      <c r="A2956" s="4" t="s">
        <v>121</v>
      </c>
      <c r="B2956" s="1">
        <v>4.8</v>
      </c>
      <c r="C2956" s="1">
        <v>257</v>
      </c>
      <c r="D2956" s="1" t="s">
        <v>42</v>
      </c>
      <c r="E2956" s="1" t="s">
        <v>22</v>
      </c>
      <c r="F2956" s="1">
        <f t="shared" si="100"/>
        <v>480</v>
      </c>
      <c r="G2956" s="5">
        <f t="shared" si="99"/>
        <v>0.53541666666666665</v>
      </c>
    </row>
    <row r="2957" spans="1:7" ht="15.75" customHeight="1">
      <c r="A2957" s="4" t="s">
        <v>121</v>
      </c>
      <c r="B2957" s="1">
        <v>4.5599999999999996</v>
      </c>
      <c r="C2957" s="1">
        <v>184</v>
      </c>
      <c r="D2957" s="1" t="s">
        <v>33</v>
      </c>
      <c r="E2957" s="1" t="s">
        <v>17</v>
      </c>
      <c r="F2957" s="1">
        <f t="shared" si="100"/>
        <v>455.99999999999994</v>
      </c>
      <c r="G2957" s="5">
        <f t="shared" si="99"/>
        <v>0.40350877192982459</v>
      </c>
    </row>
    <row r="2958" spans="1:7" ht="15.75" customHeight="1">
      <c r="A2958" s="4" t="s">
        <v>121</v>
      </c>
      <c r="B2958" s="1">
        <v>4.03</v>
      </c>
      <c r="C2958" s="1">
        <v>228</v>
      </c>
      <c r="D2958" s="1" t="s">
        <v>11</v>
      </c>
      <c r="E2958" s="1" t="s">
        <v>9</v>
      </c>
      <c r="F2958" s="1">
        <f t="shared" si="100"/>
        <v>403</v>
      </c>
      <c r="G2958" s="5">
        <f t="shared" si="99"/>
        <v>0.56575682382133996</v>
      </c>
    </row>
    <row r="2959" spans="1:7" ht="15.75" customHeight="1">
      <c r="A2959" s="4" t="s">
        <v>121</v>
      </c>
      <c r="B2959" s="1">
        <v>5.3949999999999996</v>
      </c>
      <c r="C2959" s="1">
        <v>284.8</v>
      </c>
      <c r="D2959" s="1" t="s">
        <v>35</v>
      </c>
      <c r="E2959" s="1" t="s">
        <v>15</v>
      </c>
      <c r="F2959" s="1">
        <f t="shared" si="100"/>
        <v>539.5</v>
      </c>
      <c r="G2959" s="5">
        <f t="shared" si="99"/>
        <v>0.52789620018535688</v>
      </c>
    </row>
    <row r="2960" spans="1:7" ht="15.75" customHeight="1">
      <c r="A2960" s="4" t="s">
        <v>121</v>
      </c>
      <c r="B2960" s="1">
        <v>6.5</v>
      </c>
      <c r="C2960" s="1">
        <v>294</v>
      </c>
      <c r="D2960" s="1" t="s">
        <v>55</v>
      </c>
      <c r="E2960" s="1" t="s">
        <v>15</v>
      </c>
      <c r="F2960" s="1">
        <f t="shared" si="100"/>
        <v>650</v>
      </c>
      <c r="G2960" s="5">
        <f t="shared" si="99"/>
        <v>0.4523076923076923</v>
      </c>
    </row>
    <row r="2961" spans="1:7" ht="15.75" customHeight="1">
      <c r="A2961" s="4" t="s">
        <v>121</v>
      </c>
      <c r="B2961" s="1">
        <v>9.68</v>
      </c>
      <c r="C2961" s="1">
        <v>368</v>
      </c>
      <c r="D2961" s="1" t="s">
        <v>36</v>
      </c>
      <c r="E2961" s="1" t="s">
        <v>7</v>
      </c>
      <c r="F2961" s="1">
        <f t="shared" si="100"/>
        <v>968</v>
      </c>
      <c r="G2961" s="5">
        <f t="shared" si="99"/>
        <v>0.38016528925619836</v>
      </c>
    </row>
    <row r="2962" spans="1:7" ht="15.75" customHeight="1">
      <c r="A2962" s="4" t="s">
        <v>121</v>
      </c>
      <c r="B2962" s="1">
        <v>9.4</v>
      </c>
      <c r="C2962" s="1">
        <v>196</v>
      </c>
      <c r="D2962" s="1" t="s">
        <v>11</v>
      </c>
      <c r="E2962" s="1" t="s">
        <v>19</v>
      </c>
      <c r="F2962" s="1">
        <f t="shared" si="100"/>
        <v>940</v>
      </c>
      <c r="G2962" s="5">
        <f t="shared" si="99"/>
        <v>0.20851063829787234</v>
      </c>
    </row>
    <row r="2963" spans="1:7" ht="15.75" customHeight="1">
      <c r="A2963" s="4" t="s">
        <v>121</v>
      </c>
      <c r="B2963" s="1">
        <v>8.375</v>
      </c>
      <c r="C2963" s="1">
        <v>474</v>
      </c>
      <c r="D2963" s="1" t="s">
        <v>11</v>
      </c>
      <c r="E2963" s="1" t="s">
        <v>15</v>
      </c>
      <c r="F2963" s="1">
        <f t="shared" si="100"/>
        <v>837.5</v>
      </c>
      <c r="G2963" s="5">
        <f t="shared" si="99"/>
        <v>0.56597014925373135</v>
      </c>
    </row>
    <row r="2964" spans="1:7" ht="15.75" customHeight="1">
      <c r="A2964" s="4" t="s">
        <v>121</v>
      </c>
      <c r="B2964" s="1">
        <v>4.3</v>
      </c>
      <c r="C2964" s="1">
        <v>146</v>
      </c>
      <c r="D2964" s="1" t="s">
        <v>33</v>
      </c>
      <c r="E2964" s="1" t="s">
        <v>30</v>
      </c>
      <c r="F2964" s="1">
        <f t="shared" si="100"/>
        <v>430</v>
      </c>
      <c r="G2964" s="5">
        <f t="shared" si="99"/>
        <v>0.33953488372093021</v>
      </c>
    </row>
    <row r="2965" spans="1:7" ht="15.75" customHeight="1">
      <c r="A2965" s="4" t="s">
        <v>121</v>
      </c>
      <c r="B2965" s="1">
        <v>5.2</v>
      </c>
      <c r="C2965" s="1">
        <v>319</v>
      </c>
      <c r="D2965" s="1" t="s">
        <v>11</v>
      </c>
      <c r="E2965" s="1" t="s">
        <v>16</v>
      </c>
      <c r="F2965" s="1">
        <f t="shared" si="100"/>
        <v>520</v>
      </c>
      <c r="G2965" s="5">
        <f t="shared" si="99"/>
        <v>0.6134615384615385</v>
      </c>
    </row>
    <row r="2966" spans="1:7" ht="15.75" customHeight="1">
      <c r="A2966" s="4" t="s">
        <v>121</v>
      </c>
      <c r="B2966" s="1">
        <v>6.88</v>
      </c>
      <c r="C2966" s="1">
        <v>329</v>
      </c>
      <c r="D2966" s="1" t="s">
        <v>11</v>
      </c>
      <c r="E2966" s="1" t="s">
        <v>10</v>
      </c>
      <c r="F2966" s="1">
        <f t="shared" si="100"/>
        <v>688</v>
      </c>
      <c r="G2966" s="5">
        <f t="shared" si="99"/>
        <v>0.47819767441860467</v>
      </c>
    </row>
    <row r="2967" spans="1:7" ht="15.75" customHeight="1">
      <c r="A2967" s="4" t="s">
        <v>121</v>
      </c>
      <c r="B2967" s="1">
        <v>5.46</v>
      </c>
      <c r="C2967" s="1">
        <v>348</v>
      </c>
      <c r="D2967" s="1" t="s">
        <v>43</v>
      </c>
      <c r="E2967" s="1" t="s">
        <v>15</v>
      </c>
      <c r="F2967" s="1">
        <f t="shared" si="100"/>
        <v>546</v>
      </c>
      <c r="G2967" s="5">
        <f t="shared" si="99"/>
        <v>0.63736263736263732</v>
      </c>
    </row>
    <row r="2968" spans="1:7" ht="15.75" customHeight="1">
      <c r="A2968" s="4" t="s">
        <v>121</v>
      </c>
      <c r="B2968" s="1">
        <v>5</v>
      </c>
      <c r="C2968" s="1">
        <v>455</v>
      </c>
      <c r="D2968" s="1" t="s">
        <v>11</v>
      </c>
      <c r="E2968" s="1" t="s">
        <v>26</v>
      </c>
      <c r="F2968" s="1">
        <f t="shared" si="100"/>
        <v>500</v>
      </c>
      <c r="G2968" s="5">
        <f t="shared" si="99"/>
        <v>0.91</v>
      </c>
    </row>
    <row r="2969" spans="1:7" ht="15.75" customHeight="1">
      <c r="A2969" s="4" t="s">
        <v>121</v>
      </c>
      <c r="B2969" s="1">
        <v>6.4</v>
      </c>
      <c r="C2969" s="1">
        <v>307</v>
      </c>
      <c r="D2969" s="1" t="s">
        <v>11</v>
      </c>
      <c r="E2969" s="1" t="s">
        <v>12</v>
      </c>
      <c r="F2969" s="1">
        <f t="shared" si="100"/>
        <v>640</v>
      </c>
      <c r="G2969" s="5">
        <f t="shared" si="99"/>
        <v>0.47968749999999999</v>
      </c>
    </row>
    <row r="2970" spans="1:7" ht="15.75" customHeight="1">
      <c r="A2970" s="4" t="s">
        <v>121</v>
      </c>
      <c r="B2970" s="1">
        <v>7.74</v>
      </c>
      <c r="C2970" s="1">
        <v>316</v>
      </c>
      <c r="D2970" s="1" t="s">
        <v>33</v>
      </c>
      <c r="E2970" s="1" t="s">
        <v>16</v>
      </c>
      <c r="F2970" s="1">
        <f t="shared" si="100"/>
        <v>774</v>
      </c>
      <c r="G2970" s="5">
        <f t="shared" si="99"/>
        <v>0.40826873385012918</v>
      </c>
    </row>
    <row r="2971" spans="1:7" ht="15.75" customHeight="1">
      <c r="A2971" s="4" t="s">
        <v>121</v>
      </c>
      <c r="B2971" s="1">
        <v>7.74</v>
      </c>
      <c r="C2971" s="1">
        <v>301</v>
      </c>
      <c r="D2971" s="1" t="s">
        <v>53</v>
      </c>
      <c r="E2971" s="1" t="s">
        <v>7</v>
      </c>
      <c r="F2971" s="1">
        <f t="shared" si="100"/>
        <v>774</v>
      </c>
      <c r="G2971" s="5">
        <f t="shared" si="99"/>
        <v>0.3888888888888889</v>
      </c>
    </row>
    <row r="2972" spans="1:7" ht="15.75" customHeight="1">
      <c r="A2972" s="4" t="s">
        <v>121</v>
      </c>
      <c r="B2972" s="1">
        <v>10</v>
      </c>
      <c r="C2972" s="1">
        <v>516</v>
      </c>
      <c r="D2972" s="1" t="s">
        <v>11</v>
      </c>
      <c r="E2972" s="1" t="s">
        <v>25</v>
      </c>
      <c r="F2972" s="1">
        <f t="shared" si="100"/>
        <v>1000</v>
      </c>
      <c r="G2972" s="5">
        <f t="shared" si="99"/>
        <v>0.51600000000000001</v>
      </c>
    </row>
    <row r="2973" spans="1:7" ht="15.75" customHeight="1">
      <c r="A2973" s="4" t="s">
        <v>121</v>
      </c>
      <c r="B2973" s="1">
        <v>7</v>
      </c>
      <c r="C2973" s="1">
        <v>356</v>
      </c>
      <c r="D2973" s="1" t="s">
        <v>36</v>
      </c>
      <c r="E2973" s="1" t="s">
        <v>15</v>
      </c>
      <c r="F2973" s="1">
        <f t="shared" si="100"/>
        <v>700</v>
      </c>
      <c r="G2973" s="5">
        <f t="shared" si="99"/>
        <v>0.50857142857142856</v>
      </c>
    </row>
    <row r="2974" spans="1:7" ht="15.75" customHeight="1">
      <c r="A2974" s="4" t="s">
        <v>121</v>
      </c>
      <c r="B2974" s="1">
        <v>7.56</v>
      </c>
      <c r="C2974" s="1">
        <v>407</v>
      </c>
      <c r="D2974" s="1" t="s">
        <v>11</v>
      </c>
      <c r="E2974" s="1" t="s">
        <v>25</v>
      </c>
      <c r="F2974" s="1">
        <f t="shared" si="100"/>
        <v>756</v>
      </c>
      <c r="G2974" s="5">
        <f t="shared" si="99"/>
        <v>0.53835978835978837</v>
      </c>
    </row>
    <row r="2975" spans="1:7" ht="15.75" customHeight="1">
      <c r="A2975" s="4" t="s">
        <v>121</v>
      </c>
      <c r="B2975" s="1">
        <v>6.9</v>
      </c>
      <c r="C2975" s="1">
        <v>332</v>
      </c>
      <c r="D2975" s="1" t="s">
        <v>38</v>
      </c>
      <c r="E2975" s="1" t="s">
        <v>8</v>
      </c>
      <c r="F2975" s="1">
        <f t="shared" si="100"/>
        <v>690</v>
      </c>
      <c r="G2975" s="5">
        <f t="shared" si="99"/>
        <v>0.48115942028985509</v>
      </c>
    </row>
    <row r="2976" spans="1:7" ht="15.75" customHeight="1">
      <c r="A2976" s="4" t="s">
        <v>121</v>
      </c>
      <c r="B2976" s="1">
        <v>3.8</v>
      </c>
      <c r="C2976" s="1">
        <v>207</v>
      </c>
      <c r="D2976" s="1" t="s">
        <v>11</v>
      </c>
      <c r="E2976" s="1" t="s">
        <v>31</v>
      </c>
      <c r="F2976" s="1">
        <f t="shared" si="100"/>
        <v>380</v>
      </c>
      <c r="G2976" s="5">
        <f t="shared" si="99"/>
        <v>0.54473684210526319</v>
      </c>
    </row>
    <row r="2977" spans="1:7" ht="15.75" customHeight="1">
      <c r="A2977" s="4" t="s">
        <v>121</v>
      </c>
      <c r="B2977" s="1">
        <v>5.81</v>
      </c>
      <c r="C2977" s="1">
        <v>298</v>
      </c>
      <c r="D2977" s="1" t="s">
        <v>38</v>
      </c>
      <c r="E2977" s="1" t="s">
        <v>8</v>
      </c>
      <c r="F2977" s="1">
        <f t="shared" si="100"/>
        <v>581</v>
      </c>
      <c r="G2977" s="5">
        <f t="shared" si="99"/>
        <v>0.5129087779690189</v>
      </c>
    </row>
    <row r="2978" spans="1:7" ht="15.75" customHeight="1">
      <c r="A2978" s="4" t="s">
        <v>121</v>
      </c>
      <c r="B2978" s="1">
        <v>8.64</v>
      </c>
      <c r="C2978" s="1">
        <v>499.53</v>
      </c>
      <c r="D2978" s="1" t="s">
        <v>11</v>
      </c>
      <c r="E2978" s="1" t="s">
        <v>9</v>
      </c>
      <c r="F2978" s="1">
        <f t="shared" si="100"/>
        <v>864</v>
      </c>
      <c r="G2978" s="5">
        <f t="shared" si="99"/>
        <v>0.57815972222222223</v>
      </c>
    </row>
    <row r="2979" spans="1:7" ht="15.75" customHeight="1">
      <c r="A2979" s="4" t="s">
        <v>121</v>
      </c>
      <c r="B2979" s="1">
        <v>4</v>
      </c>
      <c r="C2979" s="1">
        <v>198</v>
      </c>
      <c r="D2979" s="1" t="s">
        <v>44</v>
      </c>
      <c r="E2979" s="1" t="s">
        <v>21</v>
      </c>
      <c r="F2979" s="1">
        <f t="shared" si="100"/>
        <v>400</v>
      </c>
      <c r="G2979" s="5">
        <f t="shared" si="99"/>
        <v>0.495</v>
      </c>
    </row>
    <row r="2980" spans="1:7" ht="15.75" customHeight="1">
      <c r="A2980" s="4" t="s">
        <v>121</v>
      </c>
      <c r="B2980" s="1">
        <v>7.3</v>
      </c>
      <c r="C2980" s="1">
        <v>259</v>
      </c>
      <c r="D2980" s="1" t="s">
        <v>33</v>
      </c>
      <c r="E2980" s="1" t="s">
        <v>20</v>
      </c>
      <c r="F2980" s="1">
        <f t="shared" si="100"/>
        <v>730</v>
      </c>
      <c r="G2980" s="5">
        <f t="shared" si="99"/>
        <v>0.35479452054794519</v>
      </c>
    </row>
    <row r="2981" spans="1:7" ht="15.75" customHeight="1">
      <c r="A2981" s="4" t="s">
        <v>121</v>
      </c>
      <c r="B2981" s="1">
        <v>6.5</v>
      </c>
      <c r="C2981" s="1">
        <v>288</v>
      </c>
      <c r="D2981" s="1" t="s">
        <v>33</v>
      </c>
      <c r="E2981" s="1" t="s">
        <v>21</v>
      </c>
      <c r="F2981" s="1">
        <f t="shared" si="100"/>
        <v>650</v>
      </c>
      <c r="G2981" s="5">
        <f t="shared" si="99"/>
        <v>0.44307692307692309</v>
      </c>
    </row>
    <row r="2982" spans="1:7" ht="15.75" customHeight="1">
      <c r="A2982" s="4" t="s">
        <v>121</v>
      </c>
      <c r="B2982" s="1">
        <v>8.6999999999999993</v>
      </c>
      <c r="C2982" s="1">
        <v>490</v>
      </c>
      <c r="D2982" s="1" t="s">
        <v>11</v>
      </c>
      <c r="E2982" s="1" t="s">
        <v>27</v>
      </c>
      <c r="F2982" s="1">
        <f t="shared" si="100"/>
        <v>869.99999999999989</v>
      </c>
      <c r="G2982" s="5">
        <f t="shared" si="99"/>
        <v>0.56321839080459779</v>
      </c>
    </row>
    <row r="2983" spans="1:7" ht="15.75" customHeight="1">
      <c r="A2983" s="4" t="s">
        <v>121</v>
      </c>
      <c r="B2983" s="1">
        <v>4.5</v>
      </c>
      <c r="C2983" s="1">
        <v>145</v>
      </c>
      <c r="D2983" s="1" t="s">
        <v>33</v>
      </c>
      <c r="E2983" s="1" t="s">
        <v>8</v>
      </c>
      <c r="F2983" s="1">
        <f t="shared" si="100"/>
        <v>450</v>
      </c>
      <c r="G2983" s="5">
        <f t="shared" si="99"/>
        <v>0.32222222222222224</v>
      </c>
    </row>
    <row r="2984" spans="1:7" ht="15.75" customHeight="1">
      <c r="A2984" s="4" t="s">
        <v>121</v>
      </c>
      <c r="B2984" s="1">
        <v>7.29</v>
      </c>
      <c r="C2984" s="1">
        <v>394</v>
      </c>
      <c r="D2984" s="1" t="s">
        <v>11</v>
      </c>
      <c r="E2984" s="1" t="s">
        <v>7</v>
      </c>
      <c r="F2984" s="1">
        <f t="shared" si="100"/>
        <v>729</v>
      </c>
      <c r="G2984" s="5">
        <f t="shared" si="99"/>
        <v>0.54046639231824412</v>
      </c>
    </row>
    <row r="2985" spans="1:7" ht="15.75" customHeight="1">
      <c r="A2985" s="4" t="s">
        <v>121</v>
      </c>
      <c r="B2985" s="1">
        <v>4</v>
      </c>
      <c r="C2985" s="1">
        <v>140</v>
      </c>
      <c r="D2985" s="1" t="s">
        <v>43</v>
      </c>
      <c r="E2985" s="1" t="s">
        <v>68</v>
      </c>
      <c r="F2985" s="1">
        <f t="shared" si="100"/>
        <v>400</v>
      </c>
      <c r="G2985" s="5">
        <f t="shared" si="99"/>
        <v>0.35</v>
      </c>
    </row>
    <row r="2986" spans="1:7" ht="15.75" customHeight="1">
      <c r="A2986" s="4" t="s">
        <v>121</v>
      </c>
      <c r="B2986" s="1">
        <v>6.2</v>
      </c>
      <c r="C2986" s="1">
        <v>240</v>
      </c>
      <c r="D2986" s="1" t="s">
        <v>33</v>
      </c>
      <c r="E2986" s="1" t="s">
        <v>14</v>
      </c>
      <c r="F2986" s="1">
        <f t="shared" si="100"/>
        <v>620</v>
      </c>
      <c r="G2986" s="5">
        <f t="shared" si="99"/>
        <v>0.38709677419354838</v>
      </c>
    </row>
    <row r="2987" spans="1:7" ht="15.75" customHeight="1">
      <c r="A2987" s="4" t="s">
        <v>121</v>
      </c>
      <c r="B2987" s="1">
        <v>7.2</v>
      </c>
      <c r="C2987" s="1">
        <v>319</v>
      </c>
      <c r="D2987" s="1" t="s">
        <v>43</v>
      </c>
      <c r="E2987" s="1" t="s">
        <v>17</v>
      </c>
      <c r="F2987" s="1">
        <f t="shared" si="100"/>
        <v>720</v>
      </c>
      <c r="G2987" s="5">
        <f t="shared" si="99"/>
        <v>0.44305555555555554</v>
      </c>
    </row>
    <row r="2988" spans="1:7" ht="15.75" customHeight="1">
      <c r="A2988" s="4" t="s">
        <v>121</v>
      </c>
      <c r="B2988" s="1">
        <v>8.6</v>
      </c>
      <c r="C2988" s="1">
        <v>559</v>
      </c>
      <c r="D2988" s="1" t="s">
        <v>42</v>
      </c>
      <c r="E2988" s="1" t="s">
        <v>8</v>
      </c>
      <c r="F2988" s="1">
        <f t="shared" si="100"/>
        <v>860</v>
      </c>
      <c r="G2988" s="5">
        <f t="shared" si="99"/>
        <v>0.65</v>
      </c>
    </row>
    <row r="2989" spans="1:7" ht="15.75" customHeight="1">
      <c r="A2989" s="4" t="s">
        <v>121</v>
      </c>
      <c r="B2989" s="1">
        <v>5.6</v>
      </c>
      <c r="C2989" s="1">
        <v>273</v>
      </c>
      <c r="D2989" s="1" t="s">
        <v>39</v>
      </c>
      <c r="E2989" s="1" t="s">
        <v>62</v>
      </c>
      <c r="F2989" s="1">
        <f t="shared" si="100"/>
        <v>560</v>
      </c>
      <c r="G2989" s="5">
        <f t="shared" si="99"/>
        <v>0.48749999999999999</v>
      </c>
    </row>
    <row r="2990" spans="1:7" ht="15.75" customHeight="1">
      <c r="A2990" s="4" t="s">
        <v>121</v>
      </c>
      <c r="B2990" s="1">
        <v>7.9</v>
      </c>
      <c r="C2990" s="1">
        <v>433</v>
      </c>
      <c r="D2990" s="1" t="s">
        <v>11</v>
      </c>
      <c r="E2990" s="1" t="s">
        <v>27</v>
      </c>
      <c r="F2990" s="1">
        <f t="shared" si="100"/>
        <v>790</v>
      </c>
      <c r="G2990" s="5">
        <f t="shared" si="99"/>
        <v>0.54810126582278484</v>
      </c>
    </row>
    <row r="2991" spans="1:7" ht="15.75" customHeight="1">
      <c r="A2991" s="4" t="s">
        <v>121</v>
      </c>
      <c r="B2991" s="1">
        <v>6.4</v>
      </c>
      <c r="C2991" s="1">
        <v>447</v>
      </c>
      <c r="D2991" s="1" t="s">
        <v>11</v>
      </c>
      <c r="E2991" s="1" t="s">
        <v>26</v>
      </c>
      <c r="F2991" s="1">
        <f t="shared" si="100"/>
        <v>640</v>
      </c>
      <c r="G2991" s="5">
        <f t="shared" si="99"/>
        <v>0.69843750000000004</v>
      </c>
    </row>
    <row r="2992" spans="1:7" ht="15.75" customHeight="1">
      <c r="A2992" s="4" t="s">
        <v>121</v>
      </c>
      <c r="B2992" s="1">
        <v>5.22</v>
      </c>
      <c r="C2992" s="1">
        <v>279</v>
      </c>
      <c r="D2992" s="1" t="s">
        <v>35</v>
      </c>
      <c r="E2992" s="1" t="s">
        <v>17</v>
      </c>
      <c r="F2992" s="1">
        <f t="shared" si="100"/>
        <v>522</v>
      </c>
      <c r="G2992" s="5">
        <f t="shared" si="99"/>
        <v>0.53448275862068961</v>
      </c>
    </row>
    <row r="2993" spans="1:7" ht="15.75" customHeight="1">
      <c r="A2993" s="4" t="s">
        <v>121</v>
      </c>
      <c r="B2993" s="1">
        <v>6.4</v>
      </c>
      <c r="C2993" s="1">
        <v>276.3</v>
      </c>
      <c r="D2993" s="1" t="s">
        <v>35</v>
      </c>
      <c r="E2993" s="1" t="s">
        <v>18</v>
      </c>
      <c r="F2993" s="1">
        <f t="shared" si="100"/>
        <v>640</v>
      </c>
      <c r="G2993" s="5">
        <f t="shared" si="99"/>
        <v>0.43171875000000004</v>
      </c>
    </row>
    <row r="2994" spans="1:7" ht="15.75" customHeight="1">
      <c r="A2994" s="4" t="s">
        <v>121</v>
      </c>
      <c r="B2994" s="1">
        <v>7.3</v>
      </c>
      <c r="C2994" s="1">
        <v>499</v>
      </c>
      <c r="D2994" s="1" t="s">
        <v>11</v>
      </c>
      <c r="E2994" s="1" t="s">
        <v>26</v>
      </c>
      <c r="F2994" s="1">
        <f t="shared" si="100"/>
        <v>730</v>
      </c>
      <c r="G2994" s="5">
        <f t="shared" si="99"/>
        <v>0.68356164383561646</v>
      </c>
    </row>
    <row r="2995" spans="1:7" ht="15.75" customHeight="1">
      <c r="A2995" s="4" t="s">
        <v>121</v>
      </c>
      <c r="B2995" s="1">
        <v>4.3600000000000003</v>
      </c>
      <c r="C2995" s="1">
        <v>242</v>
      </c>
      <c r="D2995" s="1" t="s">
        <v>33</v>
      </c>
      <c r="E2995" s="1" t="s">
        <v>15</v>
      </c>
      <c r="F2995" s="1">
        <f t="shared" si="100"/>
        <v>436.00000000000006</v>
      </c>
      <c r="G2995" s="5">
        <f t="shared" si="99"/>
        <v>0.55504587155963292</v>
      </c>
    </row>
    <row r="2996" spans="1:7" ht="15.75" customHeight="1">
      <c r="A2996" s="4" t="s">
        <v>121</v>
      </c>
      <c r="B2996" s="1">
        <v>8</v>
      </c>
      <c r="C2996" s="1">
        <v>401</v>
      </c>
      <c r="D2996" s="1" t="s">
        <v>11</v>
      </c>
      <c r="E2996" s="1" t="s">
        <v>12</v>
      </c>
      <c r="F2996" s="1">
        <f t="shared" si="100"/>
        <v>800</v>
      </c>
      <c r="G2996" s="5">
        <f t="shared" si="99"/>
        <v>0.50124999999999997</v>
      </c>
    </row>
    <row r="2997" spans="1:7" ht="15.75" customHeight="1">
      <c r="A2997" s="4" t="s">
        <v>121</v>
      </c>
      <c r="B2997" s="1">
        <v>6.09</v>
      </c>
      <c r="C2997" s="1">
        <v>356</v>
      </c>
      <c r="D2997" s="1" t="s">
        <v>11</v>
      </c>
      <c r="E2997" s="1" t="s">
        <v>26</v>
      </c>
      <c r="F2997" s="1">
        <f t="shared" si="100"/>
        <v>609</v>
      </c>
      <c r="G2997" s="5">
        <f t="shared" si="99"/>
        <v>0.58456486042692934</v>
      </c>
    </row>
    <row r="2998" spans="1:7" ht="15.75" customHeight="1">
      <c r="A2998" s="4" t="s">
        <v>121</v>
      </c>
      <c r="B2998" s="1">
        <v>5.0999999999999996</v>
      </c>
      <c r="C2998" s="1">
        <v>301</v>
      </c>
      <c r="D2998" s="1" t="s">
        <v>34</v>
      </c>
      <c r="E2998" s="1" t="s">
        <v>69</v>
      </c>
      <c r="F2998" s="1">
        <f t="shared" si="100"/>
        <v>509.99999999999994</v>
      </c>
      <c r="G2998" s="5">
        <f t="shared" si="99"/>
        <v>0.59019607843137256</v>
      </c>
    </row>
    <row r="2999" spans="1:7" ht="15.75" customHeight="1">
      <c r="A2999" s="4" t="s">
        <v>121</v>
      </c>
      <c r="B2999" s="1">
        <v>8.8000000000000007</v>
      </c>
      <c r="C2999" s="1">
        <v>508</v>
      </c>
      <c r="D2999" s="1" t="s">
        <v>47</v>
      </c>
      <c r="E2999" s="1" t="s">
        <v>30</v>
      </c>
      <c r="F2999" s="1">
        <f t="shared" si="100"/>
        <v>880.00000000000011</v>
      </c>
      <c r="G2999" s="5">
        <f t="shared" si="99"/>
        <v>0.57727272727272716</v>
      </c>
    </row>
    <row r="3000" spans="1:7" ht="15.75" customHeight="1">
      <c r="A3000" s="4" t="s">
        <v>121</v>
      </c>
      <c r="B3000" s="1">
        <v>4.0999999999999996</v>
      </c>
      <c r="C3000" s="1">
        <v>250</v>
      </c>
      <c r="D3000" s="1" t="s">
        <v>38</v>
      </c>
      <c r="E3000" s="1" t="s">
        <v>16</v>
      </c>
      <c r="F3000" s="1">
        <f t="shared" si="100"/>
        <v>409.99999999999994</v>
      </c>
      <c r="G3000" s="5">
        <f t="shared" si="99"/>
        <v>0.60975609756097571</v>
      </c>
    </row>
    <row r="3001" spans="1:7" ht="15.75" customHeight="1">
      <c r="A3001" s="4" t="s">
        <v>121</v>
      </c>
      <c r="B3001" s="1">
        <v>6.6</v>
      </c>
      <c r="C3001" s="1">
        <v>255</v>
      </c>
      <c r="D3001" s="1" t="s">
        <v>11</v>
      </c>
      <c r="E3001" s="1" t="s">
        <v>8</v>
      </c>
      <c r="F3001" s="1">
        <f t="shared" si="100"/>
        <v>660</v>
      </c>
      <c r="G3001" s="5">
        <f t="shared" si="99"/>
        <v>0.38636363636363635</v>
      </c>
    </row>
    <row r="3002" spans="1:7" ht="15.75" customHeight="1">
      <c r="A3002" s="4" t="s">
        <v>121</v>
      </c>
      <c r="B3002" s="1">
        <v>8.8000000000000007</v>
      </c>
      <c r="C3002" s="1">
        <v>411</v>
      </c>
      <c r="D3002" s="1" t="s">
        <v>50</v>
      </c>
      <c r="E3002" s="1" t="s">
        <v>8</v>
      </c>
      <c r="F3002" s="1">
        <f t="shared" si="100"/>
        <v>880.00000000000011</v>
      </c>
      <c r="G3002" s="5">
        <f t="shared" si="99"/>
        <v>0.46704545454545449</v>
      </c>
    </row>
    <row r="3003" spans="1:7" ht="15.75" customHeight="1">
      <c r="A3003" s="4" t="s">
        <v>121</v>
      </c>
      <c r="B3003" s="1">
        <v>6.8</v>
      </c>
      <c r="C3003" s="1">
        <v>361</v>
      </c>
      <c r="D3003" s="1" t="s">
        <v>44</v>
      </c>
      <c r="E3003" s="1" t="s">
        <v>26</v>
      </c>
      <c r="F3003" s="1">
        <f t="shared" si="100"/>
        <v>680</v>
      </c>
      <c r="G3003" s="5">
        <f t="shared" si="99"/>
        <v>0.53088235294117647</v>
      </c>
    </row>
    <row r="3004" spans="1:7" ht="15.75" customHeight="1">
      <c r="A3004" s="4" t="s">
        <v>121</v>
      </c>
      <c r="B3004" s="1">
        <v>7.5</v>
      </c>
      <c r="C3004" s="1">
        <v>320</v>
      </c>
      <c r="D3004" s="1" t="s">
        <v>33</v>
      </c>
      <c r="E3004" s="1" t="s">
        <v>8</v>
      </c>
      <c r="F3004" s="1">
        <f t="shared" si="100"/>
        <v>750</v>
      </c>
      <c r="G3004" s="5">
        <f t="shared" si="99"/>
        <v>0.42666666666666669</v>
      </c>
    </row>
    <row r="3005" spans="1:7" ht="15.75" customHeight="1">
      <c r="A3005" s="4" t="s">
        <v>121</v>
      </c>
      <c r="B3005" s="1">
        <v>5.2</v>
      </c>
      <c r="C3005" s="1">
        <v>260</v>
      </c>
      <c r="D3005" s="1" t="s">
        <v>53</v>
      </c>
      <c r="E3005" s="1" t="s">
        <v>15</v>
      </c>
      <c r="F3005" s="1">
        <f t="shared" si="100"/>
        <v>520</v>
      </c>
      <c r="G3005" s="5">
        <f t="shared" si="99"/>
        <v>0.5</v>
      </c>
    </row>
    <row r="3006" spans="1:7" ht="15.75" customHeight="1">
      <c r="A3006" s="4" t="s">
        <v>121</v>
      </c>
      <c r="B3006" s="1">
        <v>3.85</v>
      </c>
      <c r="C3006" s="1">
        <v>172</v>
      </c>
      <c r="D3006" s="1" t="s">
        <v>11</v>
      </c>
      <c r="E3006" s="1" t="s">
        <v>20</v>
      </c>
      <c r="F3006" s="1">
        <f t="shared" si="100"/>
        <v>385</v>
      </c>
      <c r="G3006" s="5">
        <f t="shared" si="99"/>
        <v>0.44675324675324674</v>
      </c>
    </row>
    <row r="3007" spans="1:7" ht="15.75" customHeight="1">
      <c r="A3007" s="4" t="s">
        <v>121</v>
      </c>
      <c r="B3007" s="1">
        <v>9.5</v>
      </c>
      <c r="C3007" s="1">
        <v>470</v>
      </c>
      <c r="D3007" s="1" t="s">
        <v>11</v>
      </c>
      <c r="E3007" s="1" t="s">
        <v>19</v>
      </c>
      <c r="F3007" s="1">
        <f t="shared" si="100"/>
        <v>950</v>
      </c>
      <c r="G3007" s="5">
        <f t="shared" si="99"/>
        <v>0.49473684210526314</v>
      </c>
    </row>
    <row r="3008" spans="1:7" ht="15.75" customHeight="1">
      <c r="A3008" s="4" t="s">
        <v>121</v>
      </c>
      <c r="B3008" s="1">
        <v>6.88</v>
      </c>
      <c r="C3008" s="1">
        <v>276.17</v>
      </c>
      <c r="D3008" s="1" t="s">
        <v>33</v>
      </c>
      <c r="E3008" s="1" t="s">
        <v>20</v>
      </c>
      <c r="F3008" s="1">
        <f t="shared" si="100"/>
        <v>688</v>
      </c>
      <c r="G3008" s="5">
        <f t="shared" si="99"/>
        <v>0.40140988372093028</v>
      </c>
    </row>
    <row r="3009" spans="1:7" ht="15.75" customHeight="1">
      <c r="A3009" s="4" t="s">
        <v>121</v>
      </c>
      <c r="B3009" s="1">
        <v>4.3499999999999996</v>
      </c>
      <c r="C3009" s="1">
        <v>326</v>
      </c>
      <c r="D3009" s="1" t="s">
        <v>11</v>
      </c>
      <c r="E3009" s="1" t="s">
        <v>15</v>
      </c>
      <c r="F3009" s="1">
        <f t="shared" si="100"/>
        <v>434.99999999999994</v>
      </c>
      <c r="G3009" s="5">
        <f t="shared" si="99"/>
        <v>0.74942528735632197</v>
      </c>
    </row>
    <row r="3010" spans="1:7" ht="15.75" customHeight="1">
      <c r="A3010" s="4" t="s">
        <v>121</v>
      </c>
      <c r="B3010" s="1">
        <v>9.57</v>
      </c>
      <c r="C3010" s="1">
        <v>542</v>
      </c>
      <c r="D3010" s="1" t="s">
        <v>11</v>
      </c>
      <c r="E3010" s="1" t="s">
        <v>10</v>
      </c>
      <c r="F3010" s="1">
        <f t="shared" si="100"/>
        <v>957</v>
      </c>
      <c r="G3010" s="5">
        <f t="shared" ref="G3010:G3073" si="101">C3010/F3010</f>
        <v>0.56635318704284221</v>
      </c>
    </row>
    <row r="3011" spans="1:7" ht="15.75" customHeight="1">
      <c r="A3011" s="4" t="s">
        <v>121</v>
      </c>
      <c r="B3011" s="1">
        <v>5.16</v>
      </c>
      <c r="C3011" s="1">
        <v>291</v>
      </c>
      <c r="D3011" s="1" t="s">
        <v>44</v>
      </c>
      <c r="E3011" s="1" t="s">
        <v>10</v>
      </c>
      <c r="F3011" s="1">
        <f t="shared" ref="F3011:F3074" si="102">B3011*100</f>
        <v>516</v>
      </c>
      <c r="G3011" s="5">
        <f t="shared" si="101"/>
        <v>0.56395348837209303</v>
      </c>
    </row>
    <row r="3012" spans="1:7" ht="15.75" customHeight="1">
      <c r="A3012" s="4" t="s">
        <v>121</v>
      </c>
      <c r="B3012" s="1">
        <v>6.375</v>
      </c>
      <c r="C3012" s="1">
        <v>354</v>
      </c>
      <c r="D3012" s="1" t="s">
        <v>11</v>
      </c>
      <c r="E3012" s="1" t="s">
        <v>12</v>
      </c>
      <c r="F3012" s="1">
        <f t="shared" si="102"/>
        <v>637.5</v>
      </c>
      <c r="G3012" s="5">
        <f t="shared" si="101"/>
        <v>0.55529411764705883</v>
      </c>
    </row>
    <row r="3013" spans="1:7" ht="15.75" customHeight="1">
      <c r="A3013" s="4" t="s">
        <v>121</v>
      </c>
      <c r="B3013" s="1">
        <v>7.74</v>
      </c>
      <c r="C3013" s="1">
        <v>368</v>
      </c>
      <c r="D3013" s="1" t="s">
        <v>42</v>
      </c>
      <c r="E3013" s="1" t="s">
        <v>49</v>
      </c>
      <c r="F3013" s="1">
        <f t="shared" si="102"/>
        <v>774</v>
      </c>
      <c r="G3013" s="5">
        <f t="shared" si="101"/>
        <v>0.47545219638242892</v>
      </c>
    </row>
    <row r="3014" spans="1:7" ht="15.75" customHeight="1">
      <c r="A3014" s="4" t="s">
        <v>121</v>
      </c>
      <c r="B3014" s="1">
        <v>8.1</v>
      </c>
      <c r="C3014" s="1">
        <v>381</v>
      </c>
      <c r="D3014" s="1" t="s">
        <v>44</v>
      </c>
      <c r="E3014" s="1" t="s">
        <v>7</v>
      </c>
      <c r="F3014" s="1">
        <f t="shared" si="102"/>
        <v>810</v>
      </c>
      <c r="G3014" s="5">
        <f t="shared" si="101"/>
        <v>0.47037037037037038</v>
      </c>
    </row>
    <row r="3015" spans="1:7" ht="15.75" customHeight="1">
      <c r="A3015" s="4" t="s">
        <v>121</v>
      </c>
      <c r="B3015" s="1">
        <v>5</v>
      </c>
      <c r="C3015" s="1">
        <v>443.4</v>
      </c>
      <c r="D3015" s="1" t="s">
        <v>11</v>
      </c>
      <c r="E3015" s="1" t="s">
        <v>22</v>
      </c>
      <c r="F3015" s="1">
        <f t="shared" si="102"/>
        <v>500</v>
      </c>
      <c r="G3015" s="5">
        <f t="shared" si="101"/>
        <v>0.88679999999999992</v>
      </c>
    </row>
    <row r="3016" spans="1:7" ht="15.75" customHeight="1">
      <c r="A3016" s="4" t="s">
        <v>121</v>
      </c>
      <c r="B3016" s="1">
        <v>8.19</v>
      </c>
      <c r="C3016" s="1">
        <v>325</v>
      </c>
      <c r="D3016" s="1" t="s">
        <v>33</v>
      </c>
      <c r="E3016" s="1" t="s">
        <v>16</v>
      </c>
      <c r="F3016" s="1">
        <f t="shared" si="102"/>
        <v>819</v>
      </c>
      <c r="G3016" s="5">
        <f t="shared" si="101"/>
        <v>0.3968253968253968</v>
      </c>
    </row>
    <row r="3017" spans="1:7" ht="15.75" customHeight="1">
      <c r="A3017" s="4" t="s">
        <v>121</v>
      </c>
      <c r="B3017" s="1">
        <v>7.29</v>
      </c>
      <c r="C3017" s="1">
        <v>385</v>
      </c>
      <c r="D3017" s="1" t="s">
        <v>11</v>
      </c>
      <c r="E3017" s="1" t="s">
        <v>27</v>
      </c>
      <c r="F3017" s="1">
        <f t="shared" si="102"/>
        <v>729</v>
      </c>
      <c r="G3017" s="5">
        <f t="shared" si="101"/>
        <v>0.52812071330589849</v>
      </c>
    </row>
    <row r="3018" spans="1:7" ht="15.75" customHeight="1">
      <c r="A3018" s="4" t="s">
        <v>121</v>
      </c>
      <c r="B3018" s="1">
        <v>6.2</v>
      </c>
      <c r="C3018" s="1">
        <v>360</v>
      </c>
      <c r="D3018" s="1" t="s">
        <v>11</v>
      </c>
      <c r="E3018" s="1" t="s">
        <v>12</v>
      </c>
      <c r="F3018" s="1">
        <f t="shared" si="102"/>
        <v>620</v>
      </c>
      <c r="G3018" s="5">
        <f t="shared" si="101"/>
        <v>0.58064516129032262</v>
      </c>
    </row>
    <row r="3019" spans="1:7" ht="15.75" customHeight="1">
      <c r="A3019" s="4" t="s">
        <v>121</v>
      </c>
      <c r="B3019" s="1">
        <v>7.4</v>
      </c>
      <c r="C3019" s="1">
        <v>533</v>
      </c>
      <c r="D3019" s="1" t="s">
        <v>11</v>
      </c>
      <c r="E3019" s="1" t="s">
        <v>10</v>
      </c>
      <c r="F3019" s="1">
        <f t="shared" si="102"/>
        <v>740</v>
      </c>
      <c r="G3019" s="5">
        <f t="shared" si="101"/>
        <v>0.72027027027027024</v>
      </c>
    </row>
    <row r="3020" spans="1:7" ht="15.75" customHeight="1">
      <c r="A3020" s="4" t="s">
        <v>121</v>
      </c>
      <c r="B3020" s="1">
        <v>4.3499999999999996</v>
      </c>
      <c r="C3020" s="1">
        <v>262</v>
      </c>
      <c r="D3020" s="1" t="s">
        <v>11</v>
      </c>
      <c r="E3020" s="1" t="s">
        <v>16</v>
      </c>
      <c r="F3020" s="1">
        <f t="shared" si="102"/>
        <v>434.99999999999994</v>
      </c>
      <c r="G3020" s="5">
        <f t="shared" si="101"/>
        <v>0.60229885057471277</v>
      </c>
    </row>
    <row r="3021" spans="1:7" ht="15.75" customHeight="1">
      <c r="A3021" s="4" t="s">
        <v>121</v>
      </c>
      <c r="B3021" s="1">
        <v>8.6999999999999993</v>
      </c>
      <c r="C3021" s="1">
        <v>378</v>
      </c>
      <c r="D3021" s="1" t="s">
        <v>45</v>
      </c>
      <c r="E3021" s="1" t="s">
        <v>20</v>
      </c>
      <c r="F3021" s="1">
        <f t="shared" si="102"/>
        <v>869.99999999999989</v>
      </c>
      <c r="G3021" s="5">
        <f t="shared" si="101"/>
        <v>0.43448275862068969</v>
      </c>
    </row>
    <row r="3022" spans="1:7" ht="15.75" customHeight="1">
      <c r="A3022" s="4" t="s">
        <v>121</v>
      </c>
      <c r="B3022" s="1">
        <v>6.09</v>
      </c>
      <c r="C3022" s="1">
        <v>238</v>
      </c>
      <c r="D3022" s="1" t="s">
        <v>44</v>
      </c>
      <c r="E3022" s="1" t="s">
        <v>20</v>
      </c>
      <c r="F3022" s="1">
        <f t="shared" si="102"/>
        <v>609</v>
      </c>
      <c r="G3022" s="5">
        <f t="shared" si="101"/>
        <v>0.39080459770114945</v>
      </c>
    </row>
    <row r="3023" spans="1:7" ht="15.75" customHeight="1">
      <c r="A3023" s="4" t="s">
        <v>121</v>
      </c>
      <c r="B3023" s="1">
        <v>6.5</v>
      </c>
      <c r="C3023" s="1">
        <v>255</v>
      </c>
      <c r="D3023" s="1" t="s">
        <v>45</v>
      </c>
      <c r="E3023" s="1" t="s">
        <v>20</v>
      </c>
      <c r="F3023" s="1">
        <f t="shared" si="102"/>
        <v>650</v>
      </c>
      <c r="G3023" s="5">
        <f t="shared" si="101"/>
        <v>0.3923076923076923</v>
      </c>
    </row>
    <row r="3024" spans="1:7" ht="15.75" customHeight="1">
      <c r="A3024" s="4" t="s">
        <v>121</v>
      </c>
      <c r="B3024" s="1">
        <v>20</v>
      </c>
      <c r="C3024" s="1">
        <v>621</v>
      </c>
      <c r="D3024" s="1" t="s">
        <v>33</v>
      </c>
      <c r="E3024" s="1" t="s">
        <v>20</v>
      </c>
      <c r="F3024" s="1">
        <f t="shared" si="102"/>
        <v>2000</v>
      </c>
      <c r="G3024" s="5">
        <f t="shared" si="101"/>
        <v>0.3105</v>
      </c>
    </row>
    <row r="3025" spans="1:7" ht="15.75" customHeight="1">
      <c r="A3025" s="4" t="s">
        <v>121</v>
      </c>
      <c r="B3025" s="1">
        <v>4.38</v>
      </c>
      <c r="C3025" s="1">
        <v>239</v>
      </c>
      <c r="D3025" s="1" t="s">
        <v>43</v>
      </c>
      <c r="E3025" s="1" t="s">
        <v>24</v>
      </c>
      <c r="F3025" s="1">
        <f t="shared" si="102"/>
        <v>438</v>
      </c>
      <c r="G3025" s="5">
        <f t="shared" si="101"/>
        <v>0.545662100456621</v>
      </c>
    </row>
    <row r="3026" spans="1:7" ht="15.75" customHeight="1">
      <c r="A3026" s="4" t="s">
        <v>121</v>
      </c>
      <c r="B3026" s="1">
        <v>7.4</v>
      </c>
      <c r="C3026" s="1">
        <v>443</v>
      </c>
      <c r="D3026" s="1" t="s">
        <v>11</v>
      </c>
      <c r="E3026" s="1" t="s">
        <v>25</v>
      </c>
      <c r="F3026" s="1">
        <f t="shared" si="102"/>
        <v>740</v>
      </c>
      <c r="G3026" s="5">
        <f t="shared" si="101"/>
        <v>0.59864864864864864</v>
      </c>
    </row>
    <row r="3027" spans="1:7" ht="15.75" customHeight="1">
      <c r="A3027" s="4" t="s">
        <v>121</v>
      </c>
      <c r="B3027" s="1">
        <v>5.6</v>
      </c>
      <c r="C3027" s="1">
        <v>327</v>
      </c>
      <c r="D3027" s="1" t="s">
        <v>54</v>
      </c>
      <c r="E3027" s="1" t="s">
        <v>22</v>
      </c>
      <c r="F3027" s="1">
        <f t="shared" si="102"/>
        <v>560</v>
      </c>
      <c r="G3027" s="5">
        <f t="shared" si="101"/>
        <v>0.58392857142857146</v>
      </c>
    </row>
    <row r="3028" spans="1:7" ht="15.75" customHeight="1">
      <c r="A3028" s="4" t="s">
        <v>121</v>
      </c>
      <c r="B3028" s="1">
        <v>10.199999999999999</v>
      </c>
      <c r="C3028" s="1">
        <v>430</v>
      </c>
      <c r="D3028" s="1" t="s">
        <v>11</v>
      </c>
      <c r="E3028" s="1" t="s">
        <v>7</v>
      </c>
      <c r="F3028" s="1">
        <f t="shared" si="102"/>
        <v>1019.9999999999999</v>
      </c>
      <c r="G3028" s="5">
        <f t="shared" si="101"/>
        <v>0.42156862745098045</v>
      </c>
    </row>
    <row r="3029" spans="1:7" ht="15.75" customHeight="1">
      <c r="A3029" s="4" t="s">
        <v>121</v>
      </c>
      <c r="B3029" s="1">
        <v>6</v>
      </c>
      <c r="C3029" s="1">
        <v>375</v>
      </c>
      <c r="D3029" s="1" t="s">
        <v>39</v>
      </c>
      <c r="E3029" s="1" t="s">
        <v>26</v>
      </c>
      <c r="F3029" s="1">
        <f t="shared" si="102"/>
        <v>600</v>
      </c>
      <c r="G3029" s="5">
        <f t="shared" si="101"/>
        <v>0.625</v>
      </c>
    </row>
    <row r="3030" spans="1:7" ht="15.75" customHeight="1">
      <c r="A3030" s="4" t="s">
        <v>121</v>
      </c>
      <c r="B3030" s="1">
        <v>4.7300000000000004</v>
      </c>
      <c r="C3030" s="1">
        <v>250</v>
      </c>
      <c r="D3030" s="1" t="s">
        <v>39</v>
      </c>
      <c r="E3030" s="1" t="s">
        <v>9</v>
      </c>
      <c r="F3030" s="1">
        <f t="shared" si="102"/>
        <v>473.00000000000006</v>
      </c>
      <c r="G3030" s="5">
        <f t="shared" si="101"/>
        <v>0.52854122621564481</v>
      </c>
    </row>
    <row r="3031" spans="1:7" ht="15.75" customHeight="1">
      <c r="A3031" s="4" t="s">
        <v>121</v>
      </c>
      <c r="B3031" s="1">
        <v>7.83</v>
      </c>
      <c r="C3031" s="1">
        <v>357</v>
      </c>
      <c r="D3031" s="1" t="s">
        <v>11</v>
      </c>
      <c r="E3031" s="1" t="s">
        <v>12</v>
      </c>
      <c r="F3031" s="1">
        <f t="shared" si="102"/>
        <v>783</v>
      </c>
      <c r="G3031" s="5">
        <f t="shared" si="101"/>
        <v>0.45593869731800768</v>
      </c>
    </row>
    <row r="3032" spans="1:7" ht="15.75" customHeight="1">
      <c r="A3032" s="4" t="s">
        <v>121</v>
      </c>
      <c r="B3032" s="1">
        <v>5.16</v>
      </c>
      <c r="C3032" s="1">
        <v>249</v>
      </c>
      <c r="D3032" s="1" t="s">
        <v>48</v>
      </c>
      <c r="E3032" s="1" t="s">
        <v>30</v>
      </c>
      <c r="F3032" s="1">
        <f t="shared" si="102"/>
        <v>516</v>
      </c>
      <c r="G3032" s="5">
        <f t="shared" si="101"/>
        <v>0.48255813953488375</v>
      </c>
    </row>
    <row r="3033" spans="1:7" ht="15.75" customHeight="1">
      <c r="A3033" s="4" t="s">
        <v>121</v>
      </c>
      <c r="B3033" s="1">
        <v>6</v>
      </c>
      <c r="C3033" s="1">
        <v>256</v>
      </c>
      <c r="D3033" s="1" t="s">
        <v>33</v>
      </c>
      <c r="E3033" s="1" t="s">
        <v>15</v>
      </c>
      <c r="F3033" s="1">
        <f t="shared" si="102"/>
        <v>600</v>
      </c>
      <c r="G3033" s="5">
        <f t="shared" si="101"/>
        <v>0.42666666666666669</v>
      </c>
    </row>
    <row r="3034" spans="1:7" ht="15.75" customHeight="1">
      <c r="A3034" s="4" t="s">
        <v>121</v>
      </c>
      <c r="B3034" s="1">
        <v>6</v>
      </c>
      <c r="C3034" s="1">
        <v>330</v>
      </c>
      <c r="D3034" s="1" t="s">
        <v>53</v>
      </c>
      <c r="E3034" s="1" t="s">
        <v>15</v>
      </c>
      <c r="F3034" s="1">
        <f t="shared" si="102"/>
        <v>600</v>
      </c>
      <c r="G3034" s="5">
        <f t="shared" si="101"/>
        <v>0.55000000000000004</v>
      </c>
    </row>
    <row r="3035" spans="1:7" ht="15.75" customHeight="1">
      <c r="A3035" s="4" t="s">
        <v>121</v>
      </c>
      <c r="B3035" s="1">
        <v>6.5</v>
      </c>
      <c r="C3035" s="1">
        <v>361</v>
      </c>
      <c r="D3035" s="1" t="s">
        <v>39</v>
      </c>
      <c r="E3035" s="1" t="s">
        <v>16</v>
      </c>
      <c r="F3035" s="1">
        <f t="shared" si="102"/>
        <v>650</v>
      </c>
      <c r="G3035" s="5">
        <f t="shared" si="101"/>
        <v>0.55538461538461537</v>
      </c>
    </row>
    <row r="3036" spans="1:7" ht="15.75" customHeight="1">
      <c r="A3036" s="4" t="s">
        <v>121</v>
      </c>
      <c r="B3036" s="1">
        <v>3.96</v>
      </c>
      <c r="C3036" s="1">
        <v>208</v>
      </c>
      <c r="D3036" s="1" t="s">
        <v>39</v>
      </c>
      <c r="E3036" s="1" t="s">
        <v>21</v>
      </c>
      <c r="F3036" s="1">
        <f t="shared" si="102"/>
        <v>396</v>
      </c>
      <c r="G3036" s="5">
        <f t="shared" si="101"/>
        <v>0.5252525252525253</v>
      </c>
    </row>
    <row r="3037" spans="1:7" ht="15.75" customHeight="1">
      <c r="A3037" s="4" t="s">
        <v>121</v>
      </c>
      <c r="B3037" s="1">
        <v>6.02</v>
      </c>
      <c r="C3037" s="1">
        <v>282</v>
      </c>
      <c r="D3037" s="1" t="s">
        <v>47</v>
      </c>
      <c r="E3037" s="1" t="s">
        <v>19</v>
      </c>
      <c r="F3037" s="1">
        <f t="shared" si="102"/>
        <v>602</v>
      </c>
      <c r="G3037" s="5">
        <f t="shared" si="101"/>
        <v>0.46843853820598008</v>
      </c>
    </row>
    <row r="3038" spans="1:7" ht="15.75" customHeight="1">
      <c r="A3038" s="4" t="s">
        <v>121</v>
      </c>
      <c r="B3038" s="1">
        <v>4.3499999999999996</v>
      </c>
      <c r="C3038" s="1">
        <v>220</v>
      </c>
      <c r="D3038" s="1" t="s">
        <v>11</v>
      </c>
      <c r="E3038" s="1" t="s">
        <v>8</v>
      </c>
      <c r="F3038" s="1">
        <f t="shared" si="102"/>
        <v>434.99999999999994</v>
      </c>
      <c r="G3038" s="5">
        <f t="shared" si="101"/>
        <v>0.50574712643678166</v>
      </c>
    </row>
    <row r="3039" spans="1:7" ht="15.75" customHeight="1">
      <c r="A3039" s="4" t="s">
        <v>121</v>
      </c>
      <c r="B3039" s="1">
        <v>7.6</v>
      </c>
      <c r="C3039" s="1">
        <v>365</v>
      </c>
      <c r="D3039" s="1" t="s">
        <v>52</v>
      </c>
      <c r="E3039" s="1" t="s">
        <v>25</v>
      </c>
      <c r="F3039" s="1">
        <f t="shared" si="102"/>
        <v>760</v>
      </c>
      <c r="G3039" s="5">
        <f t="shared" si="101"/>
        <v>0.48026315789473684</v>
      </c>
    </row>
    <row r="3040" spans="1:7" ht="15.75" customHeight="1">
      <c r="A3040" s="4" t="s">
        <v>121</v>
      </c>
      <c r="B3040" s="1">
        <v>6.24</v>
      </c>
      <c r="C3040" s="1">
        <v>193</v>
      </c>
      <c r="D3040" s="1" t="s">
        <v>33</v>
      </c>
      <c r="E3040" s="1" t="s">
        <v>15</v>
      </c>
      <c r="F3040" s="1">
        <f t="shared" si="102"/>
        <v>624</v>
      </c>
      <c r="G3040" s="5">
        <f t="shared" si="101"/>
        <v>0.30929487179487181</v>
      </c>
    </row>
    <row r="3041" spans="1:7" ht="15.75" customHeight="1">
      <c r="A3041" s="4" t="s">
        <v>121</v>
      </c>
      <c r="B3041" s="1">
        <v>4.9000000000000004</v>
      </c>
      <c r="C3041" s="1">
        <v>186</v>
      </c>
      <c r="D3041" s="1" t="s">
        <v>11</v>
      </c>
      <c r="E3041" s="1" t="s">
        <v>25</v>
      </c>
      <c r="F3041" s="1">
        <f t="shared" si="102"/>
        <v>490.00000000000006</v>
      </c>
      <c r="G3041" s="5">
        <f t="shared" si="101"/>
        <v>0.37959183673469382</v>
      </c>
    </row>
    <row r="3042" spans="1:7" ht="15.75" customHeight="1">
      <c r="A3042" s="4" t="s">
        <v>121</v>
      </c>
      <c r="B3042" s="1">
        <v>7.5</v>
      </c>
      <c r="C3042" s="1">
        <v>380</v>
      </c>
      <c r="D3042" s="1" t="s">
        <v>43</v>
      </c>
      <c r="E3042" s="1" t="s">
        <v>17</v>
      </c>
      <c r="F3042" s="1">
        <f t="shared" si="102"/>
        <v>750</v>
      </c>
      <c r="G3042" s="5">
        <f t="shared" si="101"/>
        <v>0.50666666666666671</v>
      </c>
    </row>
    <row r="3043" spans="1:7" ht="15.75" customHeight="1">
      <c r="A3043" s="4" t="s">
        <v>121</v>
      </c>
      <c r="B3043" s="1">
        <v>6.96</v>
      </c>
      <c r="C3043" s="1">
        <v>382</v>
      </c>
      <c r="D3043" s="1" t="s">
        <v>11</v>
      </c>
      <c r="E3043" s="1" t="s">
        <v>18</v>
      </c>
      <c r="F3043" s="1">
        <f t="shared" si="102"/>
        <v>696</v>
      </c>
      <c r="G3043" s="5">
        <f t="shared" si="101"/>
        <v>0.54885057471264365</v>
      </c>
    </row>
    <row r="3044" spans="1:7" ht="15.75" customHeight="1">
      <c r="A3044" s="4" t="s">
        <v>121</v>
      </c>
      <c r="B3044" s="1">
        <v>6.56</v>
      </c>
      <c r="C3044" s="1">
        <v>296</v>
      </c>
      <c r="D3044" s="1" t="s">
        <v>11</v>
      </c>
      <c r="E3044" s="1" t="s">
        <v>18</v>
      </c>
      <c r="F3044" s="1">
        <f t="shared" si="102"/>
        <v>656</v>
      </c>
      <c r="G3044" s="5">
        <f t="shared" si="101"/>
        <v>0.45121951219512196</v>
      </c>
    </row>
    <row r="3045" spans="1:7" ht="15.75" customHeight="1">
      <c r="A3045" s="4" t="s">
        <v>121</v>
      </c>
      <c r="B3045" s="1">
        <v>8.9</v>
      </c>
      <c r="C3045" s="1">
        <v>478</v>
      </c>
      <c r="D3045" s="1" t="s">
        <v>43</v>
      </c>
      <c r="E3045" s="1" t="s">
        <v>17</v>
      </c>
      <c r="F3045" s="1">
        <f t="shared" si="102"/>
        <v>890</v>
      </c>
      <c r="G3045" s="5">
        <f t="shared" si="101"/>
        <v>0.53707865168539326</v>
      </c>
    </row>
    <row r="3046" spans="1:7" ht="15.75" customHeight="1">
      <c r="A3046" s="4" t="s">
        <v>121</v>
      </c>
      <c r="B3046" s="1">
        <v>9.1</v>
      </c>
      <c r="C3046" s="1">
        <v>451</v>
      </c>
      <c r="D3046" s="1" t="s">
        <v>38</v>
      </c>
      <c r="E3046" s="1" t="s">
        <v>14</v>
      </c>
      <c r="F3046" s="1">
        <f t="shared" si="102"/>
        <v>910</v>
      </c>
      <c r="G3046" s="5">
        <f t="shared" si="101"/>
        <v>0.49560439560439562</v>
      </c>
    </row>
    <row r="3047" spans="1:7" ht="15.75" customHeight="1">
      <c r="A3047" s="4" t="s">
        <v>121</v>
      </c>
      <c r="B3047" s="1">
        <v>7.92</v>
      </c>
      <c r="C3047" s="1">
        <v>284</v>
      </c>
      <c r="D3047" s="1" t="s">
        <v>53</v>
      </c>
      <c r="E3047" s="1" t="s">
        <v>16</v>
      </c>
      <c r="F3047" s="1">
        <f t="shared" si="102"/>
        <v>792</v>
      </c>
      <c r="G3047" s="5">
        <f t="shared" si="101"/>
        <v>0.35858585858585856</v>
      </c>
    </row>
    <row r="3048" spans="1:7" ht="15.75" customHeight="1">
      <c r="A3048" s="4" t="s">
        <v>121</v>
      </c>
      <c r="B3048" s="1">
        <v>4.5999999999999996</v>
      </c>
      <c r="C3048" s="1">
        <v>239</v>
      </c>
      <c r="D3048" s="1" t="s">
        <v>11</v>
      </c>
      <c r="E3048" s="1" t="s">
        <v>9</v>
      </c>
      <c r="F3048" s="1">
        <f t="shared" si="102"/>
        <v>459.99999999999994</v>
      </c>
      <c r="G3048" s="5">
        <f t="shared" si="101"/>
        <v>0.51956521739130446</v>
      </c>
    </row>
    <row r="3049" spans="1:7" ht="15.75" customHeight="1">
      <c r="A3049" s="4" t="s">
        <v>121</v>
      </c>
      <c r="B3049" s="1">
        <v>8.6999999999999993</v>
      </c>
      <c r="C3049" s="1">
        <v>384</v>
      </c>
      <c r="D3049" s="1" t="s">
        <v>33</v>
      </c>
      <c r="E3049" s="1" t="s">
        <v>26</v>
      </c>
      <c r="F3049" s="1">
        <f t="shared" si="102"/>
        <v>869.99999999999989</v>
      </c>
      <c r="G3049" s="5">
        <f t="shared" si="101"/>
        <v>0.44137931034482764</v>
      </c>
    </row>
    <row r="3050" spans="1:7" ht="15.75" customHeight="1">
      <c r="A3050" s="4" t="s">
        <v>121</v>
      </c>
      <c r="B3050" s="1">
        <v>7.8</v>
      </c>
      <c r="C3050" s="1">
        <v>351</v>
      </c>
      <c r="D3050" s="1" t="s">
        <v>11</v>
      </c>
      <c r="E3050" s="1" t="s">
        <v>10</v>
      </c>
      <c r="F3050" s="1">
        <f t="shared" si="102"/>
        <v>780</v>
      </c>
      <c r="G3050" s="5">
        <f t="shared" si="101"/>
        <v>0.45</v>
      </c>
    </row>
    <row r="3051" spans="1:7" ht="15.75" customHeight="1">
      <c r="A3051" s="4" t="s">
        <v>121</v>
      </c>
      <c r="B3051" s="1">
        <v>6.8</v>
      </c>
      <c r="C3051" s="1">
        <v>282</v>
      </c>
      <c r="D3051" s="1" t="s">
        <v>11</v>
      </c>
      <c r="E3051" s="1" t="s">
        <v>7</v>
      </c>
      <c r="F3051" s="1">
        <f t="shared" si="102"/>
        <v>680</v>
      </c>
      <c r="G3051" s="5">
        <f t="shared" si="101"/>
        <v>0.4147058823529412</v>
      </c>
    </row>
    <row r="3052" spans="1:7" ht="15.75" customHeight="1">
      <c r="A3052" s="4" t="s">
        <v>121</v>
      </c>
      <c r="B3052" s="1">
        <v>6.96</v>
      </c>
      <c r="C3052" s="1">
        <v>428</v>
      </c>
      <c r="D3052" s="1" t="s">
        <v>38</v>
      </c>
      <c r="E3052" s="1" t="s">
        <v>15</v>
      </c>
      <c r="F3052" s="1">
        <f t="shared" si="102"/>
        <v>696</v>
      </c>
      <c r="G3052" s="5">
        <f t="shared" si="101"/>
        <v>0.61494252873563215</v>
      </c>
    </row>
    <row r="3053" spans="1:7" ht="15.75" customHeight="1">
      <c r="A3053" s="4" t="s">
        <v>121</v>
      </c>
      <c r="B3053" s="1">
        <v>6.66</v>
      </c>
      <c r="C3053" s="1">
        <v>5.2</v>
      </c>
      <c r="D3053" s="1" t="s">
        <v>11</v>
      </c>
      <c r="E3053" s="1" t="s">
        <v>41</v>
      </c>
      <c r="F3053" s="1">
        <f t="shared" si="102"/>
        <v>666</v>
      </c>
      <c r="G3053" s="5">
        <f t="shared" si="101"/>
        <v>7.8078078078078084E-3</v>
      </c>
    </row>
    <row r="3054" spans="1:7" ht="15.75" customHeight="1">
      <c r="A3054" s="4" t="s">
        <v>121</v>
      </c>
      <c r="B3054" s="1">
        <v>3.9</v>
      </c>
      <c r="C3054" s="1">
        <v>260</v>
      </c>
      <c r="D3054" s="1" t="s">
        <v>43</v>
      </c>
      <c r="E3054" s="1" t="s">
        <v>8</v>
      </c>
      <c r="F3054" s="1">
        <f t="shared" si="102"/>
        <v>390</v>
      </c>
      <c r="G3054" s="5">
        <f t="shared" si="101"/>
        <v>0.66666666666666663</v>
      </c>
    </row>
    <row r="3055" spans="1:7" ht="15.75" customHeight="1">
      <c r="A3055" s="4" t="s">
        <v>121</v>
      </c>
      <c r="B3055" s="1">
        <v>7</v>
      </c>
      <c r="C3055" s="1">
        <v>388</v>
      </c>
      <c r="D3055" s="1" t="s">
        <v>44</v>
      </c>
      <c r="E3055" s="1" t="s">
        <v>22</v>
      </c>
      <c r="F3055" s="1">
        <f t="shared" si="102"/>
        <v>700</v>
      </c>
      <c r="G3055" s="5">
        <f t="shared" si="101"/>
        <v>0.55428571428571427</v>
      </c>
    </row>
    <row r="3056" spans="1:7" ht="15.75" customHeight="1">
      <c r="A3056" s="4" t="s">
        <v>121</v>
      </c>
      <c r="B3056" s="1">
        <v>3.48</v>
      </c>
      <c r="C3056" s="1">
        <v>236</v>
      </c>
      <c r="D3056" s="1" t="s">
        <v>11</v>
      </c>
      <c r="E3056" s="1" t="s">
        <v>16</v>
      </c>
      <c r="F3056" s="1">
        <f t="shared" si="102"/>
        <v>348</v>
      </c>
      <c r="G3056" s="5">
        <f t="shared" si="101"/>
        <v>0.67816091954022983</v>
      </c>
    </row>
    <row r="3057" spans="1:9" ht="15.75" customHeight="1">
      <c r="A3057" s="4" t="s">
        <v>121</v>
      </c>
      <c r="B3057" s="1">
        <v>7.3949999999999996</v>
      </c>
      <c r="C3057" s="1">
        <v>211</v>
      </c>
      <c r="D3057" s="1" t="s">
        <v>33</v>
      </c>
      <c r="E3057" s="1" t="s">
        <v>14</v>
      </c>
      <c r="F3057" s="1">
        <f t="shared" si="102"/>
        <v>739.5</v>
      </c>
      <c r="G3057" s="5">
        <f t="shared" si="101"/>
        <v>0.28532792427315756</v>
      </c>
    </row>
    <row r="3058" spans="1:9" ht="15.75" customHeight="1">
      <c r="A3058" s="4" t="s">
        <v>121</v>
      </c>
      <c r="B3058" s="1">
        <v>5.9</v>
      </c>
      <c r="C3058" s="1">
        <v>318</v>
      </c>
      <c r="D3058" s="1" t="s">
        <v>11</v>
      </c>
      <c r="E3058" s="1" t="s">
        <v>32</v>
      </c>
      <c r="F3058" s="1">
        <f t="shared" si="102"/>
        <v>590</v>
      </c>
      <c r="G3058" s="5">
        <f t="shared" si="101"/>
        <v>0.53898305084745768</v>
      </c>
    </row>
    <row r="3059" spans="1:9" ht="15.75" customHeight="1">
      <c r="A3059" s="4" t="s">
        <v>121</v>
      </c>
      <c r="B3059" s="1">
        <v>6.9</v>
      </c>
      <c r="C3059" s="1">
        <v>331</v>
      </c>
      <c r="D3059" s="1" t="s">
        <v>38</v>
      </c>
      <c r="E3059" s="1" t="s">
        <v>8</v>
      </c>
      <c r="F3059" s="1">
        <f t="shared" si="102"/>
        <v>690</v>
      </c>
      <c r="G3059" s="5">
        <f t="shared" si="101"/>
        <v>0.47971014492753622</v>
      </c>
    </row>
    <row r="3060" spans="1:9" ht="15.75" customHeight="1">
      <c r="A3060" s="4" t="s">
        <v>121</v>
      </c>
      <c r="B3060" s="1">
        <v>5.2</v>
      </c>
      <c r="C3060" s="1">
        <v>356</v>
      </c>
      <c r="D3060" s="1" t="s">
        <v>11</v>
      </c>
      <c r="E3060" s="1" t="s">
        <v>16</v>
      </c>
      <c r="F3060" s="1">
        <f t="shared" si="102"/>
        <v>520</v>
      </c>
      <c r="G3060" s="5">
        <f t="shared" si="101"/>
        <v>0.68461538461538463</v>
      </c>
    </row>
    <row r="3061" spans="1:9" ht="15.75" customHeight="1">
      <c r="A3061" s="4" t="s">
        <v>121</v>
      </c>
      <c r="B3061" s="1">
        <v>6</v>
      </c>
      <c r="C3061" s="1">
        <v>189</v>
      </c>
      <c r="D3061" s="1" t="s">
        <v>70</v>
      </c>
      <c r="E3061" s="1" t="s">
        <v>18</v>
      </c>
      <c r="F3061" s="1">
        <f t="shared" si="102"/>
        <v>600</v>
      </c>
      <c r="G3061" s="5">
        <f t="shared" si="101"/>
        <v>0.315</v>
      </c>
    </row>
    <row r="3062" spans="1:9" ht="15.75" customHeight="1">
      <c r="A3062" s="4" t="s">
        <v>121</v>
      </c>
      <c r="B3062" s="1">
        <v>6.6</v>
      </c>
      <c r="C3062" s="1">
        <v>420</v>
      </c>
      <c r="D3062" s="1" t="s">
        <v>39</v>
      </c>
      <c r="E3062" s="1" t="s">
        <v>26</v>
      </c>
      <c r="F3062" s="1">
        <f t="shared" si="102"/>
        <v>660</v>
      </c>
      <c r="G3062" s="5">
        <f t="shared" si="101"/>
        <v>0.63636363636363635</v>
      </c>
    </row>
    <row r="3063" spans="1:9" ht="15.75" customHeight="1">
      <c r="A3063" s="4" t="s">
        <v>121</v>
      </c>
      <c r="B3063" s="1">
        <v>4.8</v>
      </c>
      <c r="C3063" s="1">
        <v>331</v>
      </c>
      <c r="D3063" s="1" t="s">
        <v>11</v>
      </c>
      <c r="E3063" s="1" t="s">
        <v>15</v>
      </c>
      <c r="F3063" s="1">
        <f t="shared" si="102"/>
        <v>480</v>
      </c>
      <c r="G3063" s="5">
        <f t="shared" si="101"/>
        <v>0.68958333333333333</v>
      </c>
    </row>
    <row r="3064" spans="1:9" ht="15.75" customHeight="1">
      <c r="A3064" s="4" t="s">
        <v>121</v>
      </c>
      <c r="B3064" s="1">
        <v>6.13</v>
      </c>
      <c r="C3064" s="1">
        <v>218.2</v>
      </c>
      <c r="D3064" s="1" t="s">
        <v>40</v>
      </c>
      <c r="E3064" s="1" t="s">
        <v>17</v>
      </c>
      <c r="F3064" s="1">
        <f t="shared" si="102"/>
        <v>613</v>
      </c>
      <c r="G3064" s="5">
        <f t="shared" si="101"/>
        <v>0.35595432300163132</v>
      </c>
    </row>
    <row r="3065" spans="1:9" ht="15.75" customHeight="1">
      <c r="A3065" s="4" t="s">
        <v>121</v>
      </c>
      <c r="B3065" s="1">
        <v>6.3</v>
      </c>
      <c r="C3065" s="1">
        <v>832</v>
      </c>
      <c r="D3065" s="1" t="s">
        <v>42</v>
      </c>
      <c r="E3065" s="1" t="s">
        <v>10</v>
      </c>
      <c r="F3065" s="1">
        <f t="shared" si="102"/>
        <v>630</v>
      </c>
      <c r="G3065" s="5">
        <f t="shared" si="101"/>
        <v>1.3206349206349206</v>
      </c>
    </row>
    <row r="3066" spans="1:9" ht="15.75" customHeight="1">
      <c r="A3066" s="4" t="s">
        <v>121</v>
      </c>
      <c r="B3066" s="1">
        <v>5.39</v>
      </c>
      <c r="C3066" s="1">
        <v>391</v>
      </c>
      <c r="D3066" s="1" t="s">
        <v>11</v>
      </c>
      <c r="E3066" s="1" t="s">
        <v>26</v>
      </c>
      <c r="F3066" s="1">
        <f t="shared" si="102"/>
        <v>539</v>
      </c>
      <c r="G3066" s="5">
        <f t="shared" si="101"/>
        <v>0.72541743970315398</v>
      </c>
    </row>
    <row r="3067" spans="1:9" ht="15.75" customHeight="1">
      <c r="A3067" s="4" t="s">
        <v>121</v>
      </c>
      <c r="B3067" s="1">
        <v>7.74</v>
      </c>
      <c r="C3067" s="1">
        <v>494</v>
      </c>
      <c r="D3067" s="1" t="s">
        <v>11</v>
      </c>
      <c r="E3067" s="1" t="s">
        <v>29</v>
      </c>
      <c r="F3067" s="1">
        <f t="shared" si="102"/>
        <v>774</v>
      </c>
      <c r="G3067" s="5">
        <f t="shared" si="101"/>
        <v>0.63824289405684753</v>
      </c>
    </row>
    <row r="3068" spans="1:9" ht="15.75" customHeight="1">
      <c r="A3068" s="4" t="s">
        <v>121</v>
      </c>
      <c r="B3068" s="1">
        <v>9.5</v>
      </c>
      <c r="C3068" s="1">
        <v>337</v>
      </c>
      <c r="D3068" s="1" t="s">
        <v>79</v>
      </c>
      <c r="E3068" s="1" t="s">
        <v>8</v>
      </c>
      <c r="F3068" s="1">
        <f t="shared" si="102"/>
        <v>950</v>
      </c>
      <c r="G3068" s="5">
        <f t="shared" si="101"/>
        <v>0.35473684210526318</v>
      </c>
      <c r="I3068">
        <f>AVERAGE(G2:G3068)</f>
        <v>0.85628496468875326</v>
      </c>
    </row>
    <row r="3069" spans="1:9" ht="15.75" customHeight="1">
      <c r="A3069" s="4" t="s">
        <v>121</v>
      </c>
      <c r="B3069" s="1">
        <v>5.6</v>
      </c>
      <c r="C3069" s="1">
        <v>150</v>
      </c>
      <c r="D3069" s="1" t="s">
        <v>33</v>
      </c>
      <c r="E3069" s="1" t="s">
        <v>29</v>
      </c>
      <c r="F3069" s="1">
        <f t="shared" si="102"/>
        <v>560</v>
      </c>
      <c r="G3069" s="5">
        <f t="shared" si="101"/>
        <v>0.26785714285714285</v>
      </c>
    </row>
    <row r="3070" spans="1:9" ht="15.75" customHeight="1">
      <c r="A3070" s="4" t="s">
        <v>121</v>
      </c>
      <c r="B3070" s="1">
        <v>3.48</v>
      </c>
      <c r="C3070" s="1">
        <v>162</v>
      </c>
      <c r="D3070" s="1" t="s">
        <v>47</v>
      </c>
      <c r="E3070" s="1" t="s">
        <v>7</v>
      </c>
      <c r="F3070" s="1">
        <f t="shared" si="102"/>
        <v>348</v>
      </c>
      <c r="G3070" s="5">
        <f t="shared" si="101"/>
        <v>0.46551724137931033</v>
      </c>
    </row>
    <row r="3071" spans="1:9" ht="15.75" customHeight="1">
      <c r="A3071" s="4" t="s">
        <v>121</v>
      </c>
      <c r="B3071" s="1">
        <v>7.5</v>
      </c>
      <c r="C3071" s="1">
        <v>393</v>
      </c>
      <c r="D3071" s="1" t="s">
        <v>42</v>
      </c>
      <c r="E3071" s="1" t="s">
        <v>8</v>
      </c>
      <c r="F3071" s="1">
        <f t="shared" si="102"/>
        <v>750</v>
      </c>
      <c r="G3071" s="5">
        <f t="shared" si="101"/>
        <v>0.52400000000000002</v>
      </c>
    </row>
    <row r="3072" spans="1:9" ht="15.75" customHeight="1">
      <c r="A3072" s="4" t="s">
        <v>122</v>
      </c>
      <c r="B3072" s="1">
        <v>5.39</v>
      </c>
      <c r="C3072" s="1">
        <v>134</v>
      </c>
      <c r="D3072" s="1" t="s">
        <v>44</v>
      </c>
      <c r="E3072" s="1" t="s">
        <v>15</v>
      </c>
      <c r="F3072" s="1">
        <f t="shared" si="102"/>
        <v>539</v>
      </c>
      <c r="G3072" s="5">
        <f t="shared" si="101"/>
        <v>0.24860853432282004</v>
      </c>
    </row>
    <row r="3073" spans="1:7" ht="15.75" customHeight="1">
      <c r="A3073" s="4" t="s">
        <v>122</v>
      </c>
      <c r="B3073" s="1">
        <v>6</v>
      </c>
      <c r="C3073" s="1">
        <v>107</v>
      </c>
      <c r="D3073" s="1" t="s">
        <v>33</v>
      </c>
      <c r="E3073" s="1" t="s">
        <v>16</v>
      </c>
      <c r="F3073" s="1">
        <f t="shared" si="102"/>
        <v>600</v>
      </c>
      <c r="G3073" s="5">
        <f t="shared" si="101"/>
        <v>0.17833333333333334</v>
      </c>
    </row>
    <row r="3074" spans="1:7" ht="15.75" customHeight="1">
      <c r="A3074" s="4" t="s">
        <v>122</v>
      </c>
      <c r="B3074" s="1">
        <v>7.56</v>
      </c>
      <c r="C3074" s="1">
        <v>77</v>
      </c>
      <c r="D3074" s="1" t="s">
        <v>11</v>
      </c>
      <c r="E3074" s="1" t="s">
        <v>7</v>
      </c>
      <c r="F3074" s="1">
        <f t="shared" si="102"/>
        <v>756</v>
      </c>
      <c r="G3074" s="5">
        <f t="shared" ref="G3074:G3137" si="103">C3074/F3074</f>
        <v>0.10185185185185185</v>
      </c>
    </row>
    <row r="3075" spans="1:7" ht="15.75" customHeight="1">
      <c r="A3075" s="4" t="s">
        <v>122</v>
      </c>
      <c r="B3075" s="1">
        <v>8.6999999999999993</v>
      </c>
      <c r="C3075" s="1">
        <v>285</v>
      </c>
      <c r="D3075" s="1" t="s">
        <v>11</v>
      </c>
      <c r="E3075" s="1" t="s">
        <v>10</v>
      </c>
      <c r="F3075" s="1">
        <f t="shared" ref="F3075:F3138" si="104">B3075*100</f>
        <v>869.99999999999989</v>
      </c>
      <c r="G3075" s="5">
        <f t="shared" si="103"/>
        <v>0.32758620689655177</v>
      </c>
    </row>
    <row r="3076" spans="1:7" ht="15.75" customHeight="1">
      <c r="A3076" s="4" t="s">
        <v>122</v>
      </c>
      <c r="B3076" s="1">
        <v>6.88</v>
      </c>
      <c r="C3076" s="1">
        <v>78</v>
      </c>
      <c r="D3076" s="1" t="s">
        <v>33</v>
      </c>
      <c r="E3076" s="1" t="s">
        <v>10</v>
      </c>
      <c r="F3076" s="1">
        <f t="shared" si="104"/>
        <v>688</v>
      </c>
      <c r="G3076" s="5">
        <f t="shared" si="103"/>
        <v>0.11337209302325581</v>
      </c>
    </row>
    <row r="3077" spans="1:7" ht="15.75" customHeight="1">
      <c r="A3077" s="4" t="s">
        <v>122</v>
      </c>
      <c r="B3077" s="1">
        <v>4</v>
      </c>
      <c r="C3077" s="1">
        <v>67.19</v>
      </c>
      <c r="D3077" s="1" t="s">
        <v>43</v>
      </c>
      <c r="E3077" s="1" t="s">
        <v>22</v>
      </c>
      <c r="F3077" s="1">
        <f t="shared" si="104"/>
        <v>400</v>
      </c>
      <c r="G3077" s="5">
        <f t="shared" si="103"/>
        <v>0.16797499999999999</v>
      </c>
    </row>
    <row r="3078" spans="1:7" ht="15.75" customHeight="1">
      <c r="A3078" s="4" t="s">
        <v>122</v>
      </c>
      <c r="B3078" s="1">
        <v>6.8</v>
      </c>
      <c r="C3078" s="1">
        <v>140</v>
      </c>
      <c r="D3078" s="1" t="s">
        <v>11</v>
      </c>
      <c r="E3078" s="1" t="s">
        <v>23</v>
      </c>
      <c r="F3078" s="1">
        <f t="shared" si="104"/>
        <v>680</v>
      </c>
      <c r="G3078" s="5">
        <f t="shared" si="103"/>
        <v>0.20588235294117646</v>
      </c>
    </row>
    <row r="3079" spans="1:7" ht="15.75" customHeight="1">
      <c r="A3079" s="4" t="s">
        <v>122</v>
      </c>
      <c r="B3079" s="1">
        <v>6.5</v>
      </c>
      <c r="C3079" s="1">
        <v>160</v>
      </c>
      <c r="D3079" s="1" t="s">
        <v>39</v>
      </c>
      <c r="E3079" s="1" t="s">
        <v>16</v>
      </c>
      <c r="F3079" s="1">
        <f t="shared" si="104"/>
        <v>650</v>
      </c>
      <c r="G3079" s="5">
        <f t="shared" si="103"/>
        <v>0.24615384615384617</v>
      </c>
    </row>
    <row r="3080" spans="1:7" ht="15.75" customHeight="1">
      <c r="A3080" s="4" t="s">
        <v>122</v>
      </c>
      <c r="B3080" s="1">
        <v>8.8000000000000007</v>
      </c>
      <c r="C3080" s="1">
        <v>218</v>
      </c>
      <c r="D3080" s="1" t="s">
        <v>111</v>
      </c>
      <c r="E3080" s="1" t="s">
        <v>32</v>
      </c>
      <c r="F3080" s="1">
        <f t="shared" si="104"/>
        <v>880.00000000000011</v>
      </c>
      <c r="G3080" s="5">
        <f t="shared" si="103"/>
        <v>0.24772727272727268</v>
      </c>
    </row>
    <row r="3081" spans="1:7" ht="15.75" customHeight="1">
      <c r="A3081" s="4" t="s">
        <v>122</v>
      </c>
      <c r="B3081" s="1">
        <v>6.88</v>
      </c>
      <c r="C3081" s="1">
        <v>109</v>
      </c>
      <c r="D3081" s="1" t="s">
        <v>53</v>
      </c>
      <c r="E3081" s="1" t="s">
        <v>16</v>
      </c>
      <c r="F3081" s="1">
        <f t="shared" si="104"/>
        <v>688</v>
      </c>
      <c r="G3081" s="5">
        <f t="shared" si="103"/>
        <v>0.15843023255813954</v>
      </c>
    </row>
    <row r="3082" spans="1:7" ht="15.75" customHeight="1">
      <c r="A3082" s="4" t="s">
        <v>122</v>
      </c>
      <c r="B3082" s="1">
        <v>10</v>
      </c>
      <c r="C3082" s="1">
        <v>131</v>
      </c>
      <c r="D3082" s="1" t="s">
        <v>111</v>
      </c>
      <c r="E3082" s="1" t="s">
        <v>27</v>
      </c>
      <c r="F3082" s="1">
        <f t="shared" si="104"/>
        <v>1000</v>
      </c>
      <c r="G3082" s="5">
        <f t="shared" si="103"/>
        <v>0.13100000000000001</v>
      </c>
    </row>
    <row r="3083" spans="1:7" ht="15.75" customHeight="1">
      <c r="A3083" s="4" t="s">
        <v>122</v>
      </c>
      <c r="B3083" s="1">
        <v>7.4</v>
      </c>
      <c r="C3083" s="1">
        <v>44</v>
      </c>
      <c r="D3083" s="1" t="s">
        <v>55</v>
      </c>
      <c r="E3083" s="1" t="s">
        <v>17</v>
      </c>
      <c r="F3083" s="1">
        <f t="shared" si="104"/>
        <v>740</v>
      </c>
      <c r="G3083" s="5">
        <f t="shared" si="103"/>
        <v>5.9459459459459463E-2</v>
      </c>
    </row>
    <row r="3084" spans="1:7" ht="15.75" customHeight="1">
      <c r="A3084" s="4" t="s">
        <v>122</v>
      </c>
      <c r="B3084" s="1">
        <v>4.3</v>
      </c>
      <c r="C3084" s="1">
        <v>103</v>
      </c>
      <c r="D3084" s="1" t="s">
        <v>11</v>
      </c>
      <c r="E3084" s="1" t="s">
        <v>12</v>
      </c>
      <c r="F3084" s="1">
        <f t="shared" si="104"/>
        <v>430</v>
      </c>
      <c r="G3084" s="5">
        <f t="shared" si="103"/>
        <v>0.23953488372093024</v>
      </c>
    </row>
    <row r="3085" spans="1:7" ht="15.75" customHeight="1">
      <c r="A3085" s="4" t="s">
        <v>122</v>
      </c>
      <c r="B3085" s="1">
        <v>8</v>
      </c>
      <c r="C3085" s="1">
        <v>190</v>
      </c>
      <c r="D3085" s="1" t="s">
        <v>11</v>
      </c>
      <c r="E3085" s="1" t="s">
        <v>22</v>
      </c>
      <c r="F3085" s="1">
        <f t="shared" si="104"/>
        <v>800</v>
      </c>
      <c r="G3085" s="5">
        <f t="shared" si="103"/>
        <v>0.23749999999999999</v>
      </c>
    </row>
    <row r="3086" spans="1:7" ht="15.75" customHeight="1">
      <c r="A3086" s="4" t="s">
        <v>122</v>
      </c>
      <c r="B3086" s="1">
        <v>6.4</v>
      </c>
      <c r="C3086" s="1">
        <v>117.6</v>
      </c>
      <c r="D3086" s="1" t="s">
        <v>35</v>
      </c>
      <c r="E3086" s="1" t="s">
        <v>18</v>
      </c>
      <c r="F3086" s="1">
        <f t="shared" si="104"/>
        <v>640</v>
      </c>
      <c r="G3086" s="5">
        <f t="shared" si="103"/>
        <v>0.18375</v>
      </c>
    </row>
    <row r="3087" spans="1:7" ht="15.75" customHeight="1">
      <c r="A3087" s="4" t="s">
        <v>122</v>
      </c>
      <c r="B3087" s="1">
        <v>7.92</v>
      </c>
      <c r="C3087" s="1">
        <v>235</v>
      </c>
      <c r="D3087" s="1" t="s">
        <v>11</v>
      </c>
      <c r="E3087" s="1" t="s">
        <v>30</v>
      </c>
      <c r="F3087" s="1">
        <f t="shared" si="104"/>
        <v>792</v>
      </c>
      <c r="G3087" s="5">
        <f t="shared" si="103"/>
        <v>0.29671717171717171</v>
      </c>
    </row>
    <row r="3088" spans="1:7" ht="15.75" customHeight="1">
      <c r="A3088" s="4" t="s">
        <v>122</v>
      </c>
      <c r="B3088" s="1">
        <v>6</v>
      </c>
      <c r="C3088" s="1">
        <v>144</v>
      </c>
      <c r="D3088" s="1" t="s">
        <v>11</v>
      </c>
      <c r="E3088" s="1" t="s">
        <v>8</v>
      </c>
      <c r="F3088" s="1">
        <f t="shared" si="104"/>
        <v>600</v>
      </c>
      <c r="G3088" s="5">
        <f t="shared" si="103"/>
        <v>0.24</v>
      </c>
    </row>
    <row r="3089" spans="1:7" ht="15.75" customHeight="1">
      <c r="A3089" s="4" t="s">
        <v>122</v>
      </c>
      <c r="B3089" s="1">
        <v>7.9</v>
      </c>
      <c r="C3089" s="1">
        <v>170</v>
      </c>
      <c r="D3089" s="1" t="s">
        <v>11</v>
      </c>
      <c r="E3089" s="1" t="s">
        <v>27</v>
      </c>
      <c r="F3089" s="1">
        <f t="shared" si="104"/>
        <v>790</v>
      </c>
      <c r="G3089" s="5">
        <f t="shared" si="103"/>
        <v>0.21518987341772153</v>
      </c>
    </row>
    <row r="3090" spans="1:7" ht="15.75" customHeight="1">
      <c r="A3090" s="4" t="s">
        <v>122</v>
      </c>
      <c r="B3090" s="1">
        <v>6.09</v>
      </c>
      <c r="C3090" s="1">
        <v>152</v>
      </c>
      <c r="D3090" s="1" t="s">
        <v>11</v>
      </c>
      <c r="E3090" s="1" t="s">
        <v>26</v>
      </c>
      <c r="F3090" s="1">
        <f t="shared" si="104"/>
        <v>609</v>
      </c>
      <c r="G3090" s="5">
        <f t="shared" si="103"/>
        <v>0.24958949096880131</v>
      </c>
    </row>
    <row r="3091" spans="1:7" ht="15.75" customHeight="1">
      <c r="A3091" s="4" t="s">
        <v>122</v>
      </c>
      <c r="B3091" s="1">
        <v>8.8000000000000007</v>
      </c>
      <c r="C3091" s="1">
        <v>98</v>
      </c>
      <c r="D3091" s="1" t="s">
        <v>35</v>
      </c>
      <c r="E3091" s="1" t="s">
        <v>20</v>
      </c>
      <c r="F3091" s="1">
        <f t="shared" si="104"/>
        <v>880.00000000000011</v>
      </c>
      <c r="G3091" s="5">
        <f t="shared" si="103"/>
        <v>0.11136363636363635</v>
      </c>
    </row>
    <row r="3092" spans="1:7" ht="15.75" customHeight="1">
      <c r="A3092" s="4" t="s">
        <v>122</v>
      </c>
      <c r="B3092" s="1">
        <v>6</v>
      </c>
      <c r="C3092" s="1">
        <v>87</v>
      </c>
      <c r="D3092" s="1" t="s">
        <v>11</v>
      </c>
      <c r="E3092" s="1" t="s">
        <v>12</v>
      </c>
      <c r="F3092" s="1">
        <f t="shared" si="104"/>
        <v>600</v>
      </c>
      <c r="G3092" s="5">
        <f t="shared" si="103"/>
        <v>0.14499999999999999</v>
      </c>
    </row>
    <row r="3093" spans="1:7" ht="15.75" customHeight="1">
      <c r="A3093" s="4" t="s">
        <v>122</v>
      </c>
      <c r="B3093" s="1">
        <v>7.2</v>
      </c>
      <c r="C3093" s="1">
        <v>115</v>
      </c>
      <c r="D3093" s="1" t="s">
        <v>33</v>
      </c>
      <c r="E3093" s="1" t="s">
        <v>15</v>
      </c>
      <c r="F3093" s="1">
        <f t="shared" si="104"/>
        <v>720</v>
      </c>
      <c r="G3093" s="5">
        <f t="shared" si="103"/>
        <v>0.15972222222222221</v>
      </c>
    </row>
    <row r="3094" spans="1:7" ht="15.75" customHeight="1">
      <c r="A3094" s="4" t="s">
        <v>122</v>
      </c>
      <c r="B3094" s="1">
        <v>8.1</v>
      </c>
      <c r="C3094" s="1">
        <v>183</v>
      </c>
      <c r="D3094" s="1" t="s">
        <v>42</v>
      </c>
      <c r="E3094" s="1" t="s">
        <v>10</v>
      </c>
      <c r="F3094" s="1">
        <f t="shared" si="104"/>
        <v>810</v>
      </c>
      <c r="G3094" s="5">
        <f t="shared" si="103"/>
        <v>0.22592592592592592</v>
      </c>
    </row>
    <row r="3095" spans="1:7" ht="15.75" customHeight="1">
      <c r="A3095" s="4" t="s">
        <v>122</v>
      </c>
      <c r="B3095" s="1">
        <v>4.9000000000000004</v>
      </c>
      <c r="C3095" s="1">
        <v>126</v>
      </c>
      <c r="D3095" s="1" t="s">
        <v>44</v>
      </c>
      <c r="E3095" s="1" t="s">
        <v>15</v>
      </c>
      <c r="F3095" s="1">
        <f t="shared" si="104"/>
        <v>490.00000000000006</v>
      </c>
      <c r="G3095" s="5">
        <f t="shared" si="103"/>
        <v>0.25714285714285712</v>
      </c>
    </row>
    <row r="3096" spans="1:7" ht="15.75" customHeight="1">
      <c r="A3096" s="4" t="s">
        <v>122</v>
      </c>
      <c r="B3096" s="1">
        <v>8.6999999999999993</v>
      </c>
      <c r="C3096" s="1">
        <v>139</v>
      </c>
      <c r="D3096" s="1" t="s">
        <v>33</v>
      </c>
      <c r="E3096" s="1" t="s">
        <v>26</v>
      </c>
      <c r="F3096" s="1">
        <f t="shared" si="104"/>
        <v>869.99999999999989</v>
      </c>
      <c r="G3096" s="5">
        <f t="shared" si="103"/>
        <v>0.15977011494252877</v>
      </c>
    </row>
    <row r="3097" spans="1:7" ht="15.75" customHeight="1">
      <c r="A3097" s="4" t="s">
        <v>122</v>
      </c>
      <c r="B3097" s="1">
        <v>3.915</v>
      </c>
      <c r="C3097" s="1">
        <v>1.95</v>
      </c>
      <c r="D3097" s="1" t="s">
        <v>35</v>
      </c>
      <c r="E3097" s="1" t="s">
        <v>10</v>
      </c>
      <c r="F3097" s="1">
        <f t="shared" si="104"/>
        <v>391.5</v>
      </c>
      <c r="G3097" s="5">
        <f t="shared" si="103"/>
        <v>4.9808429118773949E-3</v>
      </c>
    </row>
    <row r="3098" spans="1:7" ht="15.75" customHeight="1">
      <c r="A3098" s="4" t="s">
        <v>122</v>
      </c>
      <c r="B3098" s="1">
        <v>7.74</v>
      </c>
      <c r="C3098" s="1">
        <v>115.4</v>
      </c>
      <c r="D3098" s="1" t="s">
        <v>37</v>
      </c>
      <c r="E3098" s="1" t="s">
        <v>7</v>
      </c>
      <c r="F3098" s="1">
        <f t="shared" si="104"/>
        <v>774</v>
      </c>
      <c r="G3098" s="5">
        <f t="shared" si="103"/>
        <v>0.14909560723514212</v>
      </c>
    </row>
    <row r="3099" spans="1:7" ht="15.75" customHeight="1">
      <c r="A3099" s="4" t="s">
        <v>122</v>
      </c>
      <c r="B3099" s="1">
        <v>5</v>
      </c>
      <c r="C3099" s="1">
        <v>212</v>
      </c>
      <c r="D3099" s="1" t="s">
        <v>39</v>
      </c>
      <c r="E3099" s="1" t="s">
        <v>22</v>
      </c>
      <c r="F3099" s="1">
        <f t="shared" si="104"/>
        <v>500</v>
      </c>
      <c r="G3099" s="5">
        <f t="shared" si="103"/>
        <v>0.42399999999999999</v>
      </c>
    </row>
    <row r="3100" spans="1:7" ht="15.75" customHeight="1">
      <c r="A3100" s="4" t="s">
        <v>122</v>
      </c>
      <c r="B3100" s="1">
        <v>6.2</v>
      </c>
      <c r="C3100" s="1">
        <v>157</v>
      </c>
      <c r="D3100" s="1" t="s">
        <v>11</v>
      </c>
      <c r="E3100" s="1" t="s">
        <v>7</v>
      </c>
      <c r="F3100" s="1">
        <f t="shared" si="104"/>
        <v>620</v>
      </c>
      <c r="G3100" s="5">
        <f t="shared" si="103"/>
        <v>0.25322580645161291</v>
      </c>
    </row>
    <row r="3101" spans="1:7" ht="15.75" customHeight="1">
      <c r="A3101" s="4" t="s">
        <v>122</v>
      </c>
      <c r="B3101" s="1">
        <v>8</v>
      </c>
      <c r="C3101" s="1">
        <v>153</v>
      </c>
      <c r="D3101" s="1" t="s">
        <v>52</v>
      </c>
      <c r="E3101" s="1" t="s">
        <v>29</v>
      </c>
      <c r="F3101" s="1">
        <f t="shared" si="104"/>
        <v>800</v>
      </c>
      <c r="G3101" s="5">
        <f t="shared" si="103"/>
        <v>0.19125</v>
      </c>
    </row>
    <row r="3102" spans="1:7" ht="15.75" customHeight="1">
      <c r="A3102" s="4" t="s">
        <v>122</v>
      </c>
      <c r="B3102" s="1">
        <v>3.44</v>
      </c>
      <c r="C3102" s="1">
        <v>103</v>
      </c>
      <c r="D3102" s="1" t="s">
        <v>43</v>
      </c>
      <c r="E3102" s="1" t="s">
        <v>8</v>
      </c>
      <c r="F3102" s="1">
        <f t="shared" si="104"/>
        <v>344</v>
      </c>
      <c r="G3102" s="5">
        <f t="shared" si="103"/>
        <v>0.29941860465116277</v>
      </c>
    </row>
    <row r="3103" spans="1:7" ht="15.75" customHeight="1">
      <c r="A3103" s="4" t="s">
        <v>122</v>
      </c>
      <c r="B3103" s="1">
        <v>6.8</v>
      </c>
      <c r="C3103" s="1">
        <v>110</v>
      </c>
      <c r="D3103" s="1" t="s">
        <v>33</v>
      </c>
      <c r="E3103" s="1" t="s">
        <v>20</v>
      </c>
      <c r="F3103" s="1">
        <f t="shared" si="104"/>
        <v>680</v>
      </c>
      <c r="G3103" s="5">
        <f t="shared" si="103"/>
        <v>0.16176470588235295</v>
      </c>
    </row>
    <row r="3104" spans="1:7" ht="15.75" customHeight="1">
      <c r="A3104" s="4" t="s">
        <v>122</v>
      </c>
      <c r="B3104" s="1">
        <v>5.5</v>
      </c>
      <c r="C3104" s="1">
        <v>59</v>
      </c>
      <c r="D3104" s="1" t="s">
        <v>102</v>
      </c>
      <c r="E3104" s="1" t="s">
        <v>26</v>
      </c>
      <c r="F3104" s="1">
        <f t="shared" si="104"/>
        <v>550</v>
      </c>
      <c r="G3104" s="5">
        <f t="shared" si="103"/>
        <v>0.10727272727272727</v>
      </c>
    </row>
    <row r="3105" spans="1:7" ht="15.75" customHeight="1">
      <c r="A3105" s="4" t="s">
        <v>122</v>
      </c>
      <c r="B3105" s="1">
        <v>5.6</v>
      </c>
      <c r="C3105" s="1">
        <v>63</v>
      </c>
      <c r="D3105" s="1" t="s">
        <v>33</v>
      </c>
      <c r="E3105" s="1" t="s">
        <v>9</v>
      </c>
      <c r="F3105" s="1">
        <f t="shared" si="104"/>
        <v>560</v>
      </c>
      <c r="G3105" s="5">
        <f t="shared" si="103"/>
        <v>0.1125</v>
      </c>
    </row>
    <row r="3106" spans="1:7" ht="15.75" customHeight="1">
      <c r="A3106" s="4" t="s">
        <v>122</v>
      </c>
      <c r="B3106" s="1">
        <v>5.4</v>
      </c>
      <c r="C3106" s="1">
        <v>161</v>
      </c>
      <c r="D3106" s="1" t="s">
        <v>38</v>
      </c>
      <c r="E3106" s="1" t="s">
        <v>8</v>
      </c>
      <c r="F3106" s="1">
        <f t="shared" si="104"/>
        <v>540</v>
      </c>
      <c r="G3106" s="5">
        <f t="shared" si="103"/>
        <v>0.29814814814814816</v>
      </c>
    </row>
    <row r="3107" spans="1:7" ht="15.75" customHeight="1">
      <c r="A3107" s="4" t="s">
        <v>122</v>
      </c>
      <c r="B3107" s="1">
        <v>7.8</v>
      </c>
      <c r="C3107" s="1">
        <v>166</v>
      </c>
      <c r="D3107" s="1" t="s">
        <v>11</v>
      </c>
      <c r="E3107" s="1" t="s">
        <v>8</v>
      </c>
      <c r="F3107" s="1">
        <f t="shared" si="104"/>
        <v>780</v>
      </c>
      <c r="G3107" s="5">
        <f t="shared" si="103"/>
        <v>0.21282051282051281</v>
      </c>
    </row>
    <row r="3108" spans="1:7" ht="15.75" customHeight="1">
      <c r="A3108" s="4" t="s">
        <v>122</v>
      </c>
      <c r="B3108" s="1">
        <v>6.02</v>
      </c>
      <c r="C3108" s="1">
        <v>107</v>
      </c>
      <c r="D3108" s="1" t="s">
        <v>38</v>
      </c>
      <c r="E3108" s="1" t="s">
        <v>8</v>
      </c>
      <c r="F3108" s="1">
        <f t="shared" si="104"/>
        <v>602</v>
      </c>
      <c r="G3108" s="5">
        <f t="shared" si="103"/>
        <v>0.17774086378737541</v>
      </c>
    </row>
    <row r="3109" spans="1:7" ht="15.75" customHeight="1">
      <c r="A3109" s="4" t="s">
        <v>122</v>
      </c>
      <c r="B3109" s="1">
        <v>9.68</v>
      </c>
      <c r="C3109" s="1">
        <v>205</v>
      </c>
      <c r="D3109" s="1" t="s">
        <v>47</v>
      </c>
      <c r="E3109" s="1" t="s">
        <v>29</v>
      </c>
      <c r="F3109" s="1">
        <f t="shared" si="104"/>
        <v>968</v>
      </c>
      <c r="G3109" s="5">
        <f t="shared" si="103"/>
        <v>0.21177685950413222</v>
      </c>
    </row>
    <row r="3110" spans="1:7" ht="15.75" customHeight="1">
      <c r="A3110" s="4" t="s">
        <v>122</v>
      </c>
      <c r="B3110" s="1">
        <v>6.44</v>
      </c>
      <c r="C3110" s="1">
        <v>133</v>
      </c>
      <c r="D3110" s="1" t="s">
        <v>42</v>
      </c>
      <c r="E3110" s="1" t="s">
        <v>18</v>
      </c>
      <c r="F3110" s="1">
        <f t="shared" si="104"/>
        <v>644</v>
      </c>
      <c r="G3110" s="5">
        <f t="shared" si="103"/>
        <v>0.20652173913043478</v>
      </c>
    </row>
    <row r="3111" spans="1:7" ht="15.75" customHeight="1">
      <c r="A3111" s="4" t="s">
        <v>122</v>
      </c>
      <c r="B3111" s="1">
        <v>3.3</v>
      </c>
      <c r="C3111" s="1">
        <v>46</v>
      </c>
      <c r="D3111" s="1" t="s">
        <v>39</v>
      </c>
      <c r="E3111" s="1" t="s">
        <v>27</v>
      </c>
      <c r="F3111" s="1">
        <f t="shared" si="104"/>
        <v>330</v>
      </c>
      <c r="G3111" s="5">
        <f t="shared" si="103"/>
        <v>0.1393939393939394</v>
      </c>
    </row>
    <row r="3112" spans="1:7" ht="15.75" customHeight="1">
      <c r="A3112" s="4" t="s">
        <v>122</v>
      </c>
      <c r="B3112" s="1">
        <v>5.16</v>
      </c>
      <c r="C3112" s="1">
        <v>84</v>
      </c>
      <c r="D3112" s="1" t="s">
        <v>48</v>
      </c>
      <c r="E3112" s="1" t="s">
        <v>30</v>
      </c>
      <c r="F3112" s="1">
        <f t="shared" si="104"/>
        <v>516</v>
      </c>
      <c r="G3112" s="5">
        <f t="shared" si="103"/>
        <v>0.16279069767441862</v>
      </c>
    </row>
    <row r="3113" spans="1:7" ht="15.75" customHeight="1">
      <c r="A3113" s="4" t="s">
        <v>122</v>
      </c>
      <c r="B3113" s="1">
        <v>3</v>
      </c>
      <c r="C3113" s="1">
        <v>78</v>
      </c>
      <c r="D3113" s="1" t="s">
        <v>38</v>
      </c>
      <c r="E3113" s="1" t="s">
        <v>15</v>
      </c>
      <c r="F3113" s="1">
        <f t="shared" si="104"/>
        <v>300</v>
      </c>
      <c r="G3113" s="5">
        <f t="shared" si="103"/>
        <v>0.26</v>
      </c>
    </row>
    <row r="3114" spans="1:7" ht="15.75" customHeight="1">
      <c r="A3114" s="4" t="s">
        <v>122</v>
      </c>
      <c r="B3114" s="1">
        <v>10</v>
      </c>
      <c r="C3114" s="1">
        <v>3</v>
      </c>
      <c r="D3114" s="1" t="s">
        <v>33</v>
      </c>
      <c r="E3114" s="1" t="s">
        <v>28</v>
      </c>
      <c r="F3114" s="1">
        <f t="shared" si="104"/>
        <v>1000</v>
      </c>
      <c r="G3114" s="5">
        <f t="shared" si="103"/>
        <v>3.0000000000000001E-3</v>
      </c>
    </row>
    <row r="3115" spans="1:7" ht="15.75" customHeight="1">
      <c r="A3115" s="4" t="s">
        <v>122</v>
      </c>
      <c r="B3115" s="1">
        <v>8</v>
      </c>
      <c r="C3115" s="1">
        <v>220</v>
      </c>
      <c r="D3115" s="1" t="s">
        <v>47</v>
      </c>
      <c r="E3115" s="1" t="s">
        <v>22</v>
      </c>
      <c r="F3115" s="1">
        <f t="shared" si="104"/>
        <v>800</v>
      </c>
      <c r="G3115" s="5">
        <f t="shared" si="103"/>
        <v>0.27500000000000002</v>
      </c>
    </row>
    <row r="3116" spans="1:7" ht="15.75" customHeight="1">
      <c r="A3116" s="4" t="s">
        <v>122</v>
      </c>
      <c r="B3116" s="1">
        <v>5.2</v>
      </c>
      <c r="C3116" s="1">
        <v>147</v>
      </c>
      <c r="D3116" s="1" t="s">
        <v>38</v>
      </c>
      <c r="E3116" s="1" t="s">
        <v>9</v>
      </c>
      <c r="F3116" s="1">
        <f t="shared" si="104"/>
        <v>520</v>
      </c>
      <c r="G3116" s="5">
        <f t="shared" si="103"/>
        <v>0.28269230769230769</v>
      </c>
    </row>
    <row r="3117" spans="1:7" ht="15.75" customHeight="1">
      <c r="A3117" s="4" t="s">
        <v>122</v>
      </c>
      <c r="B3117" s="1">
        <v>7.36</v>
      </c>
      <c r="C3117" s="1">
        <v>129</v>
      </c>
      <c r="D3117" s="1" t="s">
        <v>37</v>
      </c>
      <c r="E3117" s="1" t="s">
        <v>15</v>
      </c>
      <c r="F3117" s="1">
        <f t="shared" si="104"/>
        <v>736</v>
      </c>
      <c r="G3117" s="5">
        <f t="shared" si="103"/>
        <v>0.17527173913043478</v>
      </c>
    </row>
    <row r="3118" spans="1:7" ht="15.75" customHeight="1">
      <c r="A3118" s="4" t="s">
        <v>122</v>
      </c>
      <c r="B3118" s="1">
        <v>3.44</v>
      </c>
      <c r="C3118" s="1">
        <v>83</v>
      </c>
      <c r="D3118" s="1" t="s">
        <v>11</v>
      </c>
      <c r="E3118" s="1" t="s">
        <v>9</v>
      </c>
      <c r="F3118" s="1">
        <f t="shared" si="104"/>
        <v>344</v>
      </c>
      <c r="G3118" s="5">
        <f t="shared" si="103"/>
        <v>0.24127906976744187</v>
      </c>
    </row>
    <row r="3119" spans="1:7" ht="15.75" customHeight="1">
      <c r="A3119" s="4" t="s">
        <v>122</v>
      </c>
      <c r="B3119" s="1">
        <v>6.1</v>
      </c>
      <c r="C3119" s="1">
        <v>157</v>
      </c>
      <c r="D3119" s="1" t="s">
        <v>11</v>
      </c>
      <c r="E3119" s="1" t="s">
        <v>69</v>
      </c>
      <c r="F3119" s="1">
        <f t="shared" si="104"/>
        <v>610</v>
      </c>
      <c r="G3119" s="5">
        <f t="shared" si="103"/>
        <v>0.25737704918032789</v>
      </c>
    </row>
    <row r="3120" spans="1:7" ht="15.75" customHeight="1">
      <c r="A3120" s="4" t="s">
        <v>122</v>
      </c>
      <c r="B3120" s="1">
        <v>6.88</v>
      </c>
      <c r="C3120" s="1">
        <v>162</v>
      </c>
      <c r="D3120" s="1" t="s">
        <v>11</v>
      </c>
      <c r="E3120" s="1" t="s">
        <v>8</v>
      </c>
      <c r="F3120" s="1">
        <f t="shared" si="104"/>
        <v>688</v>
      </c>
      <c r="G3120" s="5">
        <f t="shared" si="103"/>
        <v>0.23546511627906977</v>
      </c>
    </row>
    <row r="3121" spans="1:7" ht="15.75" customHeight="1">
      <c r="A3121" s="4" t="s">
        <v>122</v>
      </c>
      <c r="B3121" s="1">
        <v>6.6</v>
      </c>
      <c r="C3121" s="1">
        <v>114</v>
      </c>
      <c r="D3121" s="1" t="s">
        <v>11</v>
      </c>
      <c r="E3121" s="1" t="s">
        <v>8</v>
      </c>
      <c r="F3121" s="1">
        <f t="shared" si="104"/>
        <v>660</v>
      </c>
      <c r="G3121" s="5">
        <f t="shared" si="103"/>
        <v>0.17272727272727273</v>
      </c>
    </row>
    <row r="3122" spans="1:7" ht="15.75" customHeight="1">
      <c r="A3122" s="4" t="s">
        <v>122</v>
      </c>
      <c r="B3122" s="1">
        <v>6</v>
      </c>
      <c r="C3122" s="1">
        <v>122</v>
      </c>
      <c r="D3122" s="1" t="s">
        <v>47</v>
      </c>
      <c r="E3122" s="1" t="s">
        <v>19</v>
      </c>
      <c r="F3122" s="1">
        <f t="shared" si="104"/>
        <v>600</v>
      </c>
      <c r="G3122" s="5">
        <f t="shared" si="103"/>
        <v>0.20333333333333334</v>
      </c>
    </row>
    <row r="3123" spans="1:7" ht="15.75" customHeight="1">
      <c r="A3123" s="4" t="s">
        <v>122</v>
      </c>
      <c r="B3123" s="1">
        <v>6.88</v>
      </c>
      <c r="C3123" s="1">
        <v>117</v>
      </c>
      <c r="D3123" s="1" t="s">
        <v>45</v>
      </c>
      <c r="E3123" s="1" t="s">
        <v>10</v>
      </c>
      <c r="F3123" s="1">
        <f t="shared" si="104"/>
        <v>688</v>
      </c>
      <c r="G3123" s="5">
        <f t="shared" si="103"/>
        <v>0.17005813953488372</v>
      </c>
    </row>
    <row r="3124" spans="1:7" ht="15.75" customHeight="1">
      <c r="A3124" s="4" t="s">
        <v>122</v>
      </c>
      <c r="B3124" s="1">
        <v>4.3</v>
      </c>
      <c r="C3124" s="1">
        <v>82</v>
      </c>
      <c r="D3124" s="1" t="s">
        <v>37</v>
      </c>
      <c r="E3124" s="1" t="s">
        <v>15</v>
      </c>
      <c r="F3124" s="1">
        <f t="shared" si="104"/>
        <v>430</v>
      </c>
      <c r="G3124" s="5">
        <f t="shared" si="103"/>
        <v>0.19069767441860466</v>
      </c>
    </row>
    <row r="3125" spans="1:7" ht="15.75" customHeight="1">
      <c r="A3125" s="4" t="s">
        <v>122</v>
      </c>
      <c r="B3125" s="1">
        <v>7.4</v>
      </c>
      <c r="C3125" s="1">
        <v>133</v>
      </c>
      <c r="D3125" s="1" t="s">
        <v>33</v>
      </c>
      <c r="E3125" s="1" t="s">
        <v>23</v>
      </c>
      <c r="F3125" s="1">
        <f t="shared" si="104"/>
        <v>740</v>
      </c>
      <c r="G3125" s="5">
        <f t="shared" si="103"/>
        <v>0.17972972972972973</v>
      </c>
    </row>
    <row r="3126" spans="1:7" ht="15.75" customHeight="1">
      <c r="A3126" s="4" t="s">
        <v>122</v>
      </c>
      <c r="B3126" s="1">
        <v>10</v>
      </c>
      <c r="C3126" s="1">
        <v>173</v>
      </c>
      <c r="D3126" s="1" t="s">
        <v>33</v>
      </c>
      <c r="E3126" s="1" t="s">
        <v>20</v>
      </c>
      <c r="F3126" s="1">
        <f t="shared" si="104"/>
        <v>1000</v>
      </c>
      <c r="G3126" s="5">
        <f t="shared" si="103"/>
        <v>0.17299999999999999</v>
      </c>
    </row>
    <row r="3127" spans="1:7" ht="15.75" customHeight="1">
      <c r="A3127" s="4" t="s">
        <v>122</v>
      </c>
      <c r="B3127" s="1">
        <v>40</v>
      </c>
      <c r="C3127" s="1">
        <v>780</v>
      </c>
      <c r="D3127" s="1" t="s">
        <v>88</v>
      </c>
      <c r="E3127" s="1" t="s">
        <v>21</v>
      </c>
      <c r="F3127" s="1">
        <f t="shared" si="104"/>
        <v>4000</v>
      </c>
      <c r="G3127" s="5">
        <f t="shared" si="103"/>
        <v>0.19500000000000001</v>
      </c>
    </row>
    <row r="3128" spans="1:7" ht="15.75" customHeight="1">
      <c r="A3128" s="4" t="s">
        <v>122</v>
      </c>
      <c r="B3128" s="1">
        <v>4.9800000000000004</v>
      </c>
      <c r="C3128" s="1">
        <v>67</v>
      </c>
      <c r="D3128" s="1" t="s">
        <v>11</v>
      </c>
      <c r="E3128" s="1" t="s">
        <v>25</v>
      </c>
      <c r="F3128" s="1">
        <f t="shared" si="104"/>
        <v>498.00000000000006</v>
      </c>
      <c r="G3128" s="5">
        <f t="shared" si="103"/>
        <v>0.13453815261044175</v>
      </c>
    </row>
    <row r="3129" spans="1:7" ht="15.75" customHeight="1">
      <c r="A3129" s="4" t="s">
        <v>122</v>
      </c>
      <c r="B3129" s="1">
        <v>7.4</v>
      </c>
      <c r="C3129" s="1">
        <v>108</v>
      </c>
      <c r="D3129" s="1" t="s">
        <v>33</v>
      </c>
      <c r="E3129" s="1" t="s">
        <v>15</v>
      </c>
      <c r="F3129" s="1">
        <f t="shared" si="104"/>
        <v>740</v>
      </c>
      <c r="G3129" s="5">
        <f t="shared" si="103"/>
        <v>0.14594594594594595</v>
      </c>
    </row>
    <row r="3130" spans="1:7" ht="15.75" customHeight="1">
      <c r="A3130" s="4" t="s">
        <v>122</v>
      </c>
      <c r="B3130" s="1">
        <v>7.3</v>
      </c>
      <c r="C3130" s="1">
        <v>147.5</v>
      </c>
      <c r="D3130" s="1" t="s">
        <v>47</v>
      </c>
      <c r="E3130" s="1" t="s">
        <v>28</v>
      </c>
      <c r="F3130" s="1">
        <f t="shared" si="104"/>
        <v>730</v>
      </c>
      <c r="G3130" s="5">
        <f t="shared" si="103"/>
        <v>0.20205479452054795</v>
      </c>
    </row>
    <row r="3131" spans="1:7" ht="15.75" customHeight="1">
      <c r="A3131" s="4" t="s">
        <v>122</v>
      </c>
      <c r="B3131" s="1">
        <v>5.5</v>
      </c>
      <c r="C3131" s="1">
        <v>171</v>
      </c>
      <c r="D3131" s="1" t="s">
        <v>11</v>
      </c>
      <c r="E3131" s="1" t="s">
        <v>25</v>
      </c>
      <c r="F3131" s="1">
        <f t="shared" si="104"/>
        <v>550</v>
      </c>
      <c r="G3131" s="5">
        <f t="shared" si="103"/>
        <v>0.31090909090909091</v>
      </c>
    </row>
    <row r="3132" spans="1:7" ht="15.75" customHeight="1">
      <c r="A3132" s="4" t="s">
        <v>122</v>
      </c>
      <c r="B3132" s="1">
        <v>5.9</v>
      </c>
      <c r="C3132" s="1">
        <v>162</v>
      </c>
      <c r="D3132" s="1" t="s">
        <v>11</v>
      </c>
      <c r="E3132" s="1" t="s">
        <v>10</v>
      </c>
      <c r="F3132" s="1">
        <f t="shared" si="104"/>
        <v>590</v>
      </c>
      <c r="G3132" s="5">
        <f t="shared" si="103"/>
        <v>0.27457627118644068</v>
      </c>
    </row>
    <row r="3133" spans="1:7" ht="15.75" customHeight="1">
      <c r="A3133" s="4" t="s">
        <v>122</v>
      </c>
      <c r="B3133" s="1">
        <v>7.92</v>
      </c>
      <c r="C3133" s="1">
        <v>168</v>
      </c>
      <c r="D3133" s="1" t="s">
        <v>43</v>
      </c>
      <c r="E3133" s="1" t="s">
        <v>19</v>
      </c>
      <c r="F3133" s="1">
        <f t="shared" si="104"/>
        <v>792</v>
      </c>
      <c r="G3133" s="5">
        <f t="shared" si="103"/>
        <v>0.21212121212121213</v>
      </c>
    </row>
    <row r="3134" spans="1:7" ht="15.75" customHeight="1">
      <c r="A3134" s="4" t="s">
        <v>122</v>
      </c>
      <c r="B3134" s="1">
        <v>7.74</v>
      </c>
      <c r="C3134" s="1">
        <v>269.5</v>
      </c>
      <c r="D3134" s="1" t="s">
        <v>11</v>
      </c>
      <c r="E3134" s="1" t="s">
        <v>29</v>
      </c>
      <c r="F3134" s="1">
        <f t="shared" si="104"/>
        <v>774</v>
      </c>
      <c r="G3134" s="5">
        <f t="shared" si="103"/>
        <v>0.34819121447028423</v>
      </c>
    </row>
    <row r="3135" spans="1:7" ht="15.75" customHeight="1">
      <c r="A3135" s="4" t="s">
        <v>122</v>
      </c>
      <c r="B3135" s="1">
        <v>6.7</v>
      </c>
      <c r="C3135" s="1">
        <v>113</v>
      </c>
      <c r="D3135" s="1" t="s">
        <v>33</v>
      </c>
      <c r="E3135" s="1" t="s">
        <v>21</v>
      </c>
      <c r="F3135" s="1">
        <f t="shared" si="104"/>
        <v>670</v>
      </c>
      <c r="G3135" s="5">
        <f t="shared" si="103"/>
        <v>0.16865671641791044</v>
      </c>
    </row>
    <row r="3136" spans="1:7" ht="15.75" customHeight="1">
      <c r="A3136" s="4" t="s">
        <v>122</v>
      </c>
      <c r="B3136" s="1">
        <v>9.6</v>
      </c>
      <c r="C3136" s="1">
        <v>0.46</v>
      </c>
      <c r="D3136" s="1" t="s">
        <v>11</v>
      </c>
      <c r="E3136" s="1" t="s">
        <v>29</v>
      </c>
      <c r="F3136" s="1">
        <f t="shared" si="104"/>
        <v>960</v>
      </c>
      <c r="G3136" s="5">
        <f t="shared" si="103"/>
        <v>4.7916666666666669E-4</v>
      </c>
    </row>
    <row r="3137" spans="1:7" ht="15.75" customHeight="1">
      <c r="A3137" s="4" t="s">
        <v>122</v>
      </c>
      <c r="B3137" s="1">
        <v>8</v>
      </c>
      <c r="C3137" s="1">
        <v>122</v>
      </c>
      <c r="D3137" s="1" t="s">
        <v>39</v>
      </c>
      <c r="E3137" s="1" t="s">
        <v>26</v>
      </c>
      <c r="F3137" s="1">
        <f t="shared" si="104"/>
        <v>800</v>
      </c>
      <c r="G3137" s="5">
        <f t="shared" si="103"/>
        <v>0.1525</v>
      </c>
    </row>
    <row r="3138" spans="1:7" ht="15.75" customHeight="1">
      <c r="A3138" s="4" t="s">
        <v>122</v>
      </c>
      <c r="B3138" s="1">
        <v>6.2</v>
      </c>
      <c r="C3138" s="1">
        <v>184</v>
      </c>
      <c r="D3138" s="1" t="s">
        <v>39</v>
      </c>
      <c r="E3138" s="1" t="s">
        <v>10</v>
      </c>
      <c r="F3138" s="1">
        <f t="shared" si="104"/>
        <v>620</v>
      </c>
      <c r="G3138" s="5">
        <f t="shared" ref="G3138:G3201" si="105">C3138/F3138</f>
        <v>0.29677419354838708</v>
      </c>
    </row>
    <row r="3139" spans="1:7" ht="15.75" customHeight="1">
      <c r="A3139" s="4" t="s">
        <v>122</v>
      </c>
      <c r="B3139" s="1">
        <v>4</v>
      </c>
      <c r="C3139" s="1">
        <v>38</v>
      </c>
      <c r="D3139" s="1" t="s">
        <v>70</v>
      </c>
      <c r="E3139" s="1" t="s">
        <v>68</v>
      </c>
      <c r="F3139" s="1">
        <f t="shared" ref="F3139:F3202" si="106">B3139*100</f>
        <v>400</v>
      </c>
      <c r="G3139" s="5">
        <f t="shared" si="105"/>
        <v>9.5000000000000001E-2</v>
      </c>
    </row>
    <row r="3140" spans="1:7" ht="15.75" customHeight="1">
      <c r="A3140" s="4" t="s">
        <v>122</v>
      </c>
      <c r="B3140" s="1">
        <v>5.2</v>
      </c>
      <c r="C3140" s="1">
        <v>150</v>
      </c>
      <c r="D3140" s="1" t="s">
        <v>11</v>
      </c>
      <c r="E3140" s="1" t="s">
        <v>27</v>
      </c>
      <c r="F3140" s="1">
        <f t="shared" si="106"/>
        <v>520</v>
      </c>
      <c r="G3140" s="5">
        <f t="shared" si="105"/>
        <v>0.28846153846153844</v>
      </c>
    </row>
    <row r="3141" spans="1:7" ht="15.75" customHeight="1">
      <c r="A3141" s="4" t="s">
        <v>122</v>
      </c>
      <c r="B3141" s="1">
        <v>7.9</v>
      </c>
      <c r="C3141" s="1">
        <v>176</v>
      </c>
      <c r="D3141" s="1" t="s">
        <v>35</v>
      </c>
      <c r="E3141" s="1" t="s">
        <v>22</v>
      </c>
      <c r="F3141" s="1">
        <f t="shared" si="106"/>
        <v>790</v>
      </c>
      <c r="G3141" s="5">
        <f t="shared" si="105"/>
        <v>0.22278481012658227</v>
      </c>
    </row>
    <row r="3142" spans="1:7" ht="15.75" customHeight="1">
      <c r="A3142" s="4" t="s">
        <v>122</v>
      </c>
      <c r="B3142" s="1">
        <v>5.6</v>
      </c>
      <c r="C3142" s="1">
        <v>240</v>
      </c>
      <c r="D3142" s="1" t="s">
        <v>11</v>
      </c>
      <c r="E3142" s="1" t="s">
        <v>8</v>
      </c>
      <c r="F3142" s="1">
        <f t="shared" si="106"/>
        <v>560</v>
      </c>
      <c r="G3142" s="5">
        <f t="shared" si="105"/>
        <v>0.42857142857142855</v>
      </c>
    </row>
    <row r="3143" spans="1:7" ht="15.75" customHeight="1">
      <c r="A3143" s="4" t="s">
        <v>122</v>
      </c>
      <c r="B3143" s="1">
        <v>4.05</v>
      </c>
      <c r="C3143" s="1">
        <v>60</v>
      </c>
      <c r="D3143" s="1" t="s">
        <v>38</v>
      </c>
      <c r="E3143" s="1" t="s">
        <v>30</v>
      </c>
      <c r="F3143" s="1">
        <f t="shared" si="106"/>
        <v>405</v>
      </c>
      <c r="G3143" s="5">
        <f t="shared" si="105"/>
        <v>0.14814814814814814</v>
      </c>
    </row>
    <row r="3144" spans="1:7" ht="15.75" customHeight="1">
      <c r="A3144" s="4" t="s">
        <v>122</v>
      </c>
      <c r="B3144" s="1">
        <v>7.83</v>
      </c>
      <c r="C3144" s="1">
        <v>153</v>
      </c>
      <c r="D3144" s="1" t="s">
        <v>11</v>
      </c>
      <c r="E3144" s="1" t="s">
        <v>12</v>
      </c>
      <c r="F3144" s="1">
        <f t="shared" si="106"/>
        <v>783</v>
      </c>
      <c r="G3144" s="5">
        <f t="shared" si="105"/>
        <v>0.19540229885057472</v>
      </c>
    </row>
    <row r="3145" spans="1:7" ht="15.75" customHeight="1">
      <c r="A3145" s="4" t="s">
        <v>122</v>
      </c>
      <c r="B3145" s="1">
        <v>6.09</v>
      </c>
      <c r="C3145" s="1">
        <v>94</v>
      </c>
      <c r="D3145" s="1" t="s">
        <v>42</v>
      </c>
      <c r="E3145" s="1" t="s">
        <v>15</v>
      </c>
      <c r="F3145" s="1">
        <f t="shared" si="106"/>
        <v>609</v>
      </c>
      <c r="G3145" s="5">
        <f t="shared" si="105"/>
        <v>0.15435139573070608</v>
      </c>
    </row>
    <row r="3146" spans="1:7" ht="15.75" customHeight="1">
      <c r="A3146" s="4" t="s">
        <v>122</v>
      </c>
      <c r="B3146" s="1">
        <v>4</v>
      </c>
      <c r="C3146" s="1">
        <v>92</v>
      </c>
      <c r="D3146" s="1" t="s">
        <v>11</v>
      </c>
      <c r="E3146" s="1" t="s">
        <v>28</v>
      </c>
      <c r="F3146" s="1">
        <f t="shared" si="106"/>
        <v>400</v>
      </c>
      <c r="G3146" s="5">
        <f t="shared" si="105"/>
        <v>0.23</v>
      </c>
    </row>
    <row r="3147" spans="1:7" ht="15.75" customHeight="1">
      <c r="A3147" s="4" t="s">
        <v>122</v>
      </c>
      <c r="B3147" s="1">
        <v>4</v>
      </c>
      <c r="C3147" s="1">
        <v>69</v>
      </c>
      <c r="D3147" s="1" t="s">
        <v>11</v>
      </c>
      <c r="E3147" s="1" t="s">
        <v>14</v>
      </c>
      <c r="F3147" s="1">
        <f t="shared" si="106"/>
        <v>400</v>
      </c>
      <c r="G3147" s="5">
        <f t="shared" si="105"/>
        <v>0.17249999999999999</v>
      </c>
    </row>
    <row r="3148" spans="1:7" ht="15.75" customHeight="1">
      <c r="A3148" s="4" t="s">
        <v>122</v>
      </c>
      <c r="B3148" s="1">
        <v>6.88</v>
      </c>
      <c r="C3148" s="1">
        <v>144</v>
      </c>
      <c r="D3148" s="1" t="s">
        <v>38</v>
      </c>
      <c r="E3148" s="1" t="s">
        <v>22</v>
      </c>
      <c r="F3148" s="1">
        <f t="shared" si="106"/>
        <v>688</v>
      </c>
      <c r="G3148" s="5">
        <f t="shared" si="105"/>
        <v>0.20930232558139536</v>
      </c>
    </row>
    <row r="3149" spans="1:7" ht="15.75" customHeight="1">
      <c r="A3149" s="4" t="s">
        <v>122</v>
      </c>
      <c r="B3149" s="1">
        <v>6</v>
      </c>
      <c r="C3149" s="1">
        <v>147</v>
      </c>
      <c r="D3149" s="1" t="s">
        <v>11</v>
      </c>
      <c r="E3149" s="1" t="s">
        <v>17</v>
      </c>
      <c r="F3149" s="1">
        <f t="shared" si="106"/>
        <v>600</v>
      </c>
      <c r="G3149" s="5">
        <f t="shared" si="105"/>
        <v>0.245</v>
      </c>
    </row>
    <row r="3150" spans="1:7" ht="15.75" customHeight="1">
      <c r="A3150" s="4" t="s">
        <v>122</v>
      </c>
      <c r="B3150" s="1">
        <v>8.4</v>
      </c>
      <c r="C3150" s="1">
        <v>132</v>
      </c>
      <c r="D3150" s="1" t="s">
        <v>33</v>
      </c>
      <c r="E3150" s="1" t="s">
        <v>15</v>
      </c>
      <c r="F3150" s="1">
        <f t="shared" si="106"/>
        <v>840</v>
      </c>
      <c r="G3150" s="5">
        <f t="shared" si="105"/>
        <v>0.15714285714285714</v>
      </c>
    </row>
    <row r="3151" spans="1:7" ht="15.75" customHeight="1">
      <c r="A3151" s="4" t="s">
        <v>122</v>
      </c>
      <c r="B3151" s="1">
        <v>10.199999999999999</v>
      </c>
      <c r="C3151" s="1">
        <v>275.76</v>
      </c>
      <c r="D3151" s="1" t="s">
        <v>43</v>
      </c>
      <c r="E3151" s="1" t="s">
        <v>24</v>
      </c>
      <c r="F3151" s="1">
        <f t="shared" si="106"/>
        <v>1019.9999999999999</v>
      </c>
      <c r="G3151" s="5">
        <f t="shared" si="105"/>
        <v>0.27035294117647063</v>
      </c>
    </row>
    <row r="3152" spans="1:7" ht="15.75" customHeight="1">
      <c r="A3152" s="4" t="s">
        <v>122</v>
      </c>
      <c r="B3152" s="1">
        <v>8.6999999999999993</v>
      </c>
      <c r="C3152" s="1">
        <v>235</v>
      </c>
      <c r="D3152" s="1" t="s">
        <v>11</v>
      </c>
      <c r="E3152" s="1" t="s">
        <v>20</v>
      </c>
      <c r="F3152" s="1">
        <f t="shared" si="106"/>
        <v>869.99999999999989</v>
      </c>
      <c r="G3152" s="5">
        <f t="shared" si="105"/>
        <v>0.27011494252873569</v>
      </c>
    </row>
    <row r="3153" spans="1:7" ht="15.75" customHeight="1">
      <c r="A3153" s="4" t="s">
        <v>122</v>
      </c>
      <c r="B3153" s="1">
        <v>2.87</v>
      </c>
      <c r="C3153" s="1">
        <v>70</v>
      </c>
      <c r="D3153" s="1" t="s">
        <v>11</v>
      </c>
      <c r="E3153" s="1" t="s">
        <v>8</v>
      </c>
      <c r="F3153" s="1">
        <f t="shared" si="106"/>
        <v>287</v>
      </c>
      <c r="G3153" s="5">
        <f t="shared" si="105"/>
        <v>0.24390243902439024</v>
      </c>
    </row>
    <row r="3154" spans="1:7" ht="15.75" customHeight="1">
      <c r="A3154" s="4" t="s">
        <v>122</v>
      </c>
      <c r="B3154" s="1">
        <v>8.1999999999999993</v>
      </c>
      <c r="C3154" s="1">
        <v>110</v>
      </c>
      <c r="D3154" s="1" t="s">
        <v>11</v>
      </c>
      <c r="E3154" s="1" t="s">
        <v>12</v>
      </c>
      <c r="F3154" s="1">
        <f t="shared" si="106"/>
        <v>819.99999999999989</v>
      </c>
      <c r="G3154" s="5">
        <f t="shared" si="105"/>
        <v>0.13414634146341464</v>
      </c>
    </row>
    <row r="3155" spans="1:7" ht="15.75" customHeight="1">
      <c r="A3155" s="4" t="s">
        <v>122</v>
      </c>
      <c r="B3155" s="1">
        <v>4</v>
      </c>
      <c r="C3155" s="1">
        <v>115</v>
      </c>
      <c r="D3155" s="1" t="s">
        <v>11</v>
      </c>
      <c r="E3155" s="1" t="s">
        <v>24</v>
      </c>
      <c r="F3155" s="1">
        <f t="shared" si="106"/>
        <v>400</v>
      </c>
      <c r="G3155" s="5">
        <f t="shared" si="105"/>
        <v>0.28749999999999998</v>
      </c>
    </row>
    <row r="3156" spans="1:7" ht="15.75" customHeight="1">
      <c r="A3156" s="4" t="s">
        <v>122</v>
      </c>
      <c r="B3156" s="1">
        <v>9.1999999999999993</v>
      </c>
      <c r="C3156" s="1">
        <v>191</v>
      </c>
      <c r="D3156" s="1" t="s">
        <v>43</v>
      </c>
      <c r="E3156" s="1" t="s">
        <v>14</v>
      </c>
      <c r="F3156" s="1">
        <f t="shared" si="106"/>
        <v>919.99999999999989</v>
      </c>
      <c r="G3156" s="5">
        <f t="shared" si="105"/>
        <v>0.20760869565217394</v>
      </c>
    </row>
    <row r="3157" spans="1:7" ht="15.75" customHeight="1">
      <c r="A3157" s="4" t="s">
        <v>122</v>
      </c>
      <c r="B3157" s="1">
        <v>4.2</v>
      </c>
      <c r="C3157" s="1">
        <v>149</v>
      </c>
      <c r="D3157" s="1" t="s">
        <v>11</v>
      </c>
      <c r="E3157" s="1" t="s">
        <v>15</v>
      </c>
      <c r="F3157" s="1">
        <f t="shared" si="106"/>
        <v>420</v>
      </c>
      <c r="G3157" s="5">
        <f t="shared" si="105"/>
        <v>0.35476190476190478</v>
      </c>
    </row>
    <row r="3158" spans="1:7" ht="15.75" customHeight="1">
      <c r="A3158" s="4" t="s">
        <v>122</v>
      </c>
      <c r="B3158" s="1">
        <v>5.39</v>
      </c>
      <c r="C3158" s="1">
        <v>149</v>
      </c>
      <c r="D3158" s="1" t="s">
        <v>11</v>
      </c>
      <c r="E3158" s="1" t="s">
        <v>26</v>
      </c>
      <c r="F3158" s="1">
        <f t="shared" si="106"/>
        <v>539</v>
      </c>
      <c r="G3158" s="5">
        <f t="shared" si="105"/>
        <v>0.27643784786641928</v>
      </c>
    </row>
    <row r="3159" spans="1:7" ht="15.75" customHeight="1">
      <c r="A3159" s="4" t="s">
        <v>122</v>
      </c>
      <c r="B3159" s="1">
        <v>118</v>
      </c>
      <c r="C3159" s="1">
        <v>6</v>
      </c>
      <c r="D3159" s="1" t="s">
        <v>38</v>
      </c>
      <c r="E3159" s="1" t="s">
        <v>19</v>
      </c>
      <c r="F3159" s="1">
        <f t="shared" si="106"/>
        <v>11800</v>
      </c>
      <c r="G3159" s="5">
        <f t="shared" si="105"/>
        <v>5.0847457627118645E-4</v>
      </c>
    </row>
    <row r="3160" spans="1:7" ht="15.75" customHeight="1">
      <c r="A3160" s="4" t="s">
        <v>122</v>
      </c>
      <c r="B3160" s="1">
        <v>8.1999999999999993</v>
      </c>
      <c r="C3160" s="1">
        <v>136</v>
      </c>
      <c r="D3160" s="1" t="s">
        <v>100</v>
      </c>
      <c r="E3160" s="1" t="s">
        <v>9</v>
      </c>
      <c r="F3160" s="1">
        <f t="shared" si="106"/>
        <v>819.99999999999989</v>
      </c>
      <c r="G3160" s="5">
        <f t="shared" si="105"/>
        <v>0.1658536585365854</v>
      </c>
    </row>
    <row r="3161" spans="1:7" ht="15.75" customHeight="1">
      <c r="A3161" s="4" t="s">
        <v>122</v>
      </c>
      <c r="B3161" s="1">
        <v>3.44</v>
      </c>
      <c r="C3161" s="1">
        <v>89.8</v>
      </c>
      <c r="D3161" s="1" t="s">
        <v>39</v>
      </c>
      <c r="E3161" s="1" t="s">
        <v>15</v>
      </c>
      <c r="F3161" s="1">
        <f t="shared" si="106"/>
        <v>344</v>
      </c>
      <c r="G3161" s="5">
        <f t="shared" si="105"/>
        <v>0.26104651162790699</v>
      </c>
    </row>
    <row r="3162" spans="1:7" ht="15.75" customHeight="1">
      <c r="A3162" s="4" t="s">
        <v>122</v>
      </c>
      <c r="B3162" s="1">
        <v>6.4</v>
      </c>
      <c r="C3162" s="1">
        <v>145</v>
      </c>
      <c r="D3162" s="1" t="s">
        <v>43</v>
      </c>
      <c r="E3162" s="1" t="s">
        <v>15</v>
      </c>
      <c r="F3162" s="1">
        <f t="shared" si="106"/>
        <v>640</v>
      </c>
      <c r="G3162" s="5">
        <f t="shared" si="105"/>
        <v>0.2265625</v>
      </c>
    </row>
    <row r="3163" spans="1:7" ht="15.75" customHeight="1">
      <c r="A3163" s="4" t="s">
        <v>122</v>
      </c>
      <c r="B3163" s="1">
        <v>6.24</v>
      </c>
      <c r="C3163" s="1">
        <v>218</v>
      </c>
      <c r="D3163" s="1" t="s">
        <v>11</v>
      </c>
      <c r="E3163" s="1" t="s">
        <v>17</v>
      </c>
      <c r="F3163" s="1">
        <f t="shared" si="106"/>
        <v>624</v>
      </c>
      <c r="G3163" s="5">
        <f t="shared" si="105"/>
        <v>0.34935897435897434</v>
      </c>
    </row>
    <row r="3164" spans="1:7" ht="15.75" customHeight="1">
      <c r="A3164" s="4" t="s">
        <v>122</v>
      </c>
      <c r="B3164" s="1">
        <v>3.85</v>
      </c>
      <c r="C3164" s="1">
        <v>113</v>
      </c>
      <c r="D3164" s="1" t="s">
        <v>55</v>
      </c>
      <c r="E3164" s="1" t="s">
        <v>15</v>
      </c>
      <c r="F3164" s="1">
        <f t="shared" si="106"/>
        <v>385</v>
      </c>
      <c r="G3164" s="5">
        <f t="shared" si="105"/>
        <v>0.29350649350649349</v>
      </c>
    </row>
    <row r="3165" spans="1:7" ht="15.75" customHeight="1">
      <c r="A3165" s="4" t="s">
        <v>122</v>
      </c>
      <c r="B3165" s="1">
        <v>5.92</v>
      </c>
      <c r="C3165" s="1">
        <v>130</v>
      </c>
      <c r="D3165" s="1" t="s">
        <v>11</v>
      </c>
      <c r="E3165" s="1" t="s">
        <v>17</v>
      </c>
      <c r="F3165" s="1">
        <f t="shared" si="106"/>
        <v>592</v>
      </c>
      <c r="G3165" s="5">
        <f t="shared" si="105"/>
        <v>0.2195945945945946</v>
      </c>
    </row>
    <row r="3166" spans="1:7" ht="15.75" customHeight="1">
      <c r="A3166" s="4" t="s">
        <v>122</v>
      </c>
      <c r="B3166" s="1">
        <v>4</v>
      </c>
      <c r="C3166" s="1">
        <v>73</v>
      </c>
      <c r="D3166" s="1" t="s">
        <v>37</v>
      </c>
      <c r="E3166" s="1" t="s">
        <v>8</v>
      </c>
      <c r="F3166" s="1">
        <f t="shared" si="106"/>
        <v>400</v>
      </c>
      <c r="G3166" s="5">
        <f t="shared" si="105"/>
        <v>0.1825</v>
      </c>
    </row>
    <row r="3167" spans="1:7" ht="15.75" customHeight="1">
      <c r="A3167" s="4" t="s">
        <v>122</v>
      </c>
      <c r="B3167" s="1">
        <v>5.2</v>
      </c>
      <c r="C3167" s="1">
        <v>115</v>
      </c>
      <c r="D3167" s="1" t="s">
        <v>50</v>
      </c>
      <c r="E3167" s="1" t="s">
        <v>15</v>
      </c>
      <c r="F3167" s="1">
        <f t="shared" si="106"/>
        <v>520</v>
      </c>
      <c r="G3167" s="5">
        <f t="shared" si="105"/>
        <v>0.22115384615384615</v>
      </c>
    </row>
    <row r="3168" spans="1:7" ht="15.75" customHeight="1">
      <c r="A3168" s="4" t="s">
        <v>122</v>
      </c>
      <c r="B3168" s="1">
        <v>5.59</v>
      </c>
      <c r="C3168" s="1">
        <v>93</v>
      </c>
      <c r="D3168" s="1" t="s">
        <v>36</v>
      </c>
      <c r="E3168" s="1" t="s">
        <v>9</v>
      </c>
      <c r="F3168" s="1">
        <f t="shared" si="106"/>
        <v>559</v>
      </c>
      <c r="G3168" s="5">
        <f t="shared" si="105"/>
        <v>0.16636851520572452</v>
      </c>
    </row>
    <row r="3169" spans="1:7" ht="15.75" customHeight="1">
      <c r="A3169" s="4" t="s">
        <v>122</v>
      </c>
      <c r="B3169" s="1">
        <v>6.4</v>
      </c>
      <c r="C3169" s="1">
        <v>180</v>
      </c>
      <c r="D3169" s="1" t="s">
        <v>38</v>
      </c>
      <c r="E3169" s="1" t="s">
        <v>24</v>
      </c>
      <c r="F3169" s="1">
        <f t="shared" si="106"/>
        <v>640</v>
      </c>
      <c r="G3169" s="5">
        <f t="shared" si="105"/>
        <v>0.28125</v>
      </c>
    </row>
    <row r="3170" spans="1:7" ht="15.75" customHeight="1">
      <c r="A3170" s="4" t="s">
        <v>122</v>
      </c>
      <c r="B3170" s="1">
        <v>7.2</v>
      </c>
      <c r="C3170" s="1">
        <v>229</v>
      </c>
      <c r="D3170" s="1" t="s">
        <v>11</v>
      </c>
      <c r="E3170" s="1" t="s">
        <v>7</v>
      </c>
      <c r="F3170" s="1">
        <f t="shared" si="106"/>
        <v>720</v>
      </c>
      <c r="G3170" s="5">
        <f t="shared" si="105"/>
        <v>0.31805555555555554</v>
      </c>
    </row>
    <row r="3171" spans="1:7" ht="15.75" customHeight="1">
      <c r="A3171" s="4" t="s">
        <v>122</v>
      </c>
      <c r="B3171" s="1">
        <v>5.81</v>
      </c>
      <c r="C3171" s="1">
        <v>166</v>
      </c>
      <c r="D3171" s="1" t="s">
        <v>38</v>
      </c>
      <c r="E3171" s="1" t="s">
        <v>8</v>
      </c>
      <c r="F3171" s="1">
        <f t="shared" si="106"/>
        <v>581</v>
      </c>
      <c r="G3171" s="5">
        <f t="shared" si="105"/>
        <v>0.2857142857142857</v>
      </c>
    </row>
    <row r="3172" spans="1:7" ht="15.75" customHeight="1">
      <c r="A3172" s="4" t="s">
        <v>122</v>
      </c>
      <c r="B3172" s="1">
        <v>8.1</v>
      </c>
      <c r="C3172" s="1">
        <v>122</v>
      </c>
      <c r="D3172" s="1" t="s">
        <v>33</v>
      </c>
      <c r="E3172" s="1" t="s">
        <v>17</v>
      </c>
      <c r="F3172" s="1">
        <f t="shared" si="106"/>
        <v>810</v>
      </c>
      <c r="G3172" s="5">
        <f t="shared" si="105"/>
        <v>0.1506172839506173</v>
      </c>
    </row>
    <row r="3173" spans="1:7" ht="15.75" customHeight="1">
      <c r="A3173" s="4" t="s">
        <v>122</v>
      </c>
      <c r="B3173" s="1">
        <v>6.8</v>
      </c>
      <c r="C3173" s="1">
        <v>114.05</v>
      </c>
      <c r="D3173" s="1" t="s">
        <v>38</v>
      </c>
      <c r="E3173" s="1" t="s">
        <v>7</v>
      </c>
      <c r="F3173" s="1">
        <f t="shared" si="106"/>
        <v>680</v>
      </c>
      <c r="G3173" s="5">
        <f t="shared" si="105"/>
        <v>0.16772058823529412</v>
      </c>
    </row>
    <row r="3174" spans="1:7" ht="15.75" customHeight="1">
      <c r="A3174" s="4" t="s">
        <v>122</v>
      </c>
      <c r="B3174" s="1">
        <v>6.8</v>
      </c>
      <c r="C3174" s="1">
        <v>142</v>
      </c>
      <c r="D3174" s="1" t="s">
        <v>100</v>
      </c>
      <c r="E3174" s="1" t="s">
        <v>29</v>
      </c>
      <c r="F3174" s="1">
        <f t="shared" si="106"/>
        <v>680</v>
      </c>
      <c r="G3174" s="5">
        <f t="shared" si="105"/>
        <v>0.20882352941176471</v>
      </c>
    </row>
    <row r="3175" spans="1:7" ht="15.75" customHeight="1">
      <c r="A3175" s="4" t="s">
        <v>122</v>
      </c>
      <c r="B3175" s="1">
        <v>7.4</v>
      </c>
      <c r="C3175" s="1">
        <v>183</v>
      </c>
      <c r="D3175" s="1" t="s">
        <v>11</v>
      </c>
      <c r="E3175" s="1" t="s">
        <v>21</v>
      </c>
      <c r="F3175" s="1">
        <f t="shared" si="106"/>
        <v>740</v>
      </c>
      <c r="G3175" s="5">
        <f t="shared" si="105"/>
        <v>0.2472972972972973</v>
      </c>
    </row>
    <row r="3176" spans="1:7" ht="15.75" customHeight="1">
      <c r="A3176" s="4" t="s">
        <v>122</v>
      </c>
      <c r="B3176" s="1">
        <v>6.5</v>
      </c>
      <c r="C3176" s="1">
        <v>178</v>
      </c>
      <c r="D3176" s="1" t="s">
        <v>11</v>
      </c>
      <c r="E3176" s="1" t="s">
        <v>8</v>
      </c>
      <c r="F3176" s="1">
        <f t="shared" si="106"/>
        <v>650</v>
      </c>
      <c r="G3176" s="5">
        <f t="shared" si="105"/>
        <v>0.27384615384615385</v>
      </c>
    </row>
    <row r="3177" spans="1:7" ht="15.75" customHeight="1">
      <c r="A3177" s="4" t="s">
        <v>122</v>
      </c>
      <c r="B3177" s="1">
        <v>8.33</v>
      </c>
      <c r="C3177" s="1">
        <v>158</v>
      </c>
      <c r="D3177" s="1" t="s">
        <v>47</v>
      </c>
      <c r="E3177" s="1" t="s">
        <v>7</v>
      </c>
      <c r="F3177" s="1">
        <f t="shared" si="106"/>
        <v>833</v>
      </c>
      <c r="G3177" s="5">
        <f t="shared" si="105"/>
        <v>0.18967587034813926</v>
      </c>
    </row>
    <row r="3178" spans="1:7" ht="15.75" customHeight="1">
      <c r="A3178" s="4" t="s">
        <v>122</v>
      </c>
      <c r="B3178" s="1">
        <v>6.4</v>
      </c>
      <c r="C3178" s="1">
        <v>73</v>
      </c>
      <c r="D3178" s="1" t="s">
        <v>85</v>
      </c>
      <c r="E3178" s="1" t="s">
        <v>8</v>
      </c>
      <c r="F3178" s="1">
        <f t="shared" si="106"/>
        <v>640</v>
      </c>
      <c r="G3178" s="5">
        <f t="shared" si="105"/>
        <v>0.1140625</v>
      </c>
    </row>
    <row r="3179" spans="1:7" ht="15.75" customHeight="1">
      <c r="A3179" s="4" t="s">
        <v>122</v>
      </c>
      <c r="B3179" s="1">
        <v>8.6</v>
      </c>
      <c r="C3179" s="1">
        <v>249</v>
      </c>
      <c r="D3179" s="1" t="s">
        <v>42</v>
      </c>
      <c r="E3179" s="1" t="s">
        <v>8</v>
      </c>
      <c r="F3179" s="1">
        <f t="shared" si="106"/>
        <v>860</v>
      </c>
      <c r="G3179" s="5">
        <f t="shared" si="105"/>
        <v>0.28953488372093023</v>
      </c>
    </row>
    <row r="3180" spans="1:7" ht="15.75" customHeight="1">
      <c r="A3180" s="4" t="s">
        <v>122</v>
      </c>
      <c r="B3180" s="1">
        <v>6.88</v>
      </c>
      <c r="C3180" s="1">
        <v>170</v>
      </c>
      <c r="D3180" s="1" t="s">
        <v>58</v>
      </c>
      <c r="E3180" s="1" t="s">
        <v>16</v>
      </c>
      <c r="F3180" s="1">
        <f t="shared" si="106"/>
        <v>688</v>
      </c>
      <c r="G3180" s="5">
        <f t="shared" si="105"/>
        <v>0.24709302325581395</v>
      </c>
    </row>
    <row r="3181" spans="1:7" ht="15.75" customHeight="1">
      <c r="A3181" s="4" t="s">
        <v>122</v>
      </c>
      <c r="B3181" s="1">
        <v>3.915</v>
      </c>
      <c r="C3181" s="1">
        <v>109</v>
      </c>
      <c r="D3181" s="1" t="s">
        <v>43</v>
      </c>
      <c r="E3181" s="1" t="s">
        <v>8</v>
      </c>
      <c r="F3181" s="1">
        <f t="shared" si="106"/>
        <v>391.5</v>
      </c>
      <c r="G3181" s="5">
        <f t="shared" si="105"/>
        <v>0.2784163473818646</v>
      </c>
    </row>
    <row r="3182" spans="1:7" ht="15.75" customHeight="1">
      <c r="A3182" s="4" t="s">
        <v>122</v>
      </c>
      <c r="B3182" s="1">
        <v>9.3000000000000007</v>
      </c>
      <c r="C3182" s="1">
        <v>179</v>
      </c>
      <c r="D3182" s="1" t="s">
        <v>45</v>
      </c>
      <c r="E3182" s="1" t="s">
        <v>10</v>
      </c>
      <c r="F3182" s="1">
        <f t="shared" si="106"/>
        <v>930.00000000000011</v>
      </c>
      <c r="G3182" s="5">
        <f t="shared" si="105"/>
        <v>0.19247311827956987</v>
      </c>
    </row>
    <row r="3183" spans="1:7" ht="15.75" customHeight="1">
      <c r="A3183" s="4" t="s">
        <v>122</v>
      </c>
      <c r="B3183" s="1">
        <v>7</v>
      </c>
      <c r="C3183" s="1">
        <v>114</v>
      </c>
      <c r="D3183" s="1" t="s">
        <v>33</v>
      </c>
      <c r="E3183" s="1" t="s">
        <v>20</v>
      </c>
      <c r="F3183" s="1">
        <f t="shared" si="106"/>
        <v>700</v>
      </c>
      <c r="G3183" s="5">
        <f t="shared" si="105"/>
        <v>0.16285714285714287</v>
      </c>
    </row>
    <row r="3184" spans="1:7" ht="15.75" customHeight="1">
      <c r="A3184" s="4" t="s">
        <v>122</v>
      </c>
      <c r="B3184" s="1">
        <v>8.5</v>
      </c>
      <c r="C3184" s="1">
        <v>246</v>
      </c>
      <c r="D3184" s="1" t="s">
        <v>11</v>
      </c>
      <c r="E3184" s="1" t="s">
        <v>68</v>
      </c>
      <c r="F3184" s="1">
        <f t="shared" si="106"/>
        <v>850</v>
      </c>
      <c r="G3184" s="5">
        <f t="shared" si="105"/>
        <v>0.28941176470588237</v>
      </c>
    </row>
    <row r="3185" spans="1:7" ht="15.75" customHeight="1">
      <c r="A3185" s="4" t="s">
        <v>122</v>
      </c>
      <c r="B3185" s="1">
        <v>7.39</v>
      </c>
      <c r="C3185" s="1">
        <v>148</v>
      </c>
      <c r="D3185" s="1" t="s">
        <v>42</v>
      </c>
      <c r="E3185" s="1" t="s">
        <v>25</v>
      </c>
      <c r="F3185" s="1">
        <f t="shared" si="106"/>
        <v>739</v>
      </c>
      <c r="G3185" s="5">
        <f t="shared" si="105"/>
        <v>0.20027063599458728</v>
      </c>
    </row>
    <row r="3186" spans="1:7" ht="15.75" customHeight="1">
      <c r="A3186" s="4" t="s">
        <v>122</v>
      </c>
      <c r="B3186" s="1">
        <v>9.56</v>
      </c>
      <c r="C3186" s="1">
        <v>230</v>
      </c>
      <c r="D3186" s="1" t="s">
        <v>11</v>
      </c>
      <c r="E3186" s="1" t="s">
        <v>7</v>
      </c>
      <c r="F3186" s="1">
        <f t="shared" si="106"/>
        <v>956</v>
      </c>
      <c r="G3186" s="5">
        <f t="shared" si="105"/>
        <v>0.2405857740585774</v>
      </c>
    </row>
    <row r="3187" spans="1:7" ht="15.75" customHeight="1">
      <c r="A3187" s="4" t="s">
        <v>122</v>
      </c>
      <c r="B3187" s="1">
        <v>7.83</v>
      </c>
      <c r="C3187" s="1">
        <v>151</v>
      </c>
      <c r="D3187" s="1" t="s">
        <v>11</v>
      </c>
      <c r="E3187" s="1" t="s">
        <v>32</v>
      </c>
      <c r="F3187" s="1">
        <f t="shared" si="106"/>
        <v>783</v>
      </c>
      <c r="G3187" s="5">
        <f t="shared" si="105"/>
        <v>0.19284802043422733</v>
      </c>
    </row>
    <row r="3188" spans="1:7" ht="15.75" customHeight="1">
      <c r="A3188" s="4" t="s">
        <v>122</v>
      </c>
      <c r="B3188" s="1">
        <v>9.1</v>
      </c>
      <c r="C3188" s="1">
        <v>176</v>
      </c>
      <c r="D3188" s="1" t="s">
        <v>35</v>
      </c>
      <c r="E3188" s="1" t="s">
        <v>10</v>
      </c>
      <c r="F3188" s="1">
        <f t="shared" si="106"/>
        <v>910</v>
      </c>
      <c r="G3188" s="5">
        <f t="shared" si="105"/>
        <v>0.19340659340659341</v>
      </c>
    </row>
    <row r="3189" spans="1:7" ht="15.75" customHeight="1">
      <c r="A3189" s="4" t="s">
        <v>122</v>
      </c>
      <c r="B3189" s="1">
        <v>7.65</v>
      </c>
      <c r="C3189" s="1">
        <v>194</v>
      </c>
      <c r="D3189" s="1" t="s">
        <v>11</v>
      </c>
      <c r="E3189" s="1" t="s">
        <v>22</v>
      </c>
      <c r="F3189" s="1">
        <f t="shared" si="106"/>
        <v>765</v>
      </c>
      <c r="G3189" s="5">
        <f t="shared" si="105"/>
        <v>0.25359477124183005</v>
      </c>
    </row>
    <row r="3190" spans="1:7" ht="15.75" customHeight="1">
      <c r="A3190" s="4" t="s">
        <v>122</v>
      </c>
      <c r="B3190" s="1">
        <v>7.3</v>
      </c>
      <c r="C3190" s="1">
        <v>420</v>
      </c>
      <c r="D3190" s="1" t="s">
        <v>39</v>
      </c>
      <c r="E3190" s="1" t="s">
        <v>21</v>
      </c>
      <c r="F3190" s="1">
        <f t="shared" si="106"/>
        <v>730</v>
      </c>
      <c r="G3190" s="5">
        <f t="shared" si="105"/>
        <v>0.57534246575342463</v>
      </c>
    </row>
    <row r="3191" spans="1:7" ht="15.75" customHeight="1">
      <c r="A3191" s="4" t="s">
        <v>122</v>
      </c>
      <c r="B3191" s="1">
        <v>7.3</v>
      </c>
      <c r="C3191" s="1">
        <v>112</v>
      </c>
      <c r="D3191" s="1" t="s">
        <v>33</v>
      </c>
      <c r="E3191" s="1" t="s">
        <v>16</v>
      </c>
      <c r="F3191" s="1">
        <f t="shared" si="106"/>
        <v>730</v>
      </c>
      <c r="G3191" s="5">
        <f t="shared" si="105"/>
        <v>0.15342465753424658</v>
      </c>
    </row>
    <row r="3192" spans="1:7" ht="15.75" customHeight="1">
      <c r="A3192" s="4" t="s">
        <v>122</v>
      </c>
      <c r="B3192" s="1">
        <v>4.5999999999999996</v>
      </c>
      <c r="C3192" s="1">
        <v>95</v>
      </c>
      <c r="D3192" s="1" t="s">
        <v>11</v>
      </c>
      <c r="E3192" s="1" t="s">
        <v>14</v>
      </c>
      <c r="F3192" s="1">
        <f t="shared" si="106"/>
        <v>459.99999999999994</v>
      </c>
      <c r="G3192" s="5">
        <f t="shared" si="105"/>
        <v>0.20652173913043481</v>
      </c>
    </row>
    <row r="3193" spans="1:7" ht="15.75" customHeight="1">
      <c r="A3193" s="4" t="s">
        <v>122</v>
      </c>
      <c r="B3193" s="1">
        <v>7.3</v>
      </c>
      <c r="C3193" s="1">
        <v>116</v>
      </c>
      <c r="D3193" s="1" t="s">
        <v>11</v>
      </c>
      <c r="E3193" s="1" t="s">
        <v>12</v>
      </c>
      <c r="F3193" s="1">
        <f t="shared" si="106"/>
        <v>730</v>
      </c>
      <c r="G3193" s="5">
        <f t="shared" si="105"/>
        <v>0.15890410958904111</v>
      </c>
    </row>
    <row r="3194" spans="1:7" ht="15.75" customHeight="1">
      <c r="A3194" s="4" t="s">
        <v>122</v>
      </c>
      <c r="B3194" s="1">
        <v>5.46</v>
      </c>
      <c r="C3194" s="1">
        <v>151</v>
      </c>
      <c r="D3194" s="1" t="s">
        <v>43</v>
      </c>
      <c r="E3194" s="1" t="s">
        <v>15</v>
      </c>
      <c r="F3194" s="1">
        <f t="shared" si="106"/>
        <v>546</v>
      </c>
      <c r="G3194" s="5">
        <f t="shared" si="105"/>
        <v>0.27655677655677657</v>
      </c>
    </row>
    <row r="3195" spans="1:7" ht="15.75" customHeight="1">
      <c r="A3195" s="4" t="s">
        <v>122</v>
      </c>
      <c r="B3195" s="1">
        <v>7.56</v>
      </c>
      <c r="C3195" s="1">
        <v>220</v>
      </c>
      <c r="D3195" s="1" t="s">
        <v>11</v>
      </c>
      <c r="E3195" s="1" t="s">
        <v>27</v>
      </c>
      <c r="F3195" s="1">
        <f t="shared" si="106"/>
        <v>756</v>
      </c>
      <c r="G3195" s="5">
        <f t="shared" si="105"/>
        <v>0.29100529100529099</v>
      </c>
    </row>
    <row r="3196" spans="1:7" ht="15.75" customHeight="1">
      <c r="A3196" s="4" t="s">
        <v>122</v>
      </c>
      <c r="B3196" s="1">
        <v>12.04</v>
      </c>
      <c r="C3196" s="1">
        <v>160</v>
      </c>
      <c r="D3196" s="1" t="s">
        <v>11</v>
      </c>
      <c r="E3196" s="1" t="s">
        <v>8</v>
      </c>
      <c r="F3196" s="1">
        <f t="shared" si="106"/>
        <v>1204</v>
      </c>
      <c r="G3196" s="5">
        <f t="shared" si="105"/>
        <v>0.13289036544850499</v>
      </c>
    </row>
    <row r="3197" spans="1:7" ht="15.75" customHeight="1">
      <c r="A3197" s="4" t="s">
        <v>122</v>
      </c>
      <c r="B3197" s="1">
        <v>6.5</v>
      </c>
      <c r="C3197" s="1">
        <v>142</v>
      </c>
      <c r="D3197" s="1" t="s">
        <v>38</v>
      </c>
      <c r="E3197" s="1" t="s">
        <v>14</v>
      </c>
      <c r="F3197" s="1">
        <f t="shared" si="106"/>
        <v>650</v>
      </c>
      <c r="G3197" s="5">
        <f t="shared" si="105"/>
        <v>0.21846153846153846</v>
      </c>
    </row>
    <row r="3198" spans="1:7" ht="15.75" customHeight="1">
      <c r="A3198" s="4" t="s">
        <v>122</v>
      </c>
      <c r="B3198" s="1">
        <v>3.5</v>
      </c>
      <c r="C3198" s="1">
        <v>55</v>
      </c>
      <c r="D3198" s="1" t="s">
        <v>42</v>
      </c>
      <c r="E3198" s="1" t="s">
        <v>10</v>
      </c>
      <c r="F3198" s="1">
        <f t="shared" si="106"/>
        <v>350</v>
      </c>
      <c r="G3198" s="5">
        <f t="shared" si="105"/>
        <v>0.15714285714285714</v>
      </c>
    </row>
    <row r="3199" spans="1:7" ht="15.75" customHeight="1">
      <c r="A3199" s="4" t="s">
        <v>122</v>
      </c>
      <c r="B3199" s="1">
        <v>8</v>
      </c>
      <c r="C3199" s="1">
        <v>184</v>
      </c>
      <c r="D3199" s="1" t="s">
        <v>11</v>
      </c>
      <c r="E3199" s="1" t="s">
        <v>31</v>
      </c>
      <c r="F3199" s="1">
        <f t="shared" si="106"/>
        <v>800</v>
      </c>
      <c r="G3199" s="5">
        <f t="shared" si="105"/>
        <v>0.23</v>
      </c>
    </row>
    <row r="3200" spans="1:7" ht="15.75" customHeight="1">
      <c r="A3200" s="4" t="s">
        <v>122</v>
      </c>
      <c r="B3200" s="1">
        <v>7.92</v>
      </c>
      <c r="C3200" s="1">
        <v>117</v>
      </c>
      <c r="D3200" s="1" t="s">
        <v>64</v>
      </c>
      <c r="E3200" s="1" t="s">
        <v>16</v>
      </c>
      <c r="F3200" s="1">
        <f t="shared" si="106"/>
        <v>792</v>
      </c>
      <c r="G3200" s="5">
        <f t="shared" si="105"/>
        <v>0.14772727272727273</v>
      </c>
    </row>
    <row r="3201" spans="1:7" ht="15.75" customHeight="1">
      <c r="A3201" s="4" t="s">
        <v>122</v>
      </c>
      <c r="B3201" s="1">
        <v>9.1999999999999993</v>
      </c>
      <c r="C3201" s="1">
        <v>341</v>
      </c>
      <c r="D3201" s="1" t="s">
        <v>11</v>
      </c>
      <c r="E3201" s="1" t="s">
        <v>7</v>
      </c>
      <c r="F3201" s="1">
        <f t="shared" si="106"/>
        <v>919.99999999999989</v>
      </c>
      <c r="G3201" s="5">
        <f t="shared" si="105"/>
        <v>0.3706521739130435</v>
      </c>
    </row>
    <row r="3202" spans="1:7" ht="15.75" customHeight="1">
      <c r="A3202" s="4" t="s">
        <v>122</v>
      </c>
      <c r="B3202" s="1">
        <v>5.16</v>
      </c>
      <c r="C3202" s="1">
        <v>115</v>
      </c>
      <c r="D3202" s="1" t="s">
        <v>44</v>
      </c>
      <c r="E3202" s="1" t="s">
        <v>10</v>
      </c>
      <c r="F3202" s="1">
        <f t="shared" si="106"/>
        <v>516</v>
      </c>
      <c r="G3202" s="5">
        <f t="shared" ref="G3202:G3265" si="107">C3202/F3202</f>
        <v>0.22286821705426357</v>
      </c>
    </row>
    <row r="3203" spans="1:7" ht="15.75" customHeight="1">
      <c r="A3203" s="4" t="s">
        <v>122</v>
      </c>
      <c r="B3203" s="1">
        <v>5</v>
      </c>
      <c r="C3203" s="1">
        <v>180.9</v>
      </c>
      <c r="D3203" s="1" t="s">
        <v>11</v>
      </c>
      <c r="E3203" s="1" t="s">
        <v>22</v>
      </c>
      <c r="F3203" s="1">
        <f t="shared" ref="F3203:F3266" si="108">B3203*100</f>
        <v>500</v>
      </c>
      <c r="G3203" s="5">
        <f t="shared" si="107"/>
        <v>0.36180000000000001</v>
      </c>
    </row>
    <row r="3204" spans="1:7" ht="15.75" customHeight="1">
      <c r="A3204" s="4" t="s">
        <v>122</v>
      </c>
      <c r="B3204" s="1">
        <v>5.6</v>
      </c>
      <c r="C3204" s="1">
        <v>199</v>
      </c>
      <c r="D3204" s="1" t="s">
        <v>33</v>
      </c>
      <c r="E3204" s="1" t="s">
        <v>12</v>
      </c>
      <c r="F3204" s="1">
        <f t="shared" si="108"/>
        <v>560</v>
      </c>
      <c r="G3204" s="5">
        <f t="shared" si="107"/>
        <v>0.35535714285714287</v>
      </c>
    </row>
    <row r="3205" spans="1:7" ht="15.75" customHeight="1">
      <c r="A3205" s="4" t="s">
        <v>122</v>
      </c>
      <c r="B3205" s="1">
        <v>7.76</v>
      </c>
      <c r="C3205" s="1">
        <v>209</v>
      </c>
      <c r="D3205" s="1" t="s">
        <v>11</v>
      </c>
      <c r="E3205" s="1" t="s">
        <v>16</v>
      </c>
      <c r="F3205" s="1">
        <f t="shared" si="108"/>
        <v>776</v>
      </c>
      <c r="G3205" s="5">
        <f t="shared" si="107"/>
        <v>0.26932989690721648</v>
      </c>
    </row>
    <row r="3206" spans="1:7" ht="15.75" customHeight="1">
      <c r="A3206" s="4" t="s">
        <v>122</v>
      </c>
      <c r="B3206" s="1">
        <v>5</v>
      </c>
      <c r="C3206" s="1">
        <v>104</v>
      </c>
      <c r="D3206" s="1" t="s">
        <v>11</v>
      </c>
      <c r="E3206" s="1" t="s">
        <v>14</v>
      </c>
      <c r="F3206" s="1">
        <f t="shared" si="108"/>
        <v>500</v>
      </c>
      <c r="G3206" s="5">
        <f t="shared" si="107"/>
        <v>0.20799999999999999</v>
      </c>
    </row>
    <row r="3207" spans="1:7" ht="15.75" customHeight="1">
      <c r="A3207" s="4" t="s">
        <v>122</v>
      </c>
      <c r="B3207" s="1">
        <v>7.4</v>
      </c>
      <c r="C3207" s="1">
        <v>242</v>
      </c>
      <c r="D3207" s="1" t="s">
        <v>11</v>
      </c>
      <c r="E3207" s="1" t="s">
        <v>10</v>
      </c>
      <c r="F3207" s="1">
        <f t="shared" si="108"/>
        <v>740</v>
      </c>
      <c r="G3207" s="5">
        <f t="shared" si="107"/>
        <v>0.32702702702702702</v>
      </c>
    </row>
    <row r="3208" spans="1:7" ht="15.75" customHeight="1">
      <c r="A3208" s="4" t="s">
        <v>122</v>
      </c>
      <c r="B3208" s="1">
        <v>7.92</v>
      </c>
      <c r="C3208" s="1">
        <v>254</v>
      </c>
      <c r="D3208" s="1" t="s">
        <v>11</v>
      </c>
      <c r="E3208" s="1" t="s">
        <v>9</v>
      </c>
      <c r="F3208" s="1">
        <f t="shared" si="108"/>
        <v>792</v>
      </c>
      <c r="G3208" s="5">
        <f t="shared" si="107"/>
        <v>0.32070707070707072</v>
      </c>
    </row>
    <row r="3209" spans="1:7" ht="15.75" customHeight="1">
      <c r="A3209" s="4" t="s">
        <v>122</v>
      </c>
      <c r="B3209" s="1">
        <v>5.5</v>
      </c>
      <c r="C3209" s="1">
        <v>357</v>
      </c>
      <c r="D3209" s="1" t="s">
        <v>11</v>
      </c>
      <c r="E3209" s="1" t="s">
        <v>8</v>
      </c>
      <c r="F3209" s="1">
        <f t="shared" si="108"/>
        <v>550</v>
      </c>
      <c r="G3209" s="5">
        <f t="shared" si="107"/>
        <v>0.64909090909090905</v>
      </c>
    </row>
    <row r="3210" spans="1:7" ht="15.75" customHeight="1">
      <c r="A3210" s="4" t="s">
        <v>122</v>
      </c>
      <c r="B3210" s="1">
        <v>5.0999999999999996</v>
      </c>
      <c r="C3210" s="1">
        <v>77</v>
      </c>
      <c r="D3210" s="1" t="s">
        <v>40</v>
      </c>
      <c r="E3210" s="1" t="s">
        <v>15</v>
      </c>
      <c r="F3210" s="1">
        <f t="shared" si="108"/>
        <v>509.99999999999994</v>
      </c>
      <c r="G3210" s="5">
        <f t="shared" si="107"/>
        <v>0.15098039215686276</v>
      </c>
    </row>
    <row r="3211" spans="1:7" ht="15.75" customHeight="1">
      <c r="A3211" s="4" t="s">
        <v>122</v>
      </c>
      <c r="B3211" s="1">
        <v>6.09</v>
      </c>
      <c r="C3211" s="1">
        <v>115</v>
      </c>
      <c r="D3211" s="1" t="s">
        <v>36</v>
      </c>
      <c r="E3211" s="1" t="s">
        <v>15</v>
      </c>
      <c r="F3211" s="1">
        <f t="shared" si="108"/>
        <v>609</v>
      </c>
      <c r="G3211" s="5">
        <f t="shared" si="107"/>
        <v>0.18883415435139572</v>
      </c>
    </row>
    <row r="3212" spans="1:7" ht="15.75" customHeight="1">
      <c r="A3212" s="4" t="s">
        <v>122</v>
      </c>
      <c r="B3212" s="1">
        <v>6</v>
      </c>
      <c r="C3212" s="1">
        <v>119</v>
      </c>
      <c r="D3212" s="1" t="s">
        <v>38</v>
      </c>
      <c r="E3212" s="1" t="s">
        <v>16</v>
      </c>
      <c r="F3212" s="1">
        <f t="shared" si="108"/>
        <v>600</v>
      </c>
      <c r="G3212" s="5">
        <f t="shared" si="107"/>
        <v>0.19833333333333333</v>
      </c>
    </row>
    <row r="3213" spans="1:7" ht="15.75" customHeight="1">
      <c r="A3213" s="4" t="s">
        <v>122</v>
      </c>
      <c r="B3213" s="1">
        <v>5.2</v>
      </c>
      <c r="C3213" s="1">
        <v>169</v>
      </c>
      <c r="D3213" s="1" t="s">
        <v>11</v>
      </c>
      <c r="E3213" s="1" t="s">
        <v>16</v>
      </c>
      <c r="F3213" s="1">
        <f t="shared" si="108"/>
        <v>520</v>
      </c>
      <c r="G3213" s="5">
        <f t="shared" si="107"/>
        <v>0.32500000000000001</v>
      </c>
    </row>
    <row r="3214" spans="1:7" ht="15.75" customHeight="1">
      <c r="A3214" s="4" t="s">
        <v>122</v>
      </c>
      <c r="B3214" s="1">
        <v>4.5</v>
      </c>
      <c r="C3214" s="1">
        <v>75</v>
      </c>
      <c r="D3214" s="1" t="s">
        <v>11</v>
      </c>
      <c r="E3214" s="1" t="s">
        <v>16</v>
      </c>
      <c r="F3214" s="1">
        <f t="shared" si="108"/>
        <v>450</v>
      </c>
      <c r="G3214" s="5">
        <f t="shared" si="107"/>
        <v>0.16666666666666666</v>
      </c>
    </row>
    <row r="3215" spans="1:7" ht="15.75" customHeight="1">
      <c r="A3215" s="4" t="s">
        <v>122</v>
      </c>
      <c r="B3215" s="1">
        <v>7.3949999999999996</v>
      </c>
      <c r="C3215" s="1">
        <v>157</v>
      </c>
      <c r="D3215" s="1" t="s">
        <v>42</v>
      </c>
      <c r="E3215" s="1" t="s">
        <v>25</v>
      </c>
      <c r="F3215" s="1">
        <f t="shared" si="108"/>
        <v>739.5</v>
      </c>
      <c r="G3215" s="5">
        <f t="shared" si="107"/>
        <v>0.21230561189993238</v>
      </c>
    </row>
    <row r="3216" spans="1:7" ht="15.75" customHeight="1">
      <c r="A3216" s="4" t="s">
        <v>122</v>
      </c>
      <c r="B3216" s="1">
        <v>6.2</v>
      </c>
      <c r="C3216" s="1">
        <v>88</v>
      </c>
      <c r="D3216" s="1" t="s">
        <v>33</v>
      </c>
      <c r="E3216" s="1" t="s">
        <v>14</v>
      </c>
      <c r="F3216" s="1">
        <f t="shared" si="108"/>
        <v>620</v>
      </c>
      <c r="G3216" s="5">
        <f t="shared" si="107"/>
        <v>0.14193548387096774</v>
      </c>
    </row>
    <row r="3217" spans="1:7" ht="15.75" customHeight="1">
      <c r="A3217" s="4" t="s">
        <v>122</v>
      </c>
      <c r="B3217" s="1">
        <v>6.56</v>
      </c>
      <c r="C3217" s="1">
        <v>94</v>
      </c>
      <c r="D3217" s="1" t="s">
        <v>11</v>
      </c>
      <c r="E3217" s="1" t="s">
        <v>18</v>
      </c>
      <c r="F3217" s="1">
        <f t="shared" si="108"/>
        <v>656</v>
      </c>
      <c r="G3217" s="5">
        <f t="shared" si="107"/>
        <v>0.14329268292682926</v>
      </c>
    </row>
    <row r="3218" spans="1:7" ht="15.75" customHeight="1">
      <c r="A3218" s="4" t="s">
        <v>122</v>
      </c>
      <c r="B3218" s="1">
        <v>8.375</v>
      </c>
      <c r="C3218" s="1">
        <v>172</v>
      </c>
      <c r="D3218" s="1" t="s">
        <v>11</v>
      </c>
      <c r="E3218" s="1" t="s">
        <v>15</v>
      </c>
      <c r="F3218" s="1">
        <f t="shared" si="108"/>
        <v>837.5</v>
      </c>
      <c r="G3218" s="5">
        <f t="shared" si="107"/>
        <v>0.20537313432835821</v>
      </c>
    </row>
    <row r="3219" spans="1:7" ht="15.75" customHeight="1">
      <c r="A3219" s="4" t="s">
        <v>122</v>
      </c>
      <c r="B3219" s="1">
        <v>5.2</v>
      </c>
      <c r="C3219" s="1">
        <v>93</v>
      </c>
      <c r="D3219" s="1" t="s">
        <v>11</v>
      </c>
      <c r="E3219" s="1" t="s">
        <v>15</v>
      </c>
      <c r="F3219" s="1">
        <f t="shared" si="108"/>
        <v>520</v>
      </c>
      <c r="G3219" s="5">
        <f t="shared" si="107"/>
        <v>0.17884615384615385</v>
      </c>
    </row>
    <row r="3220" spans="1:7" ht="15.75" customHeight="1">
      <c r="A3220" s="4" t="s">
        <v>122</v>
      </c>
      <c r="B3220" s="1">
        <v>4.38</v>
      </c>
      <c r="C3220" s="1">
        <v>102</v>
      </c>
      <c r="D3220" s="1" t="s">
        <v>43</v>
      </c>
      <c r="E3220" s="1" t="s">
        <v>24</v>
      </c>
      <c r="F3220" s="1">
        <f t="shared" si="108"/>
        <v>438</v>
      </c>
      <c r="G3220" s="5">
        <f t="shared" si="107"/>
        <v>0.23287671232876711</v>
      </c>
    </row>
    <row r="3221" spans="1:7" ht="15.75" customHeight="1">
      <c r="A3221" s="4" t="s">
        <v>122</v>
      </c>
      <c r="B3221" s="1">
        <v>6.8</v>
      </c>
      <c r="C3221" s="1">
        <v>170</v>
      </c>
      <c r="D3221" s="1" t="s">
        <v>11</v>
      </c>
      <c r="E3221" s="1" t="s">
        <v>26</v>
      </c>
      <c r="F3221" s="1">
        <f t="shared" si="108"/>
        <v>680</v>
      </c>
      <c r="G3221" s="5">
        <f t="shared" si="107"/>
        <v>0.25</v>
      </c>
    </row>
    <row r="3222" spans="1:7" ht="15.75" customHeight="1">
      <c r="A3222" s="4" t="s">
        <v>122</v>
      </c>
      <c r="B3222" s="1">
        <v>6.96</v>
      </c>
      <c r="C3222" s="1">
        <v>187</v>
      </c>
      <c r="D3222" s="1" t="s">
        <v>11</v>
      </c>
      <c r="E3222" s="1" t="s">
        <v>8</v>
      </c>
      <c r="F3222" s="1">
        <f t="shared" si="108"/>
        <v>696</v>
      </c>
      <c r="G3222" s="5">
        <f t="shared" si="107"/>
        <v>0.26867816091954022</v>
      </c>
    </row>
    <row r="3223" spans="1:7" ht="15.75" customHeight="1">
      <c r="A3223" s="4" t="s">
        <v>122</v>
      </c>
      <c r="B3223" s="1">
        <v>7.9</v>
      </c>
      <c r="C3223" s="1">
        <v>103</v>
      </c>
      <c r="D3223" s="1" t="s">
        <v>53</v>
      </c>
      <c r="E3223" s="1" t="s">
        <v>9</v>
      </c>
      <c r="F3223" s="1">
        <f t="shared" si="108"/>
        <v>790</v>
      </c>
      <c r="G3223" s="5">
        <f t="shared" si="107"/>
        <v>0.13037974683544304</v>
      </c>
    </row>
    <row r="3224" spans="1:7" ht="15.75" customHeight="1">
      <c r="A3224" s="4" t="s">
        <v>122</v>
      </c>
      <c r="B3224" s="1">
        <v>5.22</v>
      </c>
      <c r="C3224" s="1">
        <v>123</v>
      </c>
      <c r="D3224" s="1" t="s">
        <v>11</v>
      </c>
      <c r="E3224" s="1" t="s">
        <v>12</v>
      </c>
      <c r="F3224" s="1">
        <f t="shared" si="108"/>
        <v>522</v>
      </c>
      <c r="G3224" s="5">
        <f t="shared" si="107"/>
        <v>0.23563218390804597</v>
      </c>
    </row>
    <row r="3225" spans="1:7" ht="15.75" customHeight="1">
      <c r="A3225" s="4" t="s">
        <v>122</v>
      </c>
      <c r="B3225" s="1">
        <v>5.6</v>
      </c>
      <c r="C3225" s="1">
        <v>88</v>
      </c>
      <c r="D3225" s="1" t="s">
        <v>106</v>
      </c>
      <c r="E3225" s="1" t="s">
        <v>8</v>
      </c>
      <c r="F3225" s="1">
        <f t="shared" si="108"/>
        <v>560</v>
      </c>
      <c r="G3225" s="5">
        <f t="shared" si="107"/>
        <v>0.15714285714285714</v>
      </c>
    </row>
    <row r="3226" spans="1:7" ht="15.75" customHeight="1">
      <c r="A3226" s="4" t="s">
        <v>122</v>
      </c>
      <c r="B3226" s="1">
        <v>8.3000000000000007</v>
      </c>
      <c r="C3226" s="1">
        <v>98</v>
      </c>
      <c r="D3226" s="1" t="s">
        <v>33</v>
      </c>
      <c r="E3226" s="1" t="s">
        <v>7</v>
      </c>
      <c r="F3226" s="1">
        <f t="shared" si="108"/>
        <v>830.00000000000011</v>
      </c>
      <c r="G3226" s="5">
        <f t="shared" si="107"/>
        <v>0.11807228915662649</v>
      </c>
    </row>
    <row r="3227" spans="1:7" ht="15.75" customHeight="1">
      <c r="A3227" s="4" t="s">
        <v>122</v>
      </c>
      <c r="B3227" s="1">
        <v>8.64</v>
      </c>
      <c r="C3227" s="1">
        <v>208</v>
      </c>
      <c r="D3227" s="1" t="s">
        <v>11</v>
      </c>
      <c r="E3227" s="1" t="s">
        <v>9</v>
      </c>
      <c r="F3227" s="1">
        <f t="shared" si="108"/>
        <v>864</v>
      </c>
      <c r="G3227" s="5">
        <f t="shared" si="107"/>
        <v>0.24074074074074073</v>
      </c>
    </row>
    <row r="3228" spans="1:7" ht="15.75" customHeight="1">
      <c r="A3228" s="4" t="s">
        <v>122</v>
      </c>
      <c r="B3228" s="1">
        <v>5.16</v>
      </c>
      <c r="C3228" s="1">
        <v>64</v>
      </c>
      <c r="D3228" s="1" t="s">
        <v>42</v>
      </c>
      <c r="E3228" s="1" t="s">
        <v>22</v>
      </c>
      <c r="F3228" s="1">
        <f t="shared" si="108"/>
        <v>516</v>
      </c>
      <c r="G3228" s="5">
        <f t="shared" si="107"/>
        <v>0.12403100775193798</v>
      </c>
    </row>
    <row r="3229" spans="1:7" ht="15.75" customHeight="1">
      <c r="A3229" s="4" t="s">
        <v>122</v>
      </c>
      <c r="B3229" s="1">
        <v>7.7</v>
      </c>
      <c r="C3229" s="1">
        <v>58</v>
      </c>
      <c r="D3229" s="1" t="s">
        <v>33</v>
      </c>
      <c r="E3229" s="1" t="s">
        <v>16</v>
      </c>
      <c r="F3229" s="1">
        <f t="shared" si="108"/>
        <v>770</v>
      </c>
      <c r="G3229" s="5">
        <f t="shared" si="107"/>
        <v>7.5324675324675322E-2</v>
      </c>
    </row>
    <row r="3230" spans="1:7" ht="15.75" customHeight="1">
      <c r="A3230" s="4" t="s">
        <v>122</v>
      </c>
      <c r="B3230" s="1">
        <v>7.6</v>
      </c>
      <c r="C3230" s="1">
        <v>126</v>
      </c>
      <c r="D3230" s="1" t="s">
        <v>59</v>
      </c>
      <c r="E3230" s="1" t="s">
        <v>49</v>
      </c>
      <c r="F3230" s="1">
        <f t="shared" si="108"/>
        <v>760</v>
      </c>
      <c r="G3230" s="5">
        <f t="shared" si="107"/>
        <v>0.16578947368421051</v>
      </c>
    </row>
    <row r="3231" spans="1:7" ht="15.75" customHeight="1">
      <c r="A3231" s="4" t="s">
        <v>122</v>
      </c>
      <c r="B3231" s="1">
        <v>11.25</v>
      </c>
      <c r="C3231" s="1">
        <v>218</v>
      </c>
      <c r="D3231" s="1" t="s">
        <v>45</v>
      </c>
      <c r="E3231" s="1" t="s">
        <v>8</v>
      </c>
      <c r="F3231" s="1">
        <f t="shared" si="108"/>
        <v>1125</v>
      </c>
      <c r="G3231" s="5">
        <f t="shared" si="107"/>
        <v>0.19377777777777777</v>
      </c>
    </row>
    <row r="3232" spans="1:7" ht="15.75" customHeight="1">
      <c r="A3232" s="4" t="s">
        <v>122</v>
      </c>
      <c r="B3232" s="1">
        <v>7.2</v>
      </c>
      <c r="C3232" s="1">
        <v>151</v>
      </c>
      <c r="D3232" s="1" t="s">
        <v>47</v>
      </c>
      <c r="E3232" s="1" t="s">
        <v>17</v>
      </c>
      <c r="F3232" s="1">
        <f t="shared" si="108"/>
        <v>720</v>
      </c>
      <c r="G3232" s="5">
        <f t="shared" si="107"/>
        <v>0.20972222222222223</v>
      </c>
    </row>
    <row r="3233" spans="1:7" ht="15.75" customHeight="1">
      <c r="A3233" s="4" t="s">
        <v>122</v>
      </c>
      <c r="B3233" s="1">
        <v>10</v>
      </c>
      <c r="C3233" s="1">
        <v>221</v>
      </c>
      <c r="D3233" s="1" t="s">
        <v>44</v>
      </c>
      <c r="E3233" s="1" t="s">
        <v>12</v>
      </c>
      <c r="F3233" s="1">
        <f t="shared" si="108"/>
        <v>1000</v>
      </c>
      <c r="G3233" s="5">
        <f t="shared" si="107"/>
        <v>0.221</v>
      </c>
    </row>
    <row r="3234" spans="1:7" ht="15.75" customHeight="1">
      <c r="A3234" s="4" t="s">
        <v>122</v>
      </c>
      <c r="B3234" s="1">
        <v>7.74</v>
      </c>
      <c r="C3234" s="1">
        <v>134</v>
      </c>
      <c r="D3234" s="1" t="s">
        <v>38</v>
      </c>
      <c r="E3234" s="1" t="s">
        <v>14</v>
      </c>
      <c r="F3234" s="1">
        <f t="shared" si="108"/>
        <v>774</v>
      </c>
      <c r="G3234" s="5">
        <f t="shared" si="107"/>
        <v>0.1731266149870801</v>
      </c>
    </row>
    <row r="3235" spans="1:7" ht="15.75" customHeight="1">
      <c r="A3235" s="4" t="s">
        <v>122</v>
      </c>
      <c r="B3235" s="1">
        <v>5.88</v>
      </c>
      <c r="C3235" s="1">
        <v>72</v>
      </c>
      <c r="D3235" s="1" t="s">
        <v>38</v>
      </c>
      <c r="E3235" s="1" t="s">
        <v>22</v>
      </c>
      <c r="F3235" s="1">
        <f t="shared" si="108"/>
        <v>588</v>
      </c>
      <c r="G3235" s="5">
        <f t="shared" si="107"/>
        <v>0.12244897959183673</v>
      </c>
    </row>
    <row r="3236" spans="1:7" ht="15.75" customHeight="1">
      <c r="A3236" s="4" t="s">
        <v>122</v>
      </c>
      <c r="B3236" s="1">
        <v>6.4</v>
      </c>
      <c r="C3236" s="1">
        <v>100.8</v>
      </c>
      <c r="D3236" s="1" t="s">
        <v>33</v>
      </c>
      <c r="E3236" s="1" t="s">
        <v>15</v>
      </c>
      <c r="F3236" s="1">
        <f t="shared" si="108"/>
        <v>640</v>
      </c>
      <c r="G3236" s="5">
        <f t="shared" si="107"/>
        <v>0.1575</v>
      </c>
    </row>
    <row r="3237" spans="1:7" ht="15.75" customHeight="1">
      <c r="A3237" s="4" t="s">
        <v>122</v>
      </c>
      <c r="B3237" s="1">
        <v>7.8</v>
      </c>
      <c r="C3237" s="1">
        <v>164</v>
      </c>
      <c r="D3237" s="1" t="s">
        <v>43</v>
      </c>
      <c r="E3237" s="1" t="s">
        <v>9</v>
      </c>
      <c r="F3237" s="1">
        <f t="shared" si="108"/>
        <v>780</v>
      </c>
      <c r="G3237" s="5">
        <f t="shared" si="107"/>
        <v>0.21025641025641026</v>
      </c>
    </row>
    <row r="3238" spans="1:7" ht="15.75" customHeight="1">
      <c r="A3238" s="4" t="s">
        <v>122</v>
      </c>
      <c r="B3238" s="1">
        <v>7.29</v>
      </c>
      <c r="C3238" s="1">
        <v>170</v>
      </c>
      <c r="D3238" s="1" t="s">
        <v>11</v>
      </c>
      <c r="E3238" s="1" t="s">
        <v>27</v>
      </c>
      <c r="F3238" s="1">
        <f t="shared" si="108"/>
        <v>729</v>
      </c>
      <c r="G3238" s="5">
        <f t="shared" si="107"/>
        <v>0.23319615912208505</v>
      </c>
    </row>
    <row r="3239" spans="1:7" ht="15.75" customHeight="1">
      <c r="A3239" s="4" t="s">
        <v>122</v>
      </c>
      <c r="B3239" s="1">
        <v>7.74</v>
      </c>
      <c r="C3239" s="1">
        <v>126</v>
      </c>
      <c r="D3239" s="1" t="s">
        <v>33</v>
      </c>
      <c r="E3239" s="1" t="s">
        <v>16</v>
      </c>
      <c r="F3239" s="1">
        <f t="shared" si="108"/>
        <v>774</v>
      </c>
      <c r="G3239" s="5">
        <f t="shared" si="107"/>
        <v>0.16279069767441862</v>
      </c>
    </row>
    <row r="3240" spans="1:7" ht="15.75" customHeight="1">
      <c r="A3240" s="4" t="s">
        <v>122</v>
      </c>
      <c r="B3240" s="1">
        <v>9.68</v>
      </c>
      <c r="C3240" s="1">
        <v>124</v>
      </c>
      <c r="D3240" s="1" t="s">
        <v>36</v>
      </c>
      <c r="E3240" s="1" t="s">
        <v>7</v>
      </c>
      <c r="F3240" s="1">
        <f t="shared" si="108"/>
        <v>968</v>
      </c>
      <c r="G3240" s="5">
        <f t="shared" si="107"/>
        <v>0.128099173553719</v>
      </c>
    </row>
    <row r="3241" spans="1:7" ht="15.75" customHeight="1">
      <c r="A3241" s="4" t="s">
        <v>122</v>
      </c>
      <c r="B3241" s="1">
        <v>3.68</v>
      </c>
      <c r="C3241" s="1">
        <v>113</v>
      </c>
      <c r="D3241" s="1" t="s">
        <v>43</v>
      </c>
      <c r="E3241" s="1" t="s">
        <v>18</v>
      </c>
      <c r="F3241" s="1">
        <f t="shared" si="108"/>
        <v>368</v>
      </c>
      <c r="G3241" s="5">
        <f t="shared" si="107"/>
        <v>0.30706521739130432</v>
      </c>
    </row>
    <row r="3242" spans="1:7" ht="15.75" customHeight="1">
      <c r="A3242" s="4" t="s">
        <v>122</v>
      </c>
      <c r="B3242" s="1">
        <v>7.29</v>
      </c>
      <c r="C3242" s="1">
        <v>178</v>
      </c>
      <c r="D3242" s="1" t="s">
        <v>11</v>
      </c>
      <c r="E3242" s="1" t="s">
        <v>7</v>
      </c>
      <c r="F3242" s="1">
        <f t="shared" si="108"/>
        <v>729</v>
      </c>
      <c r="G3242" s="5">
        <f t="shared" si="107"/>
        <v>0.24417009602194786</v>
      </c>
    </row>
    <row r="3243" spans="1:7" ht="15.75" customHeight="1">
      <c r="A3243" s="4" t="s">
        <v>122</v>
      </c>
      <c r="B3243" s="1">
        <v>6.72</v>
      </c>
      <c r="C3243" s="1">
        <v>61</v>
      </c>
      <c r="D3243" s="1" t="s">
        <v>39</v>
      </c>
      <c r="E3243" s="1" t="s">
        <v>25</v>
      </c>
      <c r="F3243" s="1">
        <f t="shared" si="108"/>
        <v>672</v>
      </c>
      <c r="G3243" s="5">
        <f t="shared" si="107"/>
        <v>9.0773809523809521E-2</v>
      </c>
    </row>
    <row r="3244" spans="1:7" ht="15.75" customHeight="1">
      <c r="A3244" s="4" t="s">
        <v>122</v>
      </c>
      <c r="B3244" s="1">
        <v>6.96</v>
      </c>
      <c r="C3244" s="1">
        <v>102</v>
      </c>
      <c r="D3244" s="1" t="s">
        <v>33</v>
      </c>
      <c r="E3244" s="1" t="s">
        <v>12</v>
      </c>
      <c r="F3244" s="1">
        <f t="shared" si="108"/>
        <v>696</v>
      </c>
      <c r="G3244" s="5">
        <f t="shared" si="107"/>
        <v>0.14655172413793102</v>
      </c>
    </row>
    <row r="3245" spans="1:7" ht="15.75" customHeight="1">
      <c r="A3245" s="4" t="s">
        <v>122</v>
      </c>
      <c r="B3245" s="1">
        <v>4.3499999999999996</v>
      </c>
      <c r="C3245" s="1">
        <v>77</v>
      </c>
      <c r="D3245" s="1" t="s">
        <v>11</v>
      </c>
      <c r="E3245" s="1" t="s">
        <v>15</v>
      </c>
      <c r="F3245" s="1">
        <f t="shared" si="108"/>
        <v>434.99999999999994</v>
      </c>
      <c r="G3245" s="5">
        <f t="shared" si="107"/>
        <v>0.17701149425287357</v>
      </c>
    </row>
    <row r="3246" spans="1:7" ht="15.75" customHeight="1">
      <c r="A3246" s="4" t="s">
        <v>122</v>
      </c>
      <c r="B3246" s="1">
        <v>6.8</v>
      </c>
      <c r="C3246" s="1">
        <v>50</v>
      </c>
      <c r="D3246" s="1" t="s">
        <v>37</v>
      </c>
      <c r="E3246" s="1" t="s">
        <v>14</v>
      </c>
      <c r="F3246" s="1">
        <f t="shared" si="108"/>
        <v>680</v>
      </c>
      <c r="G3246" s="5">
        <f t="shared" si="107"/>
        <v>7.3529411764705885E-2</v>
      </c>
    </row>
    <row r="3247" spans="1:7" ht="15.75" customHeight="1">
      <c r="A3247" s="4" t="s">
        <v>122</v>
      </c>
      <c r="B3247" s="1">
        <v>5.6</v>
      </c>
      <c r="C3247" s="1">
        <v>132</v>
      </c>
      <c r="D3247" s="1" t="s">
        <v>54</v>
      </c>
      <c r="E3247" s="1" t="s">
        <v>22</v>
      </c>
      <c r="F3247" s="1">
        <f t="shared" si="108"/>
        <v>560</v>
      </c>
      <c r="G3247" s="5">
        <f t="shared" si="107"/>
        <v>0.23571428571428571</v>
      </c>
    </row>
    <row r="3248" spans="1:7" ht="15.75" customHeight="1">
      <c r="A3248" s="4" t="s">
        <v>122</v>
      </c>
      <c r="B3248" s="1">
        <v>8.6</v>
      </c>
      <c r="C3248" s="1">
        <v>143</v>
      </c>
      <c r="D3248" s="1" t="s">
        <v>33</v>
      </c>
      <c r="E3248" s="1" t="s">
        <v>23</v>
      </c>
      <c r="F3248" s="1">
        <f t="shared" si="108"/>
        <v>860</v>
      </c>
      <c r="G3248" s="5">
        <f t="shared" si="107"/>
        <v>0.16627906976744186</v>
      </c>
    </row>
    <row r="3249" spans="1:7" ht="15.75" customHeight="1">
      <c r="A3249" s="4" t="s">
        <v>122</v>
      </c>
      <c r="B3249" s="1">
        <v>3</v>
      </c>
      <c r="C3249" s="1">
        <v>81</v>
      </c>
      <c r="D3249" s="1" t="s">
        <v>11</v>
      </c>
      <c r="E3249" s="1" t="s">
        <v>15</v>
      </c>
      <c r="F3249" s="1">
        <f t="shared" si="108"/>
        <v>300</v>
      </c>
      <c r="G3249" s="5">
        <f t="shared" si="107"/>
        <v>0.27</v>
      </c>
    </row>
    <row r="3250" spans="1:7" ht="15.75" customHeight="1">
      <c r="A3250" s="4" t="s">
        <v>122</v>
      </c>
      <c r="B3250" s="1">
        <v>5.4</v>
      </c>
      <c r="C3250" s="1">
        <v>99.2</v>
      </c>
      <c r="D3250" s="1" t="s">
        <v>33</v>
      </c>
      <c r="E3250" s="1" t="s">
        <v>17</v>
      </c>
      <c r="F3250" s="1">
        <f t="shared" si="108"/>
        <v>540</v>
      </c>
      <c r="G3250" s="5">
        <f t="shared" si="107"/>
        <v>0.1837037037037037</v>
      </c>
    </row>
    <row r="3251" spans="1:7" ht="15.75" customHeight="1">
      <c r="A3251" s="4" t="s">
        <v>122</v>
      </c>
      <c r="B3251" s="1">
        <v>6.96</v>
      </c>
      <c r="C3251" s="1">
        <v>133</v>
      </c>
      <c r="D3251" s="1" t="s">
        <v>11</v>
      </c>
      <c r="E3251" s="1" t="s">
        <v>16</v>
      </c>
      <c r="F3251" s="1">
        <f t="shared" si="108"/>
        <v>696</v>
      </c>
      <c r="G3251" s="5">
        <f t="shared" si="107"/>
        <v>0.19109195402298851</v>
      </c>
    </row>
    <row r="3252" spans="1:7" ht="15.75" customHeight="1">
      <c r="A3252" s="4" t="s">
        <v>122</v>
      </c>
      <c r="B3252" s="1">
        <v>6.96</v>
      </c>
      <c r="C3252" s="1">
        <v>85</v>
      </c>
      <c r="D3252" s="1" t="s">
        <v>39</v>
      </c>
      <c r="E3252" s="1" t="s">
        <v>62</v>
      </c>
      <c r="F3252" s="1">
        <f t="shared" si="108"/>
        <v>696</v>
      </c>
      <c r="G3252" s="5">
        <f t="shared" si="107"/>
        <v>0.1221264367816092</v>
      </c>
    </row>
    <row r="3253" spans="1:7" ht="15.75" customHeight="1">
      <c r="A3253" s="4" t="s">
        <v>122</v>
      </c>
      <c r="B3253" s="1">
        <v>8.9</v>
      </c>
      <c r="C3253" s="1">
        <v>190</v>
      </c>
      <c r="D3253" s="1" t="s">
        <v>42</v>
      </c>
      <c r="E3253" s="1" t="s">
        <v>17</v>
      </c>
      <c r="F3253" s="1">
        <f t="shared" si="108"/>
        <v>890</v>
      </c>
      <c r="G3253" s="5">
        <f t="shared" si="107"/>
        <v>0.21348314606741572</v>
      </c>
    </row>
    <row r="3254" spans="1:7" ht="15.75" customHeight="1">
      <c r="A3254" s="4" t="s">
        <v>122</v>
      </c>
      <c r="B3254" s="1">
        <v>6.7</v>
      </c>
      <c r="C3254" s="1">
        <v>159</v>
      </c>
      <c r="D3254" s="1" t="s">
        <v>11</v>
      </c>
      <c r="E3254" s="1" t="s">
        <v>16</v>
      </c>
      <c r="F3254" s="1">
        <f t="shared" si="108"/>
        <v>670</v>
      </c>
      <c r="G3254" s="5">
        <f t="shared" si="107"/>
        <v>0.2373134328358209</v>
      </c>
    </row>
    <row r="3255" spans="1:7" ht="15.75" customHeight="1">
      <c r="A3255" s="4" t="s">
        <v>122</v>
      </c>
      <c r="B3255" s="1">
        <v>6</v>
      </c>
      <c r="C3255" s="1">
        <v>146</v>
      </c>
      <c r="D3255" s="1" t="s">
        <v>11</v>
      </c>
      <c r="E3255" s="1" t="s">
        <v>30</v>
      </c>
      <c r="F3255" s="1">
        <f t="shared" si="108"/>
        <v>600</v>
      </c>
      <c r="G3255" s="5">
        <f t="shared" si="107"/>
        <v>0.24333333333333335</v>
      </c>
    </row>
    <row r="3256" spans="1:7" ht="15.75" customHeight="1">
      <c r="A3256" s="4" t="s">
        <v>122</v>
      </c>
      <c r="B3256" s="1">
        <v>6.6</v>
      </c>
      <c r="C3256" s="1">
        <v>146</v>
      </c>
      <c r="D3256" s="1" t="s">
        <v>11</v>
      </c>
      <c r="E3256" s="1" t="s">
        <v>8</v>
      </c>
      <c r="F3256" s="1">
        <f t="shared" si="108"/>
        <v>660</v>
      </c>
      <c r="G3256" s="5">
        <f t="shared" si="107"/>
        <v>0.22121212121212122</v>
      </c>
    </row>
    <row r="3257" spans="1:7" ht="15.75" customHeight="1">
      <c r="A3257" s="4" t="s">
        <v>122</v>
      </c>
      <c r="B3257" s="1">
        <v>5.6</v>
      </c>
      <c r="C3257" s="1">
        <v>87</v>
      </c>
      <c r="D3257" s="1" t="s">
        <v>33</v>
      </c>
      <c r="E3257" s="1" t="s">
        <v>14</v>
      </c>
      <c r="F3257" s="1">
        <f t="shared" si="108"/>
        <v>560</v>
      </c>
      <c r="G3257" s="5">
        <f t="shared" si="107"/>
        <v>0.15535714285714286</v>
      </c>
    </row>
    <row r="3258" spans="1:7" ht="15.75" customHeight="1">
      <c r="A3258" s="4" t="s">
        <v>122</v>
      </c>
      <c r="B3258" s="1">
        <v>4.9000000000000004</v>
      </c>
      <c r="C3258" s="1">
        <v>111.2</v>
      </c>
      <c r="D3258" s="1" t="s">
        <v>35</v>
      </c>
      <c r="E3258" s="1" t="s">
        <v>19</v>
      </c>
      <c r="F3258" s="1">
        <f t="shared" si="108"/>
        <v>490.00000000000006</v>
      </c>
      <c r="G3258" s="5">
        <f t="shared" si="107"/>
        <v>0.22693877551020405</v>
      </c>
    </row>
    <row r="3259" spans="1:7" ht="15.75" customHeight="1">
      <c r="A3259" s="4" t="s">
        <v>122</v>
      </c>
      <c r="B3259" s="1">
        <v>6.8</v>
      </c>
      <c r="C3259" s="1">
        <v>143</v>
      </c>
      <c r="D3259" s="1" t="s">
        <v>11</v>
      </c>
      <c r="E3259" s="1" t="s">
        <v>26</v>
      </c>
      <c r="F3259" s="1">
        <f t="shared" si="108"/>
        <v>680</v>
      </c>
      <c r="G3259" s="5">
        <f t="shared" si="107"/>
        <v>0.21029411764705883</v>
      </c>
    </row>
    <row r="3260" spans="1:7" ht="15.75" customHeight="1">
      <c r="A3260" s="4" t="s">
        <v>122</v>
      </c>
      <c r="B3260" s="1">
        <v>6.72</v>
      </c>
      <c r="C3260" s="1">
        <v>158</v>
      </c>
      <c r="D3260" s="1" t="s">
        <v>11</v>
      </c>
      <c r="E3260" s="1" t="s">
        <v>15</v>
      </c>
      <c r="F3260" s="1">
        <f t="shared" si="108"/>
        <v>672</v>
      </c>
      <c r="G3260" s="5">
        <f t="shared" si="107"/>
        <v>0.23511904761904762</v>
      </c>
    </row>
    <row r="3261" spans="1:7" ht="15.75" customHeight="1">
      <c r="A3261" s="4" t="s">
        <v>122</v>
      </c>
      <c r="B3261" s="1">
        <v>5.7</v>
      </c>
      <c r="C3261" s="1">
        <v>124</v>
      </c>
      <c r="D3261" s="1" t="s">
        <v>11</v>
      </c>
      <c r="E3261" s="1" t="s">
        <v>12</v>
      </c>
      <c r="F3261" s="1">
        <f t="shared" si="108"/>
        <v>570</v>
      </c>
      <c r="G3261" s="5">
        <f t="shared" si="107"/>
        <v>0.21754385964912282</v>
      </c>
    </row>
    <row r="3262" spans="1:7" ht="15.75" customHeight="1">
      <c r="A3262" s="4" t="s">
        <v>122</v>
      </c>
      <c r="B3262" s="1">
        <v>8.6999999999999993</v>
      </c>
      <c r="C3262" s="1">
        <v>155</v>
      </c>
      <c r="D3262" s="1" t="s">
        <v>11</v>
      </c>
      <c r="E3262" s="1" t="s">
        <v>9</v>
      </c>
      <c r="F3262" s="1">
        <f t="shared" si="108"/>
        <v>869.99999999999989</v>
      </c>
      <c r="G3262" s="5">
        <f t="shared" si="107"/>
        <v>0.17816091954022992</v>
      </c>
    </row>
    <row r="3263" spans="1:7" ht="15.75" customHeight="1">
      <c r="A3263" s="4" t="s">
        <v>122</v>
      </c>
      <c r="B3263" s="1">
        <v>4</v>
      </c>
      <c r="C3263" s="1">
        <v>76</v>
      </c>
      <c r="D3263" s="1" t="s">
        <v>44</v>
      </c>
      <c r="E3263" s="1" t="s">
        <v>21</v>
      </c>
      <c r="F3263" s="1">
        <f t="shared" si="108"/>
        <v>400</v>
      </c>
      <c r="G3263" s="5">
        <f t="shared" si="107"/>
        <v>0.19</v>
      </c>
    </row>
    <row r="3264" spans="1:7" ht="15.75" customHeight="1">
      <c r="A3264" s="4" t="s">
        <v>122</v>
      </c>
      <c r="B3264" s="1">
        <v>6.6</v>
      </c>
      <c r="C3264" s="1">
        <v>176</v>
      </c>
      <c r="D3264" s="1" t="s">
        <v>11</v>
      </c>
      <c r="E3264" s="1" t="s">
        <v>9</v>
      </c>
      <c r="F3264" s="1">
        <f t="shared" si="108"/>
        <v>660</v>
      </c>
      <c r="G3264" s="5">
        <f t="shared" si="107"/>
        <v>0.26666666666666666</v>
      </c>
    </row>
    <row r="3265" spans="1:7" ht="15.75" customHeight="1">
      <c r="A3265" s="4" t="s">
        <v>122</v>
      </c>
      <c r="B3265" s="1">
        <v>5.95</v>
      </c>
      <c r="C3265" s="1">
        <v>139</v>
      </c>
      <c r="D3265" s="1" t="s">
        <v>11</v>
      </c>
      <c r="E3265" s="1" t="s">
        <v>32</v>
      </c>
      <c r="F3265" s="1">
        <f t="shared" si="108"/>
        <v>595</v>
      </c>
      <c r="G3265" s="5">
        <f t="shared" si="107"/>
        <v>0.23361344537815126</v>
      </c>
    </row>
    <row r="3266" spans="1:7" ht="15.75" customHeight="1">
      <c r="A3266" s="4" t="s">
        <v>122</v>
      </c>
      <c r="B3266" s="1">
        <v>8.6999999999999993</v>
      </c>
      <c r="C3266" s="1">
        <v>240</v>
      </c>
      <c r="D3266" s="1" t="s">
        <v>11</v>
      </c>
      <c r="E3266" s="1" t="s">
        <v>27</v>
      </c>
      <c r="F3266" s="1">
        <f t="shared" si="108"/>
        <v>869.99999999999989</v>
      </c>
      <c r="G3266" s="5">
        <f t="shared" ref="G3266:G3320" si="109">C3266/F3266</f>
        <v>0.27586206896551729</v>
      </c>
    </row>
    <row r="3267" spans="1:7" ht="15.75" customHeight="1">
      <c r="A3267" s="4" t="s">
        <v>122</v>
      </c>
      <c r="B3267" s="1">
        <v>8.6999999999999993</v>
      </c>
      <c r="C3267" s="1">
        <v>277</v>
      </c>
      <c r="D3267" s="1" t="s">
        <v>11</v>
      </c>
      <c r="E3267" s="1" t="s">
        <v>24</v>
      </c>
      <c r="F3267" s="1">
        <f t="shared" ref="F3267:F3320" si="110">B3267*100</f>
        <v>869.99999999999989</v>
      </c>
      <c r="G3267" s="5">
        <f t="shared" si="109"/>
        <v>0.31839080459770119</v>
      </c>
    </row>
    <row r="3268" spans="1:7" ht="15.75" customHeight="1">
      <c r="A3268" s="4" t="s">
        <v>122</v>
      </c>
      <c r="B3268" s="1">
        <v>6.6</v>
      </c>
      <c r="C3268" s="1">
        <v>266</v>
      </c>
      <c r="D3268" s="1" t="s">
        <v>11</v>
      </c>
      <c r="E3268" s="1" t="s">
        <v>9</v>
      </c>
      <c r="F3268" s="1">
        <f t="shared" si="110"/>
        <v>660</v>
      </c>
      <c r="G3268" s="5">
        <f t="shared" si="109"/>
        <v>0.40303030303030302</v>
      </c>
    </row>
    <row r="3269" spans="1:7" ht="15.75" customHeight="1">
      <c r="A3269" s="4" t="s">
        <v>122</v>
      </c>
      <c r="B3269" s="1">
        <v>6.09</v>
      </c>
      <c r="C3269" s="1">
        <v>125</v>
      </c>
      <c r="D3269" s="1" t="s">
        <v>11</v>
      </c>
      <c r="E3269" s="1" t="s">
        <v>28</v>
      </c>
      <c r="F3269" s="1">
        <f t="shared" si="110"/>
        <v>609</v>
      </c>
      <c r="G3269" s="5">
        <f t="shared" si="109"/>
        <v>0.20525451559934318</v>
      </c>
    </row>
    <row r="3270" spans="1:7" ht="15.75" customHeight="1">
      <c r="A3270" s="4" t="s">
        <v>122</v>
      </c>
      <c r="B3270" s="1">
        <v>8.6999999999999993</v>
      </c>
      <c r="C3270" s="1">
        <v>175</v>
      </c>
      <c r="D3270" s="1" t="s">
        <v>45</v>
      </c>
      <c r="E3270" s="1" t="s">
        <v>20</v>
      </c>
      <c r="F3270" s="1">
        <f t="shared" si="110"/>
        <v>869.99999999999989</v>
      </c>
      <c r="G3270" s="5">
        <f t="shared" si="109"/>
        <v>0.20114942528735635</v>
      </c>
    </row>
    <row r="3271" spans="1:7" ht="15.75" customHeight="1">
      <c r="A3271" s="4" t="s">
        <v>122</v>
      </c>
      <c r="B3271" s="1">
        <v>6.5</v>
      </c>
      <c r="C3271" s="1">
        <v>108</v>
      </c>
      <c r="D3271" s="1" t="s">
        <v>45</v>
      </c>
      <c r="E3271" s="1" t="s">
        <v>20</v>
      </c>
      <c r="F3271" s="1">
        <f t="shared" si="110"/>
        <v>650</v>
      </c>
      <c r="G3271" s="5">
        <f t="shared" si="109"/>
        <v>0.16615384615384615</v>
      </c>
    </row>
    <row r="3272" spans="1:7" ht="15.75" customHeight="1">
      <c r="A3272" s="4" t="s">
        <v>122</v>
      </c>
      <c r="B3272" s="1">
        <v>20</v>
      </c>
      <c r="C3272" s="1">
        <v>210</v>
      </c>
      <c r="D3272" s="1" t="s">
        <v>33</v>
      </c>
      <c r="E3272" s="1" t="s">
        <v>20</v>
      </c>
      <c r="F3272" s="1">
        <f t="shared" si="110"/>
        <v>2000</v>
      </c>
      <c r="G3272" s="5">
        <f t="shared" si="109"/>
        <v>0.105</v>
      </c>
    </row>
    <row r="3273" spans="1:7" ht="15.75" customHeight="1">
      <c r="A3273" s="4" t="s">
        <v>122</v>
      </c>
      <c r="B3273" s="1">
        <v>5.4</v>
      </c>
      <c r="C3273" s="1">
        <v>66</v>
      </c>
      <c r="D3273" s="1" t="s">
        <v>33</v>
      </c>
      <c r="E3273" s="1" t="s">
        <v>15</v>
      </c>
      <c r="F3273" s="1">
        <f t="shared" si="110"/>
        <v>540</v>
      </c>
      <c r="G3273" s="5">
        <f t="shared" si="109"/>
        <v>0.12222222222222222</v>
      </c>
    </row>
    <row r="3274" spans="1:7" ht="15.75" customHeight="1">
      <c r="A3274" s="4" t="s">
        <v>122</v>
      </c>
      <c r="B3274" s="1">
        <v>8.1999999999999993</v>
      </c>
      <c r="C3274" s="1">
        <v>183</v>
      </c>
      <c r="D3274" s="1" t="s">
        <v>43</v>
      </c>
      <c r="E3274" s="1" t="s">
        <v>25</v>
      </c>
      <c r="F3274" s="1">
        <f t="shared" si="110"/>
        <v>819.99999999999989</v>
      </c>
      <c r="G3274" s="5">
        <f t="shared" si="109"/>
        <v>0.2231707317073171</v>
      </c>
    </row>
    <row r="3275" spans="1:7" ht="15.75" customHeight="1">
      <c r="A3275" s="4" t="s">
        <v>122</v>
      </c>
      <c r="B3275" s="1">
        <v>5.6</v>
      </c>
      <c r="C3275" s="1">
        <v>136</v>
      </c>
      <c r="D3275" s="1" t="s">
        <v>11</v>
      </c>
      <c r="E3275" s="1" t="s">
        <v>8</v>
      </c>
      <c r="F3275" s="1">
        <f t="shared" si="110"/>
        <v>560</v>
      </c>
      <c r="G3275" s="5">
        <f t="shared" si="109"/>
        <v>0.24285714285714285</v>
      </c>
    </row>
    <row r="3276" spans="1:7" ht="15.75" customHeight="1">
      <c r="A3276" s="4" t="s">
        <v>122</v>
      </c>
      <c r="B3276" s="1">
        <v>6.09</v>
      </c>
      <c r="C3276" s="1">
        <v>106</v>
      </c>
      <c r="D3276" s="1" t="s">
        <v>38</v>
      </c>
      <c r="E3276" s="1" t="s">
        <v>9</v>
      </c>
      <c r="F3276" s="1">
        <f t="shared" si="110"/>
        <v>609</v>
      </c>
      <c r="G3276" s="5">
        <f t="shared" si="109"/>
        <v>0.17405582922824303</v>
      </c>
    </row>
    <row r="3277" spans="1:7" ht="15.75" customHeight="1">
      <c r="A3277" s="4" t="s">
        <v>122</v>
      </c>
      <c r="B3277" s="1">
        <v>5</v>
      </c>
      <c r="C3277" s="1">
        <v>174</v>
      </c>
      <c r="D3277" s="1" t="s">
        <v>11</v>
      </c>
      <c r="E3277" s="1" t="s">
        <v>15</v>
      </c>
      <c r="F3277" s="1">
        <f t="shared" si="110"/>
        <v>500</v>
      </c>
      <c r="G3277" s="5">
        <f t="shared" si="109"/>
        <v>0.34799999999999998</v>
      </c>
    </row>
    <row r="3278" spans="1:7" ht="15.75" customHeight="1">
      <c r="A3278" s="4" t="s">
        <v>122</v>
      </c>
      <c r="B3278" s="1">
        <v>6.4</v>
      </c>
      <c r="C3278" s="1">
        <v>195</v>
      </c>
      <c r="D3278" s="1" t="s">
        <v>11</v>
      </c>
      <c r="E3278" s="1" t="s">
        <v>16</v>
      </c>
      <c r="F3278" s="1">
        <f t="shared" si="110"/>
        <v>640</v>
      </c>
      <c r="G3278" s="5">
        <f t="shared" si="109"/>
        <v>0.3046875</v>
      </c>
    </row>
    <row r="3279" spans="1:7" ht="15.75" customHeight="1">
      <c r="A3279" s="4" t="s">
        <v>122</v>
      </c>
      <c r="B3279" s="1">
        <v>7.4</v>
      </c>
      <c r="C3279" s="1">
        <v>174</v>
      </c>
      <c r="D3279" s="1" t="s">
        <v>42</v>
      </c>
      <c r="E3279" s="1" t="s">
        <v>49</v>
      </c>
      <c r="F3279" s="1">
        <f t="shared" si="110"/>
        <v>740</v>
      </c>
      <c r="G3279" s="5">
        <f t="shared" si="109"/>
        <v>0.23513513513513515</v>
      </c>
    </row>
    <row r="3280" spans="1:7" ht="15.75" customHeight="1">
      <c r="A3280" s="4" t="s">
        <v>122</v>
      </c>
      <c r="B3280" s="1">
        <v>7.74</v>
      </c>
      <c r="C3280" s="1">
        <v>163</v>
      </c>
      <c r="D3280" s="1" t="s">
        <v>37</v>
      </c>
      <c r="E3280" s="1" t="s">
        <v>16</v>
      </c>
      <c r="F3280" s="1">
        <f t="shared" si="110"/>
        <v>774</v>
      </c>
      <c r="G3280" s="5">
        <f t="shared" si="109"/>
        <v>0.21059431524547803</v>
      </c>
    </row>
    <row r="3281" spans="1:7" ht="15.75" customHeight="1">
      <c r="A3281" s="4" t="s">
        <v>122</v>
      </c>
      <c r="B3281" s="1">
        <v>6.08</v>
      </c>
      <c r="C3281" s="1">
        <v>166</v>
      </c>
      <c r="D3281" s="1" t="s">
        <v>11</v>
      </c>
      <c r="E3281" s="1" t="s">
        <v>7</v>
      </c>
      <c r="F3281" s="1">
        <f t="shared" si="110"/>
        <v>608</v>
      </c>
      <c r="G3281" s="5">
        <f t="shared" si="109"/>
        <v>0.27302631578947367</v>
      </c>
    </row>
    <row r="3282" spans="1:7" ht="15.75" customHeight="1">
      <c r="A3282" s="4" t="s">
        <v>122</v>
      </c>
      <c r="B3282" s="1">
        <v>5.28</v>
      </c>
      <c r="C3282" s="1">
        <v>83</v>
      </c>
      <c r="D3282" s="1" t="s">
        <v>33</v>
      </c>
      <c r="E3282" s="1" t="s">
        <v>21</v>
      </c>
      <c r="F3282" s="1">
        <f t="shared" si="110"/>
        <v>528</v>
      </c>
      <c r="G3282" s="5">
        <f t="shared" si="109"/>
        <v>0.1571969696969697</v>
      </c>
    </row>
    <row r="3283" spans="1:7" ht="15.75" customHeight="1">
      <c r="A3283" s="4" t="s">
        <v>122</v>
      </c>
      <c r="B3283" s="1">
        <v>8.8000000000000007</v>
      </c>
      <c r="C3283" s="1">
        <v>157</v>
      </c>
      <c r="D3283" s="1" t="s">
        <v>88</v>
      </c>
      <c r="E3283" s="1" t="s">
        <v>22</v>
      </c>
      <c r="F3283" s="1">
        <f t="shared" si="110"/>
        <v>880.00000000000011</v>
      </c>
      <c r="G3283" s="5">
        <f t="shared" si="109"/>
        <v>0.17840909090909088</v>
      </c>
    </row>
    <row r="3284" spans="1:7" ht="15.75" customHeight="1">
      <c r="A3284" s="4" t="s">
        <v>122</v>
      </c>
      <c r="B3284" s="1">
        <v>7.6</v>
      </c>
      <c r="C3284" s="1">
        <v>250</v>
      </c>
      <c r="D3284" s="1" t="s">
        <v>11</v>
      </c>
      <c r="E3284" s="1" t="s">
        <v>8</v>
      </c>
      <c r="F3284" s="1">
        <f t="shared" si="110"/>
        <v>760</v>
      </c>
      <c r="G3284" s="5">
        <f t="shared" si="109"/>
        <v>0.32894736842105265</v>
      </c>
    </row>
    <row r="3285" spans="1:7" ht="15.75" customHeight="1">
      <c r="A3285" s="4" t="s">
        <v>122</v>
      </c>
      <c r="B3285" s="1">
        <v>5.0999999999999996</v>
      </c>
      <c r="C3285" s="1">
        <v>70</v>
      </c>
      <c r="D3285" s="1" t="s">
        <v>33</v>
      </c>
      <c r="E3285" s="1" t="s">
        <v>15</v>
      </c>
      <c r="F3285" s="1">
        <f t="shared" si="110"/>
        <v>509.99999999999994</v>
      </c>
      <c r="G3285" s="5">
        <f t="shared" si="109"/>
        <v>0.13725490196078433</v>
      </c>
    </row>
    <row r="3286" spans="1:7" ht="15.75" customHeight="1">
      <c r="A3286" s="4" t="s">
        <v>122</v>
      </c>
      <c r="B3286" s="1">
        <v>5.5</v>
      </c>
      <c r="C3286" s="1">
        <v>182</v>
      </c>
      <c r="D3286" s="1" t="s">
        <v>11</v>
      </c>
      <c r="E3286" s="1" t="s">
        <v>15</v>
      </c>
      <c r="F3286" s="1">
        <f t="shared" si="110"/>
        <v>550</v>
      </c>
      <c r="G3286" s="5">
        <f t="shared" si="109"/>
        <v>0.33090909090909093</v>
      </c>
    </row>
    <row r="3287" spans="1:7" ht="15.75" customHeight="1">
      <c r="A3287" s="4" t="s">
        <v>122</v>
      </c>
      <c r="B3287" s="1">
        <v>6.9</v>
      </c>
      <c r="C3287" s="1">
        <v>122</v>
      </c>
      <c r="D3287" s="1" t="s">
        <v>11</v>
      </c>
      <c r="E3287" s="1" t="s">
        <v>26</v>
      </c>
      <c r="F3287" s="1">
        <f t="shared" si="110"/>
        <v>690</v>
      </c>
      <c r="G3287" s="5">
        <f t="shared" si="109"/>
        <v>0.17681159420289855</v>
      </c>
    </row>
    <row r="3288" spans="1:7" ht="15.75" customHeight="1">
      <c r="A3288" s="4" t="s">
        <v>122</v>
      </c>
      <c r="B3288" s="1">
        <v>4.5599999999999996</v>
      </c>
      <c r="C3288" s="1">
        <v>67.5</v>
      </c>
      <c r="D3288" s="1" t="s">
        <v>33</v>
      </c>
      <c r="E3288" s="1" t="s">
        <v>17</v>
      </c>
      <c r="F3288" s="1">
        <f t="shared" si="110"/>
        <v>455.99999999999994</v>
      </c>
      <c r="G3288" s="5">
        <f t="shared" si="109"/>
        <v>0.1480263157894737</v>
      </c>
    </row>
    <row r="3289" spans="1:7" ht="15.75" customHeight="1">
      <c r="A3289" s="4" t="s">
        <v>122</v>
      </c>
      <c r="B3289" s="1">
        <v>5.6</v>
      </c>
      <c r="C3289" s="1">
        <v>57</v>
      </c>
      <c r="D3289" s="1" t="s">
        <v>33</v>
      </c>
      <c r="E3289" s="1" t="s">
        <v>29</v>
      </c>
      <c r="F3289" s="1">
        <f t="shared" si="110"/>
        <v>560</v>
      </c>
      <c r="G3289" s="5">
        <f t="shared" si="109"/>
        <v>0.10178571428571428</v>
      </c>
    </row>
    <row r="3290" spans="1:7" ht="15.75" customHeight="1">
      <c r="A3290" s="4" t="s">
        <v>122</v>
      </c>
      <c r="B3290" s="1">
        <v>6.5</v>
      </c>
      <c r="C3290" s="1">
        <v>196</v>
      </c>
      <c r="D3290" s="1" t="s">
        <v>11</v>
      </c>
      <c r="E3290" s="1" t="s">
        <v>15</v>
      </c>
      <c r="F3290" s="1">
        <f t="shared" si="110"/>
        <v>650</v>
      </c>
      <c r="G3290" s="5">
        <f t="shared" si="109"/>
        <v>0.30153846153846153</v>
      </c>
    </row>
    <row r="3291" spans="1:7" ht="15.75" customHeight="1">
      <c r="A3291" s="4" t="s">
        <v>122</v>
      </c>
      <c r="B3291" s="1">
        <v>8.58</v>
      </c>
      <c r="C3291" s="1">
        <v>117</v>
      </c>
      <c r="D3291" s="1" t="s">
        <v>80</v>
      </c>
      <c r="E3291" s="1" t="s">
        <v>17</v>
      </c>
      <c r="F3291" s="1">
        <f t="shared" si="110"/>
        <v>858</v>
      </c>
      <c r="G3291" s="5">
        <f t="shared" si="109"/>
        <v>0.13636363636363635</v>
      </c>
    </row>
    <row r="3292" spans="1:7" ht="15.75" customHeight="1">
      <c r="A3292" s="4" t="s">
        <v>122</v>
      </c>
      <c r="B3292" s="1">
        <v>4</v>
      </c>
      <c r="C3292" s="1">
        <v>97</v>
      </c>
      <c r="D3292" s="1" t="s">
        <v>11</v>
      </c>
      <c r="E3292" s="1" t="s">
        <v>9</v>
      </c>
      <c r="F3292" s="1">
        <f t="shared" si="110"/>
        <v>400</v>
      </c>
      <c r="G3292" s="5">
        <f t="shared" si="109"/>
        <v>0.24249999999999999</v>
      </c>
    </row>
    <row r="3293" spans="1:7" ht="15.75" customHeight="1">
      <c r="A3293" s="4" t="s">
        <v>122</v>
      </c>
      <c r="B3293" s="1">
        <v>4.3499999999999996</v>
      </c>
      <c r="C3293" s="1">
        <v>117</v>
      </c>
      <c r="D3293" s="1" t="s">
        <v>11</v>
      </c>
      <c r="E3293" s="1" t="s">
        <v>8</v>
      </c>
      <c r="F3293" s="1">
        <f t="shared" si="110"/>
        <v>434.99999999999994</v>
      </c>
      <c r="G3293" s="5">
        <f t="shared" si="109"/>
        <v>0.26896551724137935</v>
      </c>
    </row>
    <row r="3294" spans="1:7" ht="15.75" customHeight="1">
      <c r="A3294" s="4" t="s">
        <v>122</v>
      </c>
      <c r="B3294" s="1">
        <v>7.56</v>
      </c>
      <c r="C3294" s="1">
        <v>154</v>
      </c>
      <c r="D3294" s="1" t="s">
        <v>11</v>
      </c>
      <c r="E3294" s="1" t="s">
        <v>25</v>
      </c>
      <c r="F3294" s="1">
        <f t="shared" si="110"/>
        <v>756</v>
      </c>
      <c r="G3294" s="5">
        <f t="shared" si="109"/>
        <v>0.20370370370370369</v>
      </c>
    </row>
    <row r="3295" spans="1:7" ht="15.75" customHeight="1">
      <c r="A3295" s="4" t="s">
        <v>122</v>
      </c>
      <c r="B3295" s="1">
        <v>6.4</v>
      </c>
      <c r="C3295" s="1">
        <v>102</v>
      </c>
      <c r="D3295" s="1" t="s">
        <v>33</v>
      </c>
      <c r="E3295" s="1" t="s">
        <v>8</v>
      </c>
      <c r="F3295" s="1">
        <f t="shared" si="110"/>
        <v>640</v>
      </c>
      <c r="G3295" s="5">
        <f t="shared" si="109"/>
        <v>0.15937499999999999</v>
      </c>
    </row>
    <row r="3296" spans="1:7" ht="15.75" customHeight="1">
      <c r="A3296" s="4" t="s">
        <v>122</v>
      </c>
      <c r="B3296" s="1">
        <v>6.25</v>
      </c>
      <c r="C3296" s="1">
        <v>195</v>
      </c>
      <c r="D3296" s="1" t="s">
        <v>11</v>
      </c>
      <c r="E3296" s="1" t="s">
        <v>32</v>
      </c>
      <c r="F3296" s="1">
        <f t="shared" si="110"/>
        <v>625</v>
      </c>
      <c r="G3296" s="5">
        <f t="shared" si="109"/>
        <v>0.312</v>
      </c>
    </row>
    <row r="3297" spans="1:9" ht="15.75" customHeight="1">
      <c r="A3297" s="4" t="s">
        <v>122</v>
      </c>
      <c r="B3297" s="1">
        <v>6.9</v>
      </c>
      <c r="C3297" s="1">
        <v>124</v>
      </c>
      <c r="D3297" s="1" t="s">
        <v>38</v>
      </c>
      <c r="E3297" s="1" t="s">
        <v>8</v>
      </c>
      <c r="F3297" s="1">
        <f t="shared" si="110"/>
        <v>690</v>
      </c>
      <c r="G3297" s="5">
        <f t="shared" si="109"/>
        <v>0.17971014492753623</v>
      </c>
    </row>
    <row r="3298" spans="1:9" ht="15.75" customHeight="1">
      <c r="A3298" s="4" t="s">
        <v>122</v>
      </c>
      <c r="B3298" s="1">
        <v>3.48</v>
      </c>
      <c r="C3298" s="1">
        <v>83</v>
      </c>
      <c r="D3298" s="1" t="s">
        <v>11</v>
      </c>
      <c r="E3298" s="1" t="s">
        <v>7</v>
      </c>
      <c r="F3298" s="1">
        <f t="shared" si="110"/>
        <v>348</v>
      </c>
      <c r="G3298" s="5">
        <f t="shared" si="109"/>
        <v>0.23850574712643677</v>
      </c>
    </row>
    <row r="3299" spans="1:9" ht="15.75" customHeight="1">
      <c r="A3299" s="4" t="s">
        <v>122</v>
      </c>
      <c r="B3299" s="1">
        <v>7.6</v>
      </c>
      <c r="C3299" s="1">
        <v>58</v>
      </c>
      <c r="D3299" s="1" t="s">
        <v>33</v>
      </c>
      <c r="E3299" s="1" t="s">
        <v>17</v>
      </c>
      <c r="F3299" s="1">
        <f t="shared" si="110"/>
        <v>760</v>
      </c>
      <c r="G3299" s="5">
        <f t="shared" si="109"/>
        <v>7.6315789473684212E-2</v>
      </c>
    </row>
    <row r="3300" spans="1:9" ht="15.75" customHeight="1">
      <c r="A3300" s="4" t="s">
        <v>122</v>
      </c>
      <c r="B3300" s="1">
        <v>7.3</v>
      </c>
      <c r="C3300" s="1">
        <v>225</v>
      </c>
      <c r="D3300" s="1" t="s">
        <v>38</v>
      </c>
      <c r="E3300" s="1" t="s">
        <v>9</v>
      </c>
      <c r="F3300" s="1">
        <f t="shared" si="110"/>
        <v>730</v>
      </c>
      <c r="G3300" s="5">
        <f t="shared" si="109"/>
        <v>0.30821917808219179</v>
      </c>
    </row>
    <row r="3301" spans="1:9" ht="15.75" customHeight="1">
      <c r="A3301" s="4" t="s">
        <v>122</v>
      </c>
      <c r="B3301" s="1">
        <v>9.1999999999999993</v>
      </c>
      <c r="C3301" s="1">
        <v>57</v>
      </c>
      <c r="D3301" s="1" t="s">
        <v>33</v>
      </c>
      <c r="E3301" s="1" t="s">
        <v>20</v>
      </c>
      <c r="F3301" s="1">
        <f t="shared" si="110"/>
        <v>919.99999999999989</v>
      </c>
      <c r="G3301" s="5">
        <f t="shared" si="109"/>
        <v>6.1956521739130445E-2</v>
      </c>
    </row>
    <row r="3302" spans="1:9" ht="15.75" customHeight="1">
      <c r="A3302" s="4" t="s">
        <v>122</v>
      </c>
      <c r="B3302" s="1">
        <v>4.7300000000000004</v>
      </c>
      <c r="C3302" s="1">
        <v>110</v>
      </c>
      <c r="D3302" s="1" t="s">
        <v>39</v>
      </c>
      <c r="E3302" s="1" t="s">
        <v>9</v>
      </c>
      <c r="F3302" s="1">
        <f t="shared" si="110"/>
        <v>473.00000000000006</v>
      </c>
      <c r="G3302" s="5">
        <f t="shared" si="109"/>
        <v>0.23255813953488369</v>
      </c>
    </row>
    <row r="3303" spans="1:9" ht="15.75" customHeight="1">
      <c r="A3303" s="4" t="s">
        <v>122</v>
      </c>
      <c r="B3303" s="1">
        <v>6.38</v>
      </c>
      <c r="C3303" s="1">
        <v>155</v>
      </c>
      <c r="D3303" s="1" t="s">
        <v>11</v>
      </c>
      <c r="E3303" s="1" t="s">
        <v>12</v>
      </c>
      <c r="F3303" s="1">
        <f t="shared" si="110"/>
        <v>638</v>
      </c>
      <c r="G3303" s="5">
        <f t="shared" si="109"/>
        <v>0.24294670846394983</v>
      </c>
    </row>
    <row r="3304" spans="1:9" ht="15.75" customHeight="1">
      <c r="A3304" s="4" t="s">
        <v>122</v>
      </c>
      <c r="B3304" s="1">
        <v>6.7</v>
      </c>
      <c r="C3304" s="1">
        <v>159.58000000000001</v>
      </c>
      <c r="D3304" s="1" t="s">
        <v>11</v>
      </c>
      <c r="E3304" s="1" t="s">
        <v>17</v>
      </c>
      <c r="F3304" s="1">
        <f t="shared" si="110"/>
        <v>670</v>
      </c>
      <c r="G3304" s="5">
        <f t="shared" si="109"/>
        <v>0.23817910447761195</v>
      </c>
    </row>
    <row r="3305" spans="1:9" ht="15.75" customHeight="1">
      <c r="A3305" s="4" t="s">
        <v>122</v>
      </c>
      <c r="B3305" s="1">
        <v>6.72</v>
      </c>
      <c r="C3305" s="1">
        <v>98</v>
      </c>
      <c r="D3305" s="1" t="s">
        <v>33</v>
      </c>
      <c r="E3305" s="1" t="s">
        <v>27</v>
      </c>
      <c r="F3305" s="1">
        <f t="shared" si="110"/>
        <v>672</v>
      </c>
      <c r="G3305" s="5">
        <f t="shared" si="109"/>
        <v>0.14583333333333334</v>
      </c>
    </row>
    <row r="3306" spans="1:9" ht="15.75" customHeight="1">
      <c r="A3306" s="4" t="s">
        <v>122</v>
      </c>
      <c r="B3306" s="1">
        <v>6.7</v>
      </c>
      <c r="C3306" s="1">
        <v>150</v>
      </c>
      <c r="D3306" s="1" t="s">
        <v>43</v>
      </c>
      <c r="E3306" s="1" t="s">
        <v>49</v>
      </c>
      <c r="F3306" s="1">
        <f t="shared" si="110"/>
        <v>670</v>
      </c>
      <c r="G3306" s="5">
        <f t="shared" si="109"/>
        <v>0.22388059701492538</v>
      </c>
    </row>
    <row r="3307" spans="1:9" ht="15.75" customHeight="1">
      <c r="A3307" s="4" t="s">
        <v>122</v>
      </c>
      <c r="B3307" s="1">
        <v>7.5</v>
      </c>
      <c r="C3307" s="1">
        <v>95</v>
      </c>
      <c r="D3307" s="1" t="s">
        <v>11</v>
      </c>
      <c r="E3307" s="1" t="s">
        <v>16</v>
      </c>
      <c r="F3307" s="1">
        <f t="shared" si="110"/>
        <v>750</v>
      </c>
      <c r="G3307" s="5">
        <f t="shared" si="109"/>
        <v>0.12666666666666668</v>
      </c>
    </row>
    <row r="3308" spans="1:9" ht="15.75" customHeight="1">
      <c r="A3308" s="4" t="s">
        <v>122</v>
      </c>
      <c r="B3308" s="1">
        <v>8.3000000000000007</v>
      </c>
      <c r="C3308" s="1">
        <v>100</v>
      </c>
      <c r="D3308" s="1" t="s">
        <v>43</v>
      </c>
      <c r="E3308" s="1" t="s">
        <v>12</v>
      </c>
      <c r="F3308" s="1">
        <f t="shared" si="110"/>
        <v>830.00000000000011</v>
      </c>
      <c r="G3308" s="5">
        <f t="shared" si="109"/>
        <v>0.12048192771084336</v>
      </c>
    </row>
    <row r="3309" spans="1:9" ht="15.75" customHeight="1">
      <c r="A3309" s="4" t="s">
        <v>122</v>
      </c>
      <c r="B3309" s="1">
        <v>8.19</v>
      </c>
      <c r="C3309" s="1">
        <v>111</v>
      </c>
      <c r="D3309" s="1" t="s">
        <v>33</v>
      </c>
      <c r="E3309" s="1" t="s">
        <v>16</v>
      </c>
      <c r="F3309" s="1">
        <f t="shared" si="110"/>
        <v>819</v>
      </c>
      <c r="G3309" s="5">
        <f t="shared" si="109"/>
        <v>0.13553113553113552</v>
      </c>
      <c r="I3309" s="7"/>
    </row>
    <row r="3310" spans="1:9" ht="15.75" customHeight="1">
      <c r="A3310" s="4" t="s">
        <v>122</v>
      </c>
      <c r="B3310" s="1">
        <v>5.2</v>
      </c>
      <c r="C3310" s="1">
        <v>145</v>
      </c>
      <c r="D3310" s="1" t="s">
        <v>11</v>
      </c>
      <c r="E3310" s="1" t="s">
        <v>16</v>
      </c>
      <c r="F3310" s="1">
        <f t="shared" si="110"/>
        <v>520</v>
      </c>
      <c r="G3310" s="5">
        <f t="shared" si="109"/>
        <v>0.27884615384615385</v>
      </c>
      <c r="I3310" s="7"/>
    </row>
    <row r="3311" spans="1:9" ht="15.75" customHeight="1">
      <c r="A3311" s="4" t="s">
        <v>122</v>
      </c>
      <c r="B3311" s="1">
        <v>4.3499999999999996</v>
      </c>
      <c r="C3311" s="1">
        <v>102</v>
      </c>
      <c r="D3311" s="1" t="s">
        <v>11</v>
      </c>
      <c r="E3311" s="1" t="s">
        <v>16</v>
      </c>
      <c r="F3311" s="1">
        <f t="shared" si="110"/>
        <v>434.99999999999994</v>
      </c>
      <c r="G3311" s="5">
        <f t="shared" si="109"/>
        <v>0.23448275862068968</v>
      </c>
      <c r="I3311" s="7"/>
    </row>
    <row r="3312" spans="1:9" ht="15.75" customHeight="1">
      <c r="A3312" s="4" t="s">
        <v>122</v>
      </c>
      <c r="B3312" s="1">
        <v>7.74</v>
      </c>
      <c r="C3312" s="1">
        <v>110</v>
      </c>
      <c r="D3312" s="1" t="s">
        <v>11</v>
      </c>
      <c r="E3312" s="1" t="s">
        <v>17</v>
      </c>
      <c r="F3312" s="1">
        <f t="shared" si="110"/>
        <v>774</v>
      </c>
      <c r="G3312" s="5">
        <f t="shared" si="109"/>
        <v>0.1421188630490956</v>
      </c>
    </row>
    <row r="3313" spans="1:7" ht="15.75" customHeight="1">
      <c r="A3313" s="4" t="s">
        <v>122</v>
      </c>
      <c r="B3313" s="1">
        <v>5.6</v>
      </c>
      <c r="C3313" s="1">
        <v>97</v>
      </c>
      <c r="D3313" s="1" t="s">
        <v>11</v>
      </c>
      <c r="E3313" s="1" t="s">
        <v>17</v>
      </c>
      <c r="F3313" s="1">
        <f t="shared" si="110"/>
        <v>560</v>
      </c>
      <c r="G3313" s="5">
        <f t="shared" si="109"/>
        <v>0.17321428571428571</v>
      </c>
    </row>
    <row r="3314" spans="1:7" ht="15.75" customHeight="1">
      <c r="A3314" s="4" t="s">
        <v>122</v>
      </c>
      <c r="B3314" s="1">
        <v>7.74</v>
      </c>
      <c r="C3314" s="1">
        <v>160</v>
      </c>
      <c r="D3314" s="1" t="s">
        <v>42</v>
      </c>
      <c r="E3314" s="1" t="s">
        <v>49</v>
      </c>
      <c r="F3314" s="1">
        <f t="shared" si="110"/>
        <v>774</v>
      </c>
      <c r="G3314" s="5">
        <f t="shared" si="109"/>
        <v>0.20671834625322996</v>
      </c>
    </row>
    <row r="3315" spans="1:7" ht="15.75" customHeight="1">
      <c r="A3315" s="4" t="s">
        <v>122</v>
      </c>
      <c r="B3315" s="1">
        <v>7.29</v>
      </c>
      <c r="C3315" s="1">
        <v>293</v>
      </c>
      <c r="D3315" s="1" t="s">
        <v>11</v>
      </c>
      <c r="E3315" s="1" t="s">
        <v>18</v>
      </c>
      <c r="F3315" s="1">
        <f t="shared" si="110"/>
        <v>729</v>
      </c>
      <c r="G3315" s="5">
        <f t="shared" si="109"/>
        <v>0.40192043895747598</v>
      </c>
    </row>
    <row r="3316" spans="1:7" ht="15.75" customHeight="1">
      <c r="A3316" s="4" t="s">
        <v>122</v>
      </c>
      <c r="B3316" s="1">
        <v>8</v>
      </c>
      <c r="C3316" s="1">
        <v>153</v>
      </c>
      <c r="D3316" s="1" t="s">
        <v>11</v>
      </c>
      <c r="E3316" s="1" t="s">
        <v>8</v>
      </c>
      <c r="F3316" s="1">
        <f t="shared" si="110"/>
        <v>800</v>
      </c>
      <c r="G3316" s="5">
        <f t="shared" si="109"/>
        <v>0.19125</v>
      </c>
    </row>
    <row r="3317" spans="1:7" ht="15.75" customHeight="1">
      <c r="A3317" s="4" t="s">
        <v>122</v>
      </c>
      <c r="B3317" s="1">
        <v>4.3499999999999996</v>
      </c>
      <c r="C3317" s="1">
        <v>93</v>
      </c>
      <c r="D3317" s="1" t="s">
        <v>42</v>
      </c>
      <c r="E3317" s="1" t="s">
        <v>30</v>
      </c>
      <c r="F3317" s="1">
        <f t="shared" si="110"/>
        <v>434.99999999999994</v>
      </c>
      <c r="G3317" s="5">
        <f t="shared" si="109"/>
        <v>0.2137931034482759</v>
      </c>
    </row>
    <row r="3318" spans="1:7" ht="15.75" customHeight="1">
      <c r="A3318" s="4" t="s">
        <v>122</v>
      </c>
      <c r="B3318" s="1">
        <v>4.5</v>
      </c>
      <c r="C3318" s="1">
        <v>118</v>
      </c>
      <c r="D3318" s="1" t="s">
        <v>11</v>
      </c>
      <c r="E3318" s="1" t="s">
        <v>22</v>
      </c>
      <c r="F3318" s="1">
        <f t="shared" si="110"/>
        <v>450</v>
      </c>
      <c r="G3318" s="5">
        <f t="shared" si="109"/>
        <v>0.26222222222222225</v>
      </c>
    </row>
    <row r="3319" spans="1:7" ht="15.75" customHeight="1">
      <c r="A3319" s="4" t="s">
        <v>122</v>
      </c>
      <c r="B3319" s="1">
        <v>6.96</v>
      </c>
      <c r="C3319" s="1">
        <v>178</v>
      </c>
      <c r="D3319" s="1" t="s">
        <v>38</v>
      </c>
      <c r="E3319" s="1" t="s">
        <v>15</v>
      </c>
      <c r="F3319" s="1">
        <f t="shared" si="110"/>
        <v>696</v>
      </c>
      <c r="G3319" s="5">
        <f t="shared" si="109"/>
        <v>0.2557471264367816</v>
      </c>
    </row>
    <row r="3320" spans="1:7" ht="15.75" customHeight="1">
      <c r="A3320" s="4" t="s">
        <v>122</v>
      </c>
      <c r="B3320" s="1">
        <v>8.6999999999999993</v>
      </c>
      <c r="C3320" s="1">
        <v>131</v>
      </c>
      <c r="D3320" s="1" t="s">
        <v>33</v>
      </c>
      <c r="E3320" s="1" t="s">
        <v>10</v>
      </c>
      <c r="F3320" s="1">
        <f t="shared" si="110"/>
        <v>869.99999999999989</v>
      </c>
      <c r="G3320" s="5">
        <f t="shared" si="109"/>
        <v>0.15057471264367819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8AEE-96C7-DA4A-992A-1FEB2ECB190B}">
  <sheetPr>
    <outlinePr summaryBelow="0" summaryRight="0"/>
  </sheetPr>
  <dimension ref="A1:Q3598"/>
  <sheetViews>
    <sheetView tabSelected="1" workbookViewId="0">
      <pane ySplit="1" topLeftCell="A15" activePane="bottomLeft" state="frozen"/>
      <selection pane="bottomLeft" activeCell="L41" sqref="L41"/>
    </sheetView>
  </sheetViews>
  <sheetFormatPr baseColWidth="10" defaultColWidth="12.5" defaultRowHeight="15.75" customHeight="1"/>
  <cols>
    <col min="1" max="1" width="18.83203125" customWidth="1"/>
    <col min="2" max="2" width="15.1640625" customWidth="1"/>
    <col min="3" max="3" width="13.5" customWidth="1"/>
    <col min="4" max="6" width="18.83203125" customWidth="1"/>
    <col min="7" max="7" width="12" customWidth="1"/>
    <col min="8" max="9" width="18.83203125" customWidth="1"/>
  </cols>
  <sheetData>
    <row r="1" spans="1:17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ht="13">
      <c r="A2" s="4" t="s">
        <v>112</v>
      </c>
      <c r="B2" s="1">
        <v>7</v>
      </c>
      <c r="C2" s="1">
        <v>125</v>
      </c>
      <c r="D2" s="1" t="s">
        <v>33</v>
      </c>
      <c r="E2" s="1" t="s">
        <v>20</v>
      </c>
      <c r="F2" s="4">
        <f>$B$2*(VLOOKUP(A2, I30:J41, 2, FALSE))</f>
        <v>0</v>
      </c>
      <c r="G2" s="12">
        <f>C2/B2</f>
        <v>17.857142857142858</v>
      </c>
    </row>
    <row r="3" spans="1:17" ht="13">
      <c r="A3" s="4" t="s">
        <v>112</v>
      </c>
      <c r="B3" s="1">
        <v>5.6</v>
      </c>
      <c r="C3" s="1">
        <v>164</v>
      </c>
      <c r="D3" s="1" t="s">
        <v>52</v>
      </c>
      <c r="E3" s="1" t="s">
        <v>22</v>
      </c>
      <c r="F3" s="1">
        <f t="shared" ref="F3:F66" si="0">B3*100</f>
        <v>560</v>
      </c>
      <c r="G3" s="12">
        <f t="shared" ref="G3:G66" si="1">C3/B3</f>
        <v>29.285714285714288</v>
      </c>
      <c r="J3" s="8" t="s">
        <v>11</v>
      </c>
      <c r="K3" s="8" t="s">
        <v>55</v>
      </c>
      <c r="L3" s="8" t="s">
        <v>40</v>
      </c>
      <c r="M3" s="8" t="s">
        <v>125</v>
      </c>
      <c r="N3" s="8" t="s">
        <v>39</v>
      </c>
      <c r="O3" s="8" t="s">
        <v>43</v>
      </c>
      <c r="P3" s="8" t="s">
        <v>126</v>
      </c>
      <c r="Q3" s="8" t="s">
        <v>127</v>
      </c>
    </row>
    <row r="4" spans="1:17" ht="13">
      <c r="A4" s="4" t="s">
        <v>112</v>
      </c>
      <c r="B4" s="1">
        <v>6.09</v>
      </c>
      <c r="C4" s="1">
        <v>109</v>
      </c>
      <c r="D4" s="1" t="s">
        <v>33</v>
      </c>
      <c r="E4" s="1" t="s">
        <v>21</v>
      </c>
      <c r="F4" s="1">
        <f t="shared" si="0"/>
        <v>609</v>
      </c>
      <c r="G4" s="12">
        <f t="shared" si="1"/>
        <v>17.898193760262725</v>
      </c>
      <c r="I4" s="8" t="s">
        <v>112</v>
      </c>
      <c r="J4">
        <f>AVERAGEIFS(G:G, D:D, "South", A:A, I4)</f>
        <v>36.511181902279141</v>
      </c>
      <c r="K4" t="e" cm="1">
        <f t="array" ref="K4">AVERAGEIFS(H:H, E:E, East, B:B, J3)</f>
        <v>#DIV/0!</v>
      </c>
      <c r="L4">
        <f>AVERAGEIFS(G:G, D:D, "West", A:A, I4)</f>
        <v>14.083333333333334</v>
      </c>
      <c r="M4" t="e">
        <f>AVERAGEIFS(G:G, D:D, "North", A:A, I4)</f>
        <v>#DIV/0!</v>
      </c>
      <c r="N4">
        <f>AVERAGEIFS(G:G, D:D, "South-East", A:A, I4)</f>
        <v>30.93953956582633</v>
      </c>
      <c r="O4">
        <f>AVERAGEIFS(G:G, D:D, "South-West", A:A, I4)</f>
        <v>31.493496732026141</v>
      </c>
      <c r="P4">
        <f>AVERAGEIFS(G:G, D:D, "West, East", A:A, I4)</f>
        <v>17.309150713119237</v>
      </c>
      <c r="Q4">
        <f>AVERAGEIFS(G:G, D:D, "South, West", A:A, I4)</f>
        <v>27.410056089743591</v>
      </c>
    </row>
    <row r="5" spans="1:17" ht="13">
      <c r="A5" s="4" t="s">
        <v>112</v>
      </c>
      <c r="B5" s="1">
        <v>6.45</v>
      </c>
      <c r="C5" s="1">
        <v>207</v>
      </c>
      <c r="D5" s="1" t="s">
        <v>44</v>
      </c>
      <c r="E5" s="1" t="s">
        <v>30</v>
      </c>
      <c r="F5" s="1">
        <f t="shared" si="0"/>
        <v>645</v>
      </c>
      <c r="G5" s="12">
        <f t="shared" si="1"/>
        <v>32.093023255813954</v>
      </c>
      <c r="I5" s="8" t="s">
        <v>113</v>
      </c>
      <c r="J5">
        <f t="shared" ref="J5:J15" si="2">AVERAGEIFS(G:G, D:D, "South", A:A, I5)</f>
        <v>41.788644552137463</v>
      </c>
      <c r="K5" t="e" cm="1">
        <f t="array" ref="K5">AVERAGEIFS(H:H, E:E, East, B:B, J4)</f>
        <v>#DIV/0!</v>
      </c>
      <c r="L5">
        <f t="shared" ref="L5:L15" si="3">AVERAGEIFS(G:G, D:D, "West", A:A, I5)</f>
        <v>27.673392771742847</v>
      </c>
      <c r="M5" t="e">
        <f t="shared" ref="M5:M15" si="4">AVERAGEIFS(G:G, D:D, "North", A:A, I5)</f>
        <v>#DIV/0!</v>
      </c>
      <c r="N5">
        <f t="shared" ref="N5:N15" si="5">AVERAGEIFS(G:G, D:D, "South-East", A:A, I5)</f>
        <v>38.406794710867423</v>
      </c>
      <c r="O5">
        <f t="shared" ref="O5:O15" si="6">AVERAGEIFS(G:G, D:D, "South-West", A:A, I5)</f>
        <v>40.426086824868662</v>
      </c>
      <c r="P5">
        <f t="shared" ref="P5:P15" si="7">AVERAGEIFS(G:G, D:D, "West, East", A:A, I5)</f>
        <v>30.445477512940187</v>
      </c>
      <c r="Q5">
        <f t="shared" ref="Q5:Q15" si="8">AVERAGEIFS(G:G, D:D, "South, West", A:A, I5)</f>
        <v>35.406381732111754</v>
      </c>
    </row>
    <row r="6" spans="1:17" ht="13">
      <c r="A6" s="4" t="s">
        <v>112</v>
      </c>
      <c r="B6" s="1">
        <v>5.4</v>
      </c>
      <c r="C6" s="1">
        <v>261</v>
      </c>
      <c r="D6" s="1" t="s">
        <v>11</v>
      </c>
      <c r="E6" s="1" t="s">
        <v>8</v>
      </c>
      <c r="F6" s="1">
        <f t="shared" si="0"/>
        <v>540</v>
      </c>
      <c r="G6" s="12">
        <f t="shared" si="1"/>
        <v>48.333333333333329</v>
      </c>
      <c r="I6" s="8" t="s">
        <v>114</v>
      </c>
      <c r="J6">
        <f t="shared" si="2"/>
        <v>66.756813684091412</v>
      </c>
      <c r="K6" t="e" cm="1">
        <f t="array" ref="K6">AVERAGEIFS(H:H, E:E, East, B:B, J5)</f>
        <v>#DIV/0!</v>
      </c>
      <c r="L6">
        <f t="shared" si="3"/>
        <v>41.006106893106889</v>
      </c>
      <c r="M6" t="e">
        <f t="shared" si="4"/>
        <v>#DIV/0!</v>
      </c>
      <c r="N6">
        <f t="shared" si="5"/>
        <v>64.657477193640062</v>
      </c>
      <c r="O6">
        <f t="shared" si="6"/>
        <v>58.693701960888745</v>
      </c>
      <c r="P6">
        <f t="shared" si="7"/>
        <v>54.047334810704719</v>
      </c>
      <c r="Q6">
        <f t="shared" si="8"/>
        <v>69.036240620523145</v>
      </c>
    </row>
    <row r="7" spans="1:17" ht="13">
      <c r="A7" s="4" t="s">
        <v>112</v>
      </c>
      <c r="B7" s="1">
        <v>3.4</v>
      </c>
      <c r="C7" s="1">
        <v>78</v>
      </c>
      <c r="D7" s="1" t="s">
        <v>44</v>
      </c>
      <c r="E7" s="1" t="s">
        <v>15</v>
      </c>
      <c r="F7" s="1">
        <f t="shared" si="0"/>
        <v>340</v>
      </c>
      <c r="G7" s="12">
        <f t="shared" si="1"/>
        <v>22.941176470588236</v>
      </c>
      <c r="I7" s="8" t="s">
        <v>115</v>
      </c>
      <c r="J7">
        <f t="shared" si="2"/>
        <v>95.948532103315927</v>
      </c>
      <c r="K7" t="e" cm="1">
        <f t="array" ref="K7">AVERAGEIFS(H:H, E:E, East, B:B, J6)</f>
        <v>#DIV/0!</v>
      </c>
      <c r="L7">
        <f t="shared" si="3"/>
        <v>89.16517892057108</v>
      </c>
      <c r="M7" t="e">
        <f t="shared" si="4"/>
        <v>#DIV/0!</v>
      </c>
      <c r="N7">
        <f t="shared" si="5"/>
        <v>95.747452287927572</v>
      </c>
      <c r="O7">
        <f t="shared" si="6"/>
        <v>123.62112441317596</v>
      </c>
      <c r="P7">
        <f t="shared" si="7"/>
        <v>89.895472142175578</v>
      </c>
      <c r="Q7">
        <f t="shared" si="8"/>
        <v>89.433547868275696</v>
      </c>
    </row>
    <row r="8" spans="1:17" ht="13">
      <c r="A8" s="4" t="s">
        <v>112</v>
      </c>
      <c r="B8" s="1">
        <v>7.8</v>
      </c>
      <c r="C8" s="1">
        <v>321</v>
      </c>
      <c r="D8" s="1" t="s">
        <v>47</v>
      </c>
      <c r="E8" s="1" t="s">
        <v>23</v>
      </c>
      <c r="F8" s="1">
        <f t="shared" si="0"/>
        <v>780</v>
      </c>
      <c r="G8" s="12">
        <f t="shared" si="1"/>
        <v>41.153846153846153</v>
      </c>
      <c r="I8" s="8" t="s">
        <v>116</v>
      </c>
      <c r="J8">
        <f t="shared" si="2"/>
        <v>111.22375976908613</v>
      </c>
      <c r="K8" t="e" cm="1">
        <f t="array" ref="K8">AVERAGEIFS(H:H, E:E, East, B:B, J7)</f>
        <v>#DIV/0!</v>
      </c>
      <c r="L8">
        <f t="shared" si="3"/>
        <v>114.22193388866098</v>
      </c>
      <c r="M8" t="e">
        <f t="shared" si="4"/>
        <v>#DIV/0!</v>
      </c>
      <c r="N8">
        <f t="shared" si="5"/>
        <v>109.17510954854005</v>
      </c>
      <c r="O8">
        <f t="shared" si="6"/>
        <v>102.82638244404858</v>
      </c>
      <c r="P8">
        <f t="shared" si="7"/>
        <v>106.3076204422341</v>
      </c>
      <c r="Q8">
        <f t="shared" si="8"/>
        <v>107.26438220576148</v>
      </c>
    </row>
    <row r="9" spans="1:17" ht="13">
      <c r="A9" s="4" t="s">
        <v>112</v>
      </c>
      <c r="B9" s="1">
        <v>6.2</v>
      </c>
      <c r="C9" s="1">
        <v>226</v>
      </c>
      <c r="D9" s="1" t="s">
        <v>11</v>
      </c>
      <c r="E9" s="1" t="s">
        <v>27</v>
      </c>
      <c r="F9" s="1">
        <f t="shared" si="0"/>
        <v>620</v>
      </c>
      <c r="G9" s="12">
        <f t="shared" si="1"/>
        <v>36.451612903225808</v>
      </c>
      <c r="I9" s="8" t="s">
        <v>117</v>
      </c>
      <c r="J9">
        <f t="shared" si="2"/>
        <v>119.13929752475646</v>
      </c>
      <c r="K9" t="e" cm="1">
        <f t="array" ref="K9">AVERAGEIFS(H:H, E:E, East, B:B, J8)</f>
        <v>#DIV/0!</v>
      </c>
      <c r="L9">
        <f t="shared" si="3"/>
        <v>114.31469644047459</v>
      </c>
      <c r="M9" t="e">
        <f t="shared" si="4"/>
        <v>#DIV/0!</v>
      </c>
      <c r="N9">
        <f t="shared" si="5"/>
        <v>119.32480084994177</v>
      </c>
      <c r="O9">
        <f t="shared" si="6"/>
        <v>127.25832898658356</v>
      </c>
      <c r="P9">
        <f t="shared" si="7"/>
        <v>118.36215817323742</v>
      </c>
      <c r="Q9">
        <f t="shared" si="8"/>
        <v>120.88811406528436</v>
      </c>
    </row>
    <row r="10" spans="1:17" ht="13">
      <c r="A10" s="4" t="s">
        <v>112</v>
      </c>
      <c r="B10" s="1">
        <v>6</v>
      </c>
      <c r="C10" s="1">
        <v>258</v>
      </c>
      <c r="D10" s="1" t="s">
        <v>43</v>
      </c>
      <c r="E10" s="1" t="s">
        <v>8</v>
      </c>
      <c r="F10" s="1">
        <f t="shared" si="0"/>
        <v>600</v>
      </c>
      <c r="G10" s="12">
        <f t="shared" si="1"/>
        <v>43</v>
      </c>
      <c r="I10" s="8" t="s">
        <v>118</v>
      </c>
      <c r="J10">
        <f t="shared" si="2"/>
        <v>110.97364653274256</v>
      </c>
      <c r="K10" t="e" cm="1">
        <f t="array" ref="K10">AVERAGEIFS(H:H, E:E, East, B:B, J9)</f>
        <v>#DIV/0!</v>
      </c>
      <c r="L10">
        <f t="shared" si="3"/>
        <v>107.90016222525568</v>
      </c>
      <c r="M10" t="e">
        <f t="shared" si="4"/>
        <v>#DIV/0!</v>
      </c>
      <c r="N10">
        <f t="shared" si="5"/>
        <v>113.83988022239969</v>
      </c>
      <c r="O10">
        <f t="shared" si="6"/>
        <v>119.46469873674081</v>
      </c>
      <c r="P10">
        <f t="shared" si="7"/>
        <v>103.2555126381038</v>
      </c>
      <c r="Q10">
        <f t="shared" si="8"/>
        <v>102.47295274348754</v>
      </c>
    </row>
    <row r="11" spans="1:17" ht="13">
      <c r="A11" s="4" t="s">
        <v>112</v>
      </c>
      <c r="B11" s="1">
        <v>5.2</v>
      </c>
      <c r="C11" s="1">
        <v>92</v>
      </c>
      <c r="D11" s="1" t="s">
        <v>54</v>
      </c>
      <c r="E11" s="1" t="s">
        <v>18</v>
      </c>
      <c r="F11" s="1">
        <f t="shared" si="0"/>
        <v>520</v>
      </c>
      <c r="G11" s="12">
        <f t="shared" si="1"/>
        <v>17.692307692307693</v>
      </c>
      <c r="I11" s="8" t="s">
        <v>119</v>
      </c>
      <c r="J11">
        <f t="shared" si="2"/>
        <v>112.60872168257843</v>
      </c>
      <c r="K11" t="e" cm="1">
        <f t="array" ref="K11">AVERAGEIFS(H:H, E:E, East, B:B, J10)</f>
        <v>#DIV/0!</v>
      </c>
      <c r="L11">
        <f t="shared" si="3"/>
        <v>94.901703703703703</v>
      </c>
      <c r="M11" t="e">
        <f t="shared" si="4"/>
        <v>#DIV/0!</v>
      </c>
      <c r="N11">
        <f t="shared" si="5"/>
        <v>101.63160518891563</v>
      </c>
      <c r="O11">
        <f t="shared" si="6"/>
        <v>96.053270200462649</v>
      </c>
      <c r="P11">
        <f t="shared" si="7"/>
        <v>92.493300112695522</v>
      </c>
      <c r="Q11">
        <f t="shared" si="8"/>
        <v>91.350456930340698</v>
      </c>
    </row>
    <row r="12" spans="1:17" ht="13">
      <c r="A12" s="4" t="s">
        <v>112</v>
      </c>
      <c r="B12" s="1">
        <v>5.16</v>
      </c>
      <c r="C12" s="1">
        <v>97</v>
      </c>
      <c r="D12" s="1" t="s">
        <v>33</v>
      </c>
      <c r="E12" s="1" t="s">
        <v>15</v>
      </c>
      <c r="F12" s="1">
        <f t="shared" si="0"/>
        <v>516</v>
      </c>
      <c r="G12" s="12">
        <f t="shared" si="1"/>
        <v>18.7984496124031</v>
      </c>
      <c r="I12" s="8" t="s">
        <v>120</v>
      </c>
      <c r="J12">
        <f t="shared" si="2"/>
        <v>81.401762239378655</v>
      </c>
      <c r="K12" t="e" cm="1">
        <f t="array" ref="K12">AVERAGEIFS(H:H, E:E, East, B:B, J11)</f>
        <v>#DIV/0!</v>
      </c>
      <c r="L12">
        <f t="shared" si="3"/>
        <v>75.136402387041784</v>
      </c>
      <c r="M12" t="e">
        <f t="shared" si="4"/>
        <v>#DIV/0!</v>
      </c>
      <c r="N12">
        <f t="shared" si="5"/>
        <v>78.455745426602604</v>
      </c>
      <c r="O12">
        <f t="shared" si="6"/>
        <v>79.133473418562573</v>
      </c>
      <c r="P12">
        <f t="shared" si="7"/>
        <v>64.539953392008513</v>
      </c>
      <c r="Q12">
        <f t="shared" si="8"/>
        <v>68.623792298083018</v>
      </c>
    </row>
    <row r="13" spans="1:17" ht="13">
      <c r="A13" s="4" t="s">
        <v>112</v>
      </c>
      <c r="B13" s="1">
        <v>6.32</v>
      </c>
      <c r="C13" s="1">
        <v>152</v>
      </c>
      <c r="D13" s="1" t="s">
        <v>61</v>
      </c>
      <c r="E13" s="1" t="s">
        <v>62</v>
      </c>
      <c r="F13" s="1">
        <f t="shared" si="0"/>
        <v>632</v>
      </c>
      <c r="G13" s="12">
        <f t="shared" si="1"/>
        <v>24.050632911392405</v>
      </c>
      <c r="I13" s="8" t="s">
        <v>121</v>
      </c>
      <c r="J13">
        <f t="shared" si="2"/>
        <v>54.491007650150657</v>
      </c>
      <c r="K13" t="e" cm="1">
        <f t="array" ref="K13">AVERAGEIFS(H:H, E:E, East, B:B, J12)</f>
        <v>#DIV/0!</v>
      </c>
      <c r="L13">
        <f t="shared" si="3"/>
        <v>41.152704435502777</v>
      </c>
      <c r="M13" t="e">
        <f t="shared" si="4"/>
        <v>#DIV/0!</v>
      </c>
      <c r="N13">
        <f t="shared" si="5"/>
        <v>54.740723350620712</v>
      </c>
      <c r="O13">
        <f t="shared" si="6"/>
        <v>50.732732899528337</v>
      </c>
      <c r="P13">
        <f t="shared" si="7"/>
        <v>37.654243096164372</v>
      </c>
      <c r="Q13">
        <f t="shared" si="8"/>
        <v>49.798513371018238</v>
      </c>
    </row>
    <row r="14" spans="1:17" ht="13">
      <c r="A14" s="4" t="s">
        <v>112</v>
      </c>
      <c r="B14" s="1">
        <v>6.09</v>
      </c>
      <c r="C14" s="1">
        <v>164</v>
      </c>
      <c r="D14" s="1" t="s">
        <v>63</v>
      </c>
      <c r="E14" s="1" t="s">
        <v>23</v>
      </c>
      <c r="F14" s="1">
        <f t="shared" si="0"/>
        <v>609</v>
      </c>
      <c r="G14" s="12">
        <f t="shared" si="1"/>
        <v>26.929392446633827</v>
      </c>
      <c r="I14" s="8" t="s">
        <v>122</v>
      </c>
      <c r="J14">
        <f t="shared" si="2"/>
        <v>24.978417780444083</v>
      </c>
      <c r="K14" t="e" cm="1">
        <f t="array" ref="K14">AVERAGEIFS(H:H, E:E, East, B:B, J13)</f>
        <v>#DIV/0!</v>
      </c>
      <c r="L14">
        <f t="shared" si="3"/>
        <v>15.098039215686276</v>
      </c>
      <c r="M14" t="e">
        <f t="shared" si="4"/>
        <v>#DIV/0!</v>
      </c>
      <c r="N14">
        <f t="shared" si="5"/>
        <v>25.406693423178069</v>
      </c>
      <c r="O14">
        <f t="shared" si="6"/>
        <v>23.262454813923057</v>
      </c>
      <c r="P14">
        <f t="shared" si="7"/>
        <v>14.44265229461708</v>
      </c>
      <c r="Q14">
        <f t="shared" si="8"/>
        <v>15.720410971981558</v>
      </c>
    </row>
    <row r="15" spans="1:17" ht="13">
      <c r="A15" s="4" t="s">
        <v>112</v>
      </c>
      <c r="B15" s="1">
        <v>8</v>
      </c>
      <c r="C15" s="1">
        <v>275</v>
      </c>
      <c r="D15" s="1" t="s">
        <v>47</v>
      </c>
      <c r="E15" s="1" t="s">
        <v>7</v>
      </c>
      <c r="F15" s="1">
        <f t="shared" si="0"/>
        <v>800</v>
      </c>
      <c r="G15" s="12">
        <f t="shared" si="1"/>
        <v>34.375</v>
      </c>
      <c r="I15" s="8" t="s">
        <v>123</v>
      </c>
      <c r="J15">
        <f t="shared" si="2"/>
        <v>0.25221765379108718</v>
      </c>
      <c r="K15" t="e" cm="1">
        <f t="array" ref="K15">AVERAGEIFS(H:H, E:E, East, B:B, J14)</f>
        <v>#DIV/0!</v>
      </c>
      <c r="L15">
        <f t="shared" si="3"/>
        <v>9.4635117081981884E-2</v>
      </c>
      <c r="M15" t="e">
        <f t="shared" si="4"/>
        <v>#DIV/0!</v>
      </c>
      <c r="N15">
        <f t="shared" si="5"/>
        <v>0.15878933008504345</v>
      </c>
      <c r="O15">
        <f t="shared" si="6"/>
        <v>0.1642276211892551</v>
      </c>
      <c r="P15">
        <f t="shared" si="7"/>
        <v>0.32611123645670376</v>
      </c>
      <c r="Q15">
        <f t="shared" si="8"/>
        <v>0.12299800032343136</v>
      </c>
    </row>
    <row r="16" spans="1:17" ht="13">
      <c r="A16" s="4" t="s">
        <v>112</v>
      </c>
      <c r="B16" s="1">
        <v>5.88</v>
      </c>
      <c r="C16" s="1">
        <v>161</v>
      </c>
      <c r="D16" s="1" t="s">
        <v>39</v>
      </c>
      <c r="E16" s="1" t="s">
        <v>19</v>
      </c>
      <c r="F16" s="1">
        <f t="shared" si="0"/>
        <v>588</v>
      </c>
      <c r="G16" s="12">
        <f t="shared" si="1"/>
        <v>27.380952380952383</v>
      </c>
      <c r="I16" s="8"/>
    </row>
    <row r="17" spans="1:12" ht="13">
      <c r="A17" s="4" t="s">
        <v>112</v>
      </c>
      <c r="B17" s="1">
        <v>8</v>
      </c>
      <c r="C17" s="1">
        <v>266</v>
      </c>
      <c r="D17" s="1" t="s">
        <v>11</v>
      </c>
      <c r="E17" s="1" t="s">
        <v>22</v>
      </c>
      <c r="F17" s="1">
        <f t="shared" si="0"/>
        <v>800</v>
      </c>
      <c r="G17" s="12">
        <f t="shared" si="1"/>
        <v>33.25</v>
      </c>
    </row>
    <row r="18" spans="1:12" ht="13">
      <c r="A18" s="4" t="s">
        <v>112</v>
      </c>
      <c r="B18" s="1">
        <v>7.5</v>
      </c>
      <c r="C18" s="1">
        <v>166</v>
      </c>
      <c r="D18" s="1" t="s">
        <v>43</v>
      </c>
      <c r="E18" s="1" t="s">
        <v>24</v>
      </c>
      <c r="F18" s="1">
        <f t="shared" si="0"/>
        <v>750</v>
      </c>
      <c r="G18" s="12">
        <f t="shared" si="1"/>
        <v>22.133333333333333</v>
      </c>
      <c r="I18" s="8"/>
      <c r="J18" s="9"/>
    </row>
    <row r="19" spans="1:12" ht="13">
      <c r="A19" s="4" t="s">
        <v>112</v>
      </c>
      <c r="B19" s="1">
        <v>7.8</v>
      </c>
      <c r="C19" s="1">
        <v>196</v>
      </c>
      <c r="D19" s="1" t="s">
        <v>58</v>
      </c>
      <c r="E19" s="1" t="s">
        <v>10</v>
      </c>
      <c r="F19" s="1">
        <f t="shared" si="0"/>
        <v>780</v>
      </c>
      <c r="G19" s="12">
        <f t="shared" si="1"/>
        <v>25.128205128205128</v>
      </c>
      <c r="I19" s="8"/>
      <c r="J19" s="9"/>
    </row>
    <row r="20" spans="1:12" ht="13">
      <c r="A20" s="4" t="s">
        <v>112</v>
      </c>
      <c r="B20" s="1">
        <v>4.3499999999999996</v>
      </c>
      <c r="C20" s="1">
        <v>185</v>
      </c>
      <c r="D20" s="1" t="s">
        <v>11</v>
      </c>
      <c r="E20" s="1" t="s">
        <v>24</v>
      </c>
      <c r="F20" s="1">
        <f t="shared" si="0"/>
        <v>434.99999999999994</v>
      </c>
      <c r="G20" s="12">
        <f t="shared" si="1"/>
        <v>42.52873563218391</v>
      </c>
      <c r="I20" s="8"/>
      <c r="J20" s="9"/>
    </row>
    <row r="21" spans="1:12" ht="13">
      <c r="A21" s="4" t="s">
        <v>112</v>
      </c>
      <c r="B21" s="1">
        <v>7.83</v>
      </c>
      <c r="C21" s="1">
        <v>242</v>
      </c>
      <c r="D21" s="1" t="s">
        <v>11</v>
      </c>
      <c r="E21" s="1" t="s">
        <v>21</v>
      </c>
      <c r="F21" s="1">
        <f t="shared" si="0"/>
        <v>783</v>
      </c>
      <c r="G21" s="12">
        <f t="shared" si="1"/>
        <v>30.90676883780332</v>
      </c>
      <c r="I21" s="8"/>
      <c r="J21" s="9"/>
    </row>
    <row r="22" spans="1:12" ht="13">
      <c r="A22" s="4" t="s">
        <v>112</v>
      </c>
      <c r="B22" s="1">
        <v>7.83</v>
      </c>
      <c r="C22" s="1">
        <v>387</v>
      </c>
      <c r="D22" s="1" t="s">
        <v>11</v>
      </c>
      <c r="E22" s="1" t="s">
        <v>8</v>
      </c>
      <c r="F22" s="1">
        <f t="shared" si="0"/>
        <v>783</v>
      </c>
      <c r="G22" s="12">
        <f t="shared" si="1"/>
        <v>49.425287356321839</v>
      </c>
      <c r="I22" s="8"/>
      <c r="J22" s="9"/>
    </row>
    <row r="23" spans="1:12" ht="13">
      <c r="A23" s="4" t="s">
        <v>112</v>
      </c>
      <c r="B23" s="1">
        <v>7.74</v>
      </c>
      <c r="C23" s="1">
        <v>308</v>
      </c>
      <c r="D23" s="1" t="s">
        <v>11</v>
      </c>
      <c r="E23" s="1" t="s">
        <v>29</v>
      </c>
      <c r="F23" s="1">
        <f t="shared" si="0"/>
        <v>774</v>
      </c>
      <c r="G23" s="12">
        <f t="shared" si="1"/>
        <v>39.793281653746767</v>
      </c>
      <c r="I23" s="8"/>
      <c r="J23" s="9"/>
    </row>
    <row r="24" spans="1:12" ht="13">
      <c r="A24" s="4" t="s">
        <v>112</v>
      </c>
      <c r="B24" s="1">
        <v>7.4</v>
      </c>
      <c r="C24" s="1">
        <v>262</v>
      </c>
      <c r="D24" s="1" t="s">
        <v>38</v>
      </c>
      <c r="E24" s="1" t="s">
        <v>17</v>
      </c>
      <c r="F24" s="1">
        <f t="shared" si="0"/>
        <v>740</v>
      </c>
      <c r="G24" s="12">
        <f t="shared" si="1"/>
        <v>35.405405405405403</v>
      </c>
      <c r="I24" s="8"/>
      <c r="J24" s="9"/>
    </row>
    <row r="25" spans="1:12" ht="13">
      <c r="A25" s="4" t="s">
        <v>112</v>
      </c>
      <c r="B25" s="1">
        <v>6.72</v>
      </c>
      <c r="C25" s="1">
        <v>102</v>
      </c>
      <c r="D25" s="1" t="s">
        <v>33</v>
      </c>
      <c r="E25" s="1" t="s">
        <v>27</v>
      </c>
      <c r="F25" s="1">
        <f t="shared" si="0"/>
        <v>672</v>
      </c>
      <c r="G25" s="12">
        <f t="shared" si="1"/>
        <v>15.178571428571429</v>
      </c>
      <c r="I25" s="8"/>
      <c r="J25" s="9"/>
    </row>
    <row r="26" spans="1:12" ht="13">
      <c r="A26" s="4" t="s">
        <v>112</v>
      </c>
      <c r="B26" s="1">
        <v>7.8</v>
      </c>
      <c r="C26" s="1">
        <v>251</v>
      </c>
      <c r="D26" s="1" t="s">
        <v>35</v>
      </c>
      <c r="E26" s="1" t="s">
        <v>23</v>
      </c>
      <c r="F26" s="1">
        <f t="shared" si="0"/>
        <v>780</v>
      </c>
      <c r="G26" s="12">
        <f t="shared" si="1"/>
        <v>32.179487179487182</v>
      </c>
      <c r="I26" s="8"/>
      <c r="J26" s="9"/>
    </row>
    <row r="27" spans="1:12" ht="13">
      <c r="A27" s="4" t="s">
        <v>112</v>
      </c>
      <c r="B27" s="1">
        <v>8.6</v>
      </c>
      <c r="C27" s="1">
        <v>161.19999999999999</v>
      </c>
      <c r="D27" s="1" t="s">
        <v>33</v>
      </c>
      <c r="E27" s="1" t="s">
        <v>26</v>
      </c>
      <c r="F27" s="1">
        <f t="shared" si="0"/>
        <v>860</v>
      </c>
      <c r="G27" s="12">
        <f t="shared" si="1"/>
        <v>18.744186046511626</v>
      </c>
      <c r="I27" s="8"/>
      <c r="J27" s="9"/>
    </row>
    <row r="28" spans="1:12" ht="13">
      <c r="A28" s="4" t="s">
        <v>112</v>
      </c>
      <c r="B28" s="1">
        <v>7.74</v>
      </c>
      <c r="C28" s="1">
        <v>173</v>
      </c>
      <c r="D28" s="1" t="s">
        <v>52</v>
      </c>
      <c r="E28" s="1" t="s">
        <v>30</v>
      </c>
      <c r="F28" s="1">
        <f t="shared" si="0"/>
        <v>774</v>
      </c>
      <c r="G28" s="12">
        <f t="shared" si="1"/>
        <v>22.351421188630489</v>
      </c>
      <c r="I28" s="8"/>
      <c r="J28" s="9"/>
    </row>
    <row r="29" spans="1:12" ht="13">
      <c r="A29" s="4" t="s">
        <v>112</v>
      </c>
      <c r="B29" s="1">
        <v>5.12</v>
      </c>
      <c r="C29" s="1">
        <v>104</v>
      </c>
      <c r="D29" s="1" t="s">
        <v>39</v>
      </c>
      <c r="E29" s="1" t="s">
        <v>15</v>
      </c>
      <c r="F29" s="1">
        <f t="shared" si="0"/>
        <v>512</v>
      </c>
      <c r="G29" s="12">
        <f t="shared" si="1"/>
        <v>20.3125</v>
      </c>
      <c r="I29" s="8"/>
      <c r="J29" s="10"/>
      <c r="K29" s="8"/>
      <c r="L29" s="8" t="s">
        <v>129</v>
      </c>
    </row>
    <row r="30" spans="1:12" ht="13">
      <c r="A30" s="4" t="s">
        <v>112</v>
      </c>
      <c r="B30" s="1">
        <v>6.5</v>
      </c>
      <c r="C30" s="1">
        <v>245</v>
      </c>
      <c r="D30" s="1" t="s">
        <v>11</v>
      </c>
      <c r="E30" s="1" t="s">
        <v>17</v>
      </c>
      <c r="F30" s="1">
        <f t="shared" si="0"/>
        <v>650</v>
      </c>
      <c r="G30" s="12">
        <f t="shared" si="1"/>
        <v>37.692307692307693</v>
      </c>
      <c r="I30" s="8" t="s">
        <v>112</v>
      </c>
      <c r="J30" s="11"/>
      <c r="L30">
        <f>AVERAGEIFS(G:G,  A:A, I30)</f>
        <v>28.953756767718403</v>
      </c>
    </row>
    <row r="31" spans="1:12" ht="13">
      <c r="A31" s="4" t="s">
        <v>112</v>
      </c>
      <c r="B31" s="1">
        <v>7.5</v>
      </c>
      <c r="C31" s="1">
        <v>326</v>
      </c>
      <c r="D31" s="1" t="s">
        <v>39</v>
      </c>
      <c r="E31" s="1" t="s">
        <v>9</v>
      </c>
      <c r="F31" s="1">
        <f t="shared" si="0"/>
        <v>750</v>
      </c>
      <c r="G31" s="12">
        <f t="shared" si="1"/>
        <v>43.466666666666669</v>
      </c>
      <c r="I31" s="8" t="s">
        <v>113</v>
      </c>
      <c r="J31" s="11"/>
      <c r="L31">
        <f t="shared" ref="L31:L41" si="9">AVERAGEIFS(G:G,  A:A, I31)</f>
        <v>37.784790270579009</v>
      </c>
    </row>
    <row r="32" spans="1:12" ht="13">
      <c r="A32" s="4" t="s">
        <v>112</v>
      </c>
      <c r="B32" s="1">
        <v>6.72</v>
      </c>
      <c r="C32" s="1">
        <v>231</v>
      </c>
      <c r="D32" s="1" t="s">
        <v>11</v>
      </c>
      <c r="E32" s="1" t="s">
        <v>24</v>
      </c>
      <c r="F32" s="1">
        <f t="shared" si="0"/>
        <v>672</v>
      </c>
      <c r="G32" s="12">
        <f t="shared" si="1"/>
        <v>34.375</v>
      </c>
      <c r="I32" s="8" t="s">
        <v>114</v>
      </c>
      <c r="J32" s="11"/>
      <c r="L32">
        <f t="shared" si="9"/>
        <v>61.890444469931005</v>
      </c>
    </row>
    <row r="33" spans="1:12" ht="13">
      <c r="A33" s="4" t="s">
        <v>112</v>
      </c>
      <c r="B33" s="1">
        <v>3.44</v>
      </c>
      <c r="C33" s="1">
        <v>104</v>
      </c>
      <c r="D33" s="1" t="s">
        <v>11</v>
      </c>
      <c r="E33" s="1" t="s">
        <v>22</v>
      </c>
      <c r="F33" s="1">
        <f t="shared" si="0"/>
        <v>344</v>
      </c>
      <c r="G33" s="12">
        <f t="shared" si="1"/>
        <v>30.232558139534884</v>
      </c>
      <c r="I33" s="8" t="s">
        <v>115</v>
      </c>
      <c r="J33" s="11"/>
      <c r="L33">
        <f t="shared" si="9"/>
        <v>96.185002656770735</v>
      </c>
    </row>
    <row r="34" spans="1:12" ht="13">
      <c r="A34" s="4" t="s">
        <v>112</v>
      </c>
      <c r="B34" s="1">
        <v>7</v>
      </c>
      <c r="C34" s="1">
        <v>248</v>
      </c>
      <c r="D34" s="1" t="s">
        <v>11</v>
      </c>
      <c r="E34" s="1" t="s">
        <v>8</v>
      </c>
      <c r="F34" s="1">
        <f t="shared" si="0"/>
        <v>700</v>
      </c>
      <c r="G34" s="12">
        <f t="shared" si="1"/>
        <v>35.428571428571431</v>
      </c>
      <c r="I34" s="8" t="s">
        <v>116</v>
      </c>
      <c r="J34" s="11"/>
      <c r="L34">
        <f t="shared" si="9"/>
        <v>109.44587097470752</v>
      </c>
    </row>
    <row r="35" spans="1:12" ht="13">
      <c r="A35" s="4" t="s">
        <v>112</v>
      </c>
      <c r="B35" s="1">
        <v>4.3499999999999996</v>
      </c>
      <c r="C35" s="1">
        <v>74</v>
      </c>
      <c r="D35" s="1" t="s">
        <v>33</v>
      </c>
      <c r="E35" s="1" t="s">
        <v>15</v>
      </c>
      <c r="F35" s="1">
        <f t="shared" si="0"/>
        <v>434.99999999999994</v>
      </c>
      <c r="G35" s="12">
        <f t="shared" si="1"/>
        <v>17.011494252873565</v>
      </c>
      <c r="I35" s="8" t="s">
        <v>117</v>
      </c>
      <c r="J35" s="11"/>
      <c r="L35">
        <f t="shared" si="9"/>
        <v>120.27550910767961</v>
      </c>
    </row>
    <row r="36" spans="1:12" ht="13">
      <c r="A36" s="4" t="s">
        <v>112</v>
      </c>
      <c r="B36" s="1">
        <v>6</v>
      </c>
      <c r="C36" s="1">
        <v>284</v>
      </c>
      <c r="D36" s="1" t="s">
        <v>11</v>
      </c>
      <c r="E36" s="1" t="s">
        <v>23</v>
      </c>
      <c r="F36" s="1">
        <f t="shared" si="0"/>
        <v>600</v>
      </c>
      <c r="G36" s="12">
        <f t="shared" si="1"/>
        <v>47.333333333333336</v>
      </c>
      <c r="I36" s="8" t="s">
        <v>118</v>
      </c>
      <c r="J36" s="11"/>
      <c r="L36">
        <f t="shared" si="9"/>
        <v>109.54054374673096</v>
      </c>
    </row>
    <row r="37" spans="1:12" ht="13">
      <c r="A37" s="4" t="s">
        <v>112</v>
      </c>
      <c r="B37" s="1">
        <v>6.5</v>
      </c>
      <c r="C37" s="1">
        <v>291</v>
      </c>
      <c r="D37" s="1" t="s">
        <v>11</v>
      </c>
      <c r="E37" s="1" t="s">
        <v>7</v>
      </c>
      <c r="F37" s="1">
        <f t="shared" si="0"/>
        <v>650</v>
      </c>
      <c r="G37" s="12">
        <f t="shared" si="1"/>
        <v>44.769230769230766</v>
      </c>
      <c r="I37" s="8" t="s">
        <v>119</v>
      </c>
      <c r="J37" s="11"/>
      <c r="L37">
        <f t="shared" si="9"/>
        <v>102.83509917288247</v>
      </c>
    </row>
    <row r="38" spans="1:12" ht="13">
      <c r="A38" s="4" t="s">
        <v>112</v>
      </c>
      <c r="B38" s="1">
        <v>6.4</v>
      </c>
      <c r="C38" s="1">
        <v>209</v>
      </c>
      <c r="D38" s="1" t="s">
        <v>11</v>
      </c>
      <c r="E38" s="1" t="s">
        <v>23</v>
      </c>
      <c r="F38" s="1">
        <f t="shared" si="0"/>
        <v>640</v>
      </c>
      <c r="G38" s="12">
        <f t="shared" si="1"/>
        <v>32.65625</v>
      </c>
      <c r="I38" s="8" t="s">
        <v>120</v>
      </c>
      <c r="J38" s="11"/>
      <c r="L38">
        <f t="shared" si="9"/>
        <v>75.097874041569455</v>
      </c>
    </row>
    <row r="39" spans="1:12" ht="13">
      <c r="A39" s="4" t="s">
        <v>112</v>
      </c>
      <c r="B39" s="1">
        <v>3.4</v>
      </c>
      <c r="C39" s="1">
        <v>125</v>
      </c>
      <c r="D39" s="1" t="s">
        <v>43</v>
      </c>
      <c r="E39" s="1" t="s">
        <v>17</v>
      </c>
      <c r="F39" s="1">
        <f t="shared" si="0"/>
        <v>340</v>
      </c>
      <c r="G39" s="12">
        <f t="shared" si="1"/>
        <v>36.764705882352942</v>
      </c>
      <c r="I39" s="8" t="s">
        <v>121</v>
      </c>
      <c r="J39" s="11"/>
      <c r="L39">
        <f t="shared" si="9"/>
        <v>49.603446641158165</v>
      </c>
    </row>
    <row r="40" spans="1:12" ht="13">
      <c r="A40" s="4" t="s">
        <v>112</v>
      </c>
      <c r="B40" s="1">
        <v>7.56</v>
      </c>
      <c r="C40" s="1">
        <v>321</v>
      </c>
      <c r="D40" s="1" t="s">
        <v>11</v>
      </c>
      <c r="E40" s="1" t="s">
        <v>27</v>
      </c>
      <c r="F40" s="1">
        <f t="shared" si="0"/>
        <v>756</v>
      </c>
      <c r="G40" s="12">
        <f t="shared" si="1"/>
        <v>42.460317460317462</v>
      </c>
      <c r="I40" s="8" t="s">
        <v>122</v>
      </c>
      <c r="J40" s="11"/>
      <c r="L40">
        <f t="shared" si="9"/>
        <v>21.270373884685284</v>
      </c>
    </row>
    <row r="41" spans="1:12" ht="13">
      <c r="A41" s="4" t="s">
        <v>112</v>
      </c>
      <c r="B41" s="1">
        <v>5</v>
      </c>
      <c r="C41" s="1">
        <v>128</v>
      </c>
      <c r="D41" s="1" t="s">
        <v>11</v>
      </c>
      <c r="E41" s="1" t="s">
        <v>8</v>
      </c>
      <c r="F41" s="1">
        <f t="shared" si="0"/>
        <v>500</v>
      </c>
      <c r="G41" s="12">
        <f t="shared" si="1"/>
        <v>25.6</v>
      </c>
      <c r="I41" s="8" t="s">
        <v>123</v>
      </c>
      <c r="J41" s="11"/>
      <c r="L41">
        <f t="shared" si="9"/>
        <v>0.24008443168860089</v>
      </c>
    </row>
    <row r="42" spans="1:12" ht="13">
      <c r="A42" s="4" t="s">
        <v>112</v>
      </c>
      <c r="B42" s="1">
        <v>6.88</v>
      </c>
      <c r="C42" s="1">
        <v>111</v>
      </c>
      <c r="D42" s="1" t="s">
        <v>33</v>
      </c>
      <c r="E42" s="1" t="s">
        <v>17</v>
      </c>
      <c r="F42" s="1">
        <f t="shared" si="0"/>
        <v>688</v>
      </c>
      <c r="G42" s="12">
        <f t="shared" si="1"/>
        <v>16.13372093023256</v>
      </c>
    </row>
    <row r="43" spans="1:12" ht="13">
      <c r="A43" s="4" t="s">
        <v>112</v>
      </c>
      <c r="B43" s="1">
        <v>3.7</v>
      </c>
      <c r="C43" s="1">
        <v>124</v>
      </c>
      <c r="D43" s="1" t="s">
        <v>47</v>
      </c>
      <c r="E43" s="1" t="s">
        <v>20</v>
      </c>
      <c r="F43" s="1">
        <f t="shared" si="0"/>
        <v>370</v>
      </c>
      <c r="G43" s="12">
        <f t="shared" si="1"/>
        <v>33.513513513513509</v>
      </c>
    </row>
    <row r="44" spans="1:12" ht="13">
      <c r="A44" s="4" t="s">
        <v>112</v>
      </c>
      <c r="B44" s="1">
        <v>7.74</v>
      </c>
      <c r="C44" s="1">
        <v>146</v>
      </c>
      <c r="D44" s="1" t="s">
        <v>33</v>
      </c>
      <c r="E44" s="1" t="s">
        <v>16</v>
      </c>
      <c r="F44" s="1">
        <f t="shared" si="0"/>
        <v>774</v>
      </c>
      <c r="G44" s="12">
        <f t="shared" si="1"/>
        <v>18.863049095607234</v>
      </c>
    </row>
    <row r="45" spans="1:12" ht="13">
      <c r="A45" s="4" t="s">
        <v>112</v>
      </c>
      <c r="B45" s="1">
        <v>8.6999999999999993</v>
      </c>
      <c r="C45" s="1">
        <v>153</v>
      </c>
      <c r="D45" s="1" t="s">
        <v>33</v>
      </c>
      <c r="E45" s="1" t="s">
        <v>15</v>
      </c>
      <c r="F45" s="1">
        <f t="shared" si="0"/>
        <v>869.99999999999989</v>
      </c>
      <c r="G45" s="12">
        <f t="shared" si="1"/>
        <v>17.586206896551726</v>
      </c>
    </row>
    <row r="46" spans="1:12" ht="13">
      <c r="A46" s="4" t="s">
        <v>112</v>
      </c>
      <c r="B46" s="1">
        <v>7.74</v>
      </c>
      <c r="C46" s="1">
        <v>133</v>
      </c>
      <c r="D46" s="1" t="s">
        <v>33</v>
      </c>
      <c r="E46" s="1" t="s">
        <v>16</v>
      </c>
      <c r="F46" s="1">
        <f t="shared" si="0"/>
        <v>774</v>
      </c>
      <c r="G46" s="12">
        <f t="shared" si="1"/>
        <v>17.183462532299743</v>
      </c>
    </row>
    <row r="47" spans="1:12" ht="13">
      <c r="A47" s="4" t="s">
        <v>112</v>
      </c>
      <c r="B47" s="1">
        <v>6</v>
      </c>
      <c r="C47" s="1">
        <v>130</v>
      </c>
      <c r="D47" s="1" t="s">
        <v>40</v>
      </c>
      <c r="E47" s="1" t="s">
        <v>8</v>
      </c>
      <c r="F47" s="1">
        <f t="shared" si="0"/>
        <v>600</v>
      </c>
      <c r="G47" s="12">
        <f t="shared" si="1"/>
        <v>21.666666666666668</v>
      </c>
    </row>
    <row r="48" spans="1:12" ht="13">
      <c r="A48" s="4" t="s">
        <v>112</v>
      </c>
      <c r="B48" s="1">
        <v>8</v>
      </c>
      <c r="C48" s="1">
        <v>139</v>
      </c>
      <c r="D48" s="1" t="s">
        <v>33</v>
      </c>
      <c r="E48" s="1" t="s">
        <v>17</v>
      </c>
      <c r="F48" s="1">
        <f t="shared" si="0"/>
        <v>800</v>
      </c>
      <c r="G48" s="12">
        <f t="shared" si="1"/>
        <v>17.375</v>
      </c>
    </row>
    <row r="49" spans="1:7" ht="13">
      <c r="A49" s="4" t="s">
        <v>112</v>
      </c>
      <c r="B49" s="1">
        <v>6.15</v>
      </c>
      <c r="C49" s="1">
        <v>211</v>
      </c>
      <c r="D49" s="1" t="s">
        <v>11</v>
      </c>
      <c r="E49" s="1" t="s">
        <v>15</v>
      </c>
      <c r="F49" s="1">
        <f t="shared" si="0"/>
        <v>615</v>
      </c>
      <c r="G49" s="12">
        <f t="shared" si="1"/>
        <v>34.30894308943089</v>
      </c>
    </row>
    <row r="50" spans="1:7" ht="13">
      <c r="A50" s="4" t="s">
        <v>112</v>
      </c>
      <c r="B50" s="1">
        <v>6.4</v>
      </c>
      <c r="C50" s="1">
        <v>143</v>
      </c>
      <c r="D50" s="1" t="s">
        <v>42</v>
      </c>
      <c r="E50" s="1" t="s">
        <v>18</v>
      </c>
      <c r="F50" s="1">
        <f t="shared" si="0"/>
        <v>640</v>
      </c>
      <c r="G50" s="12">
        <f t="shared" si="1"/>
        <v>22.34375</v>
      </c>
    </row>
    <row r="51" spans="1:7" ht="13">
      <c r="A51" s="4" t="s">
        <v>112</v>
      </c>
      <c r="B51" s="1">
        <v>3.87</v>
      </c>
      <c r="C51" s="1">
        <v>128</v>
      </c>
      <c r="D51" s="1" t="s">
        <v>11</v>
      </c>
      <c r="E51" s="1" t="s">
        <v>19</v>
      </c>
      <c r="F51" s="1">
        <f t="shared" si="0"/>
        <v>387</v>
      </c>
      <c r="G51" s="12">
        <f t="shared" si="1"/>
        <v>33.074935400516793</v>
      </c>
    </row>
    <row r="52" spans="1:7" ht="13">
      <c r="A52" s="4" t="s">
        <v>112</v>
      </c>
      <c r="B52" s="1">
        <v>7.3</v>
      </c>
      <c r="C52" s="1">
        <v>225</v>
      </c>
      <c r="D52" s="1" t="s">
        <v>47</v>
      </c>
      <c r="E52" s="1" t="s">
        <v>28</v>
      </c>
      <c r="F52" s="1">
        <f t="shared" si="0"/>
        <v>730</v>
      </c>
      <c r="G52" s="12">
        <f t="shared" si="1"/>
        <v>30.82191780821918</v>
      </c>
    </row>
    <row r="53" spans="1:7" ht="13">
      <c r="A53" s="4" t="s">
        <v>112</v>
      </c>
      <c r="B53" s="1">
        <v>5.12</v>
      </c>
      <c r="C53" s="1">
        <v>246</v>
      </c>
      <c r="D53" s="1" t="s">
        <v>11</v>
      </c>
      <c r="E53" s="1" t="s">
        <v>9</v>
      </c>
      <c r="F53" s="1">
        <f t="shared" si="0"/>
        <v>512</v>
      </c>
      <c r="G53" s="12">
        <f t="shared" si="1"/>
        <v>48.046875</v>
      </c>
    </row>
    <row r="54" spans="1:7" ht="13">
      <c r="A54" s="4" t="s">
        <v>112</v>
      </c>
      <c r="B54" s="1">
        <v>7.56</v>
      </c>
      <c r="C54" s="1">
        <v>400</v>
      </c>
      <c r="D54" s="1" t="s">
        <v>11</v>
      </c>
      <c r="E54" s="1" t="s">
        <v>7</v>
      </c>
      <c r="F54" s="1">
        <f t="shared" si="0"/>
        <v>756</v>
      </c>
      <c r="G54" s="12">
        <f t="shared" si="1"/>
        <v>52.910052910052912</v>
      </c>
    </row>
    <row r="55" spans="1:7" ht="13">
      <c r="A55" s="4" t="s">
        <v>112</v>
      </c>
      <c r="B55" s="1">
        <v>7.4</v>
      </c>
      <c r="C55" s="1">
        <v>190</v>
      </c>
      <c r="D55" s="1" t="s">
        <v>11</v>
      </c>
      <c r="E55" s="1" t="s">
        <v>15</v>
      </c>
      <c r="F55" s="1">
        <f t="shared" si="0"/>
        <v>740</v>
      </c>
      <c r="G55" s="12">
        <f t="shared" si="1"/>
        <v>25.675675675675674</v>
      </c>
    </row>
    <row r="56" spans="1:7" ht="13">
      <c r="A56" s="4" t="s">
        <v>112</v>
      </c>
      <c r="B56" s="1">
        <v>5.16</v>
      </c>
      <c r="C56" s="1">
        <v>81</v>
      </c>
      <c r="D56" s="1" t="s">
        <v>53</v>
      </c>
      <c r="E56" s="1" t="s">
        <v>24</v>
      </c>
      <c r="F56" s="1">
        <f t="shared" si="0"/>
        <v>516</v>
      </c>
      <c r="G56" s="12">
        <f t="shared" si="1"/>
        <v>15.697674418604651</v>
      </c>
    </row>
    <row r="57" spans="1:7" ht="13">
      <c r="A57" s="4" t="s">
        <v>112</v>
      </c>
      <c r="B57" s="1">
        <v>7.7</v>
      </c>
      <c r="C57" s="1">
        <v>126</v>
      </c>
      <c r="D57" s="1" t="s">
        <v>33</v>
      </c>
      <c r="E57" s="1" t="s">
        <v>10</v>
      </c>
      <c r="F57" s="1">
        <f t="shared" si="0"/>
        <v>770</v>
      </c>
      <c r="G57" s="12">
        <f t="shared" si="1"/>
        <v>16.363636363636363</v>
      </c>
    </row>
    <row r="58" spans="1:7" ht="13">
      <c r="A58" s="4" t="s">
        <v>112</v>
      </c>
      <c r="B58" s="1">
        <v>5.0999999999999996</v>
      </c>
      <c r="C58" s="1">
        <v>107</v>
      </c>
      <c r="D58" s="1" t="s">
        <v>59</v>
      </c>
      <c r="E58" s="1" t="s">
        <v>18</v>
      </c>
      <c r="F58" s="1">
        <f t="shared" si="0"/>
        <v>509.99999999999994</v>
      </c>
      <c r="G58" s="12">
        <f t="shared" si="1"/>
        <v>20.980392156862745</v>
      </c>
    </row>
    <row r="59" spans="1:7" ht="13">
      <c r="A59" s="4" t="s">
        <v>112</v>
      </c>
      <c r="B59" s="1">
        <v>4.8</v>
      </c>
      <c r="C59" s="1">
        <v>211</v>
      </c>
      <c r="D59" s="1" t="s">
        <v>38</v>
      </c>
      <c r="E59" s="1" t="s">
        <v>21</v>
      </c>
      <c r="F59" s="1">
        <f t="shared" si="0"/>
        <v>480</v>
      </c>
      <c r="G59" s="12">
        <f t="shared" si="1"/>
        <v>43.958333333333336</v>
      </c>
    </row>
    <row r="60" spans="1:7" ht="13">
      <c r="A60" s="4" t="s">
        <v>112</v>
      </c>
      <c r="B60" s="1">
        <v>7.56</v>
      </c>
      <c r="C60" s="1">
        <v>367</v>
      </c>
      <c r="D60" s="1" t="s">
        <v>11</v>
      </c>
      <c r="E60" s="1" t="s">
        <v>20</v>
      </c>
      <c r="F60" s="1">
        <f t="shared" si="0"/>
        <v>756</v>
      </c>
      <c r="G60" s="12">
        <f t="shared" si="1"/>
        <v>48.544973544973544</v>
      </c>
    </row>
    <row r="61" spans="1:7" ht="13">
      <c r="A61" s="4" t="s">
        <v>112</v>
      </c>
      <c r="B61" s="1">
        <v>6.3</v>
      </c>
      <c r="C61" s="1">
        <v>154</v>
      </c>
      <c r="D61" s="1" t="s">
        <v>43</v>
      </c>
      <c r="E61" s="1" t="s">
        <v>29</v>
      </c>
      <c r="F61" s="1">
        <f t="shared" si="0"/>
        <v>630</v>
      </c>
      <c r="G61" s="12">
        <f t="shared" si="1"/>
        <v>24.444444444444446</v>
      </c>
    </row>
    <row r="62" spans="1:7" ht="13">
      <c r="A62" s="4" t="s">
        <v>112</v>
      </c>
      <c r="B62" s="1">
        <v>7.74</v>
      </c>
      <c r="C62" s="1">
        <v>282</v>
      </c>
      <c r="D62" s="1" t="s">
        <v>11</v>
      </c>
      <c r="E62" s="1" t="s">
        <v>21</v>
      </c>
      <c r="F62" s="1">
        <f t="shared" si="0"/>
        <v>774</v>
      </c>
      <c r="G62" s="12">
        <f t="shared" si="1"/>
        <v>36.434108527131784</v>
      </c>
    </row>
    <row r="63" spans="1:7" ht="13">
      <c r="A63" s="4" t="s">
        <v>112</v>
      </c>
      <c r="B63" s="1">
        <v>4.3</v>
      </c>
      <c r="C63" s="1">
        <v>161</v>
      </c>
      <c r="D63" s="1" t="s">
        <v>11</v>
      </c>
      <c r="E63" s="1" t="s">
        <v>22</v>
      </c>
      <c r="F63" s="1">
        <f t="shared" si="0"/>
        <v>430</v>
      </c>
      <c r="G63" s="12">
        <f t="shared" si="1"/>
        <v>37.441860465116278</v>
      </c>
    </row>
    <row r="64" spans="1:7" ht="13">
      <c r="A64" s="4" t="s">
        <v>112</v>
      </c>
      <c r="B64" s="1">
        <v>7.74</v>
      </c>
      <c r="C64" s="1">
        <v>190</v>
      </c>
      <c r="D64" s="1" t="s">
        <v>37</v>
      </c>
      <c r="E64" s="1" t="s">
        <v>16</v>
      </c>
      <c r="F64" s="1">
        <f t="shared" si="0"/>
        <v>774</v>
      </c>
      <c r="G64" s="12">
        <f t="shared" si="1"/>
        <v>24.547803617571059</v>
      </c>
    </row>
    <row r="65" spans="1:7" ht="13">
      <c r="A65" s="4" t="s">
        <v>112</v>
      </c>
      <c r="B65" s="1">
        <v>10.3</v>
      </c>
      <c r="C65" s="1">
        <v>150</v>
      </c>
      <c r="D65" s="1" t="s">
        <v>37</v>
      </c>
      <c r="E65" s="1" t="s">
        <v>26</v>
      </c>
      <c r="F65" s="1">
        <f t="shared" si="0"/>
        <v>1030</v>
      </c>
      <c r="G65" s="12">
        <f t="shared" si="1"/>
        <v>14.563106796116504</v>
      </c>
    </row>
    <row r="66" spans="1:7" ht="13">
      <c r="A66" s="4" t="s">
        <v>112</v>
      </c>
      <c r="B66" s="1">
        <v>7.7</v>
      </c>
      <c r="C66" s="1">
        <v>240</v>
      </c>
      <c r="D66" s="1" t="s">
        <v>11</v>
      </c>
      <c r="E66" s="1" t="s">
        <v>23</v>
      </c>
      <c r="F66" s="1">
        <f t="shared" si="0"/>
        <v>770</v>
      </c>
      <c r="G66" s="12">
        <f t="shared" si="1"/>
        <v>31.168831168831169</v>
      </c>
    </row>
    <row r="67" spans="1:7" ht="13">
      <c r="A67" s="4" t="s">
        <v>112</v>
      </c>
      <c r="B67" s="1">
        <v>4.03</v>
      </c>
      <c r="C67" s="1">
        <v>154</v>
      </c>
      <c r="D67" s="1" t="s">
        <v>11</v>
      </c>
      <c r="E67" s="1" t="s">
        <v>9</v>
      </c>
      <c r="F67" s="1">
        <f t="shared" ref="F67:F130" si="10">B67*100</f>
        <v>403</v>
      </c>
      <c r="G67" s="12">
        <f t="shared" ref="G67:G130" si="11">C67/B67</f>
        <v>38.21339950372208</v>
      </c>
    </row>
    <row r="68" spans="1:7" ht="13">
      <c r="A68" s="4" t="s">
        <v>112</v>
      </c>
      <c r="B68" s="1">
        <v>8</v>
      </c>
      <c r="C68" s="1">
        <v>249</v>
      </c>
      <c r="D68" s="1" t="s">
        <v>43</v>
      </c>
      <c r="E68" s="1" t="s">
        <v>21</v>
      </c>
      <c r="F68" s="1">
        <f t="shared" si="10"/>
        <v>800</v>
      </c>
      <c r="G68" s="12">
        <f t="shared" si="11"/>
        <v>31.125</v>
      </c>
    </row>
    <row r="69" spans="1:7" ht="13">
      <c r="A69" s="4" t="s">
        <v>112</v>
      </c>
      <c r="B69" s="1">
        <v>4.08</v>
      </c>
      <c r="C69" s="1">
        <v>133</v>
      </c>
      <c r="D69" s="1" t="s">
        <v>39</v>
      </c>
      <c r="E69" s="1" t="s">
        <v>14</v>
      </c>
      <c r="F69" s="1">
        <f t="shared" si="10"/>
        <v>408</v>
      </c>
      <c r="G69" s="12">
        <f t="shared" si="11"/>
        <v>32.598039215686271</v>
      </c>
    </row>
    <row r="70" spans="1:7" ht="13">
      <c r="A70" s="4" t="s">
        <v>112</v>
      </c>
      <c r="B70" s="1">
        <v>7.14</v>
      </c>
      <c r="C70" s="1">
        <v>224</v>
      </c>
      <c r="D70" s="1" t="s">
        <v>11</v>
      </c>
      <c r="E70" s="1" t="s">
        <v>28</v>
      </c>
      <c r="F70" s="1">
        <f t="shared" si="10"/>
        <v>714</v>
      </c>
      <c r="G70" s="12">
        <f t="shared" si="11"/>
        <v>31.372549019607845</v>
      </c>
    </row>
    <row r="71" spans="1:7" ht="13">
      <c r="A71" s="4" t="s">
        <v>112</v>
      </c>
      <c r="B71" s="1">
        <v>5.0999999999999996</v>
      </c>
      <c r="C71" s="1">
        <v>171</v>
      </c>
      <c r="D71" s="1" t="s">
        <v>59</v>
      </c>
      <c r="E71" s="1" t="s">
        <v>7</v>
      </c>
      <c r="F71" s="1">
        <f t="shared" si="10"/>
        <v>509.99999999999994</v>
      </c>
      <c r="G71" s="12">
        <f t="shared" si="11"/>
        <v>33.529411764705884</v>
      </c>
    </row>
    <row r="72" spans="1:7" ht="13">
      <c r="A72" s="4" t="s">
        <v>112</v>
      </c>
      <c r="B72" s="1">
        <v>6</v>
      </c>
      <c r="C72" s="1">
        <v>182</v>
      </c>
      <c r="D72" s="1" t="s">
        <v>42</v>
      </c>
      <c r="E72" s="1" t="s">
        <v>8</v>
      </c>
      <c r="F72" s="1">
        <f t="shared" si="10"/>
        <v>600</v>
      </c>
      <c r="G72" s="12">
        <f t="shared" si="11"/>
        <v>30.333333333333332</v>
      </c>
    </row>
    <row r="73" spans="1:7" ht="13">
      <c r="A73" s="4" t="s">
        <v>112</v>
      </c>
      <c r="B73" s="1">
        <v>6.96</v>
      </c>
      <c r="C73" s="1">
        <v>129</v>
      </c>
      <c r="D73" s="1" t="s">
        <v>11</v>
      </c>
      <c r="E73" s="1" t="s">
        <v>26</v>
      </c>
      <c r="F73" s="1">
        <f t="shared" si="10"/>
        <v>696</v>
      </c>
      <c r="G73" s="12">
        <f t="shared" si="11"/>
        <v>18.53448275862069</v>
      </c>
    </row>
    <row r="74" spans="1:7" ht="13">
      <c r="A74" s="4" t="s">
        <v>112</v>
      </c>
      <c r="B74" s="1">
        <v>9.4600000000000009</v>
      </c>
      <c r="C74" s="1">
        <v>255</v>
      </c>
      <c r="D74" s="1" t="s">
        <v>52</v>
      </c>
      <c r="E74" s="1" t="s">
        <v>18</v>
      </c>
      <c r="F74" s="1">
        <f t="shared" si="10"/>
        <v>946.00000000000011</v>
      </c>
      <c r="G74" s="12">
        <f t="shared" si="11"/>
        <v>26.955602536997883</v>
      </c>
    </row>
    <row r="75" spans="1:7" ht="13">
      <c r="A75" s="4" t="s">
        <v>112</v>
      </c>
      <c r="B75" s="1">
        <v>7.29</v>
      </c>
      <c r="C75" s="1">
        <v>99</v>
      </c>
      <c r="D75" s="1" t="s">
        <v>33</v>
      </c>
      <c r="E75" s="1" t="s">
        <v>17</v>
      </c>
      <c r="F75" s="1">
        <f t="shared" si="10"/>
        <v>729</v>
      </c>
      <c r="G75" s="12">
        <f t="shared" si="11"/>
        <v>13.580246913580247</v>
      </c>
    </row>
    <row r="76" spans="1:7" ht="13">
      <c r="A76" s="4" t="s">
        <v>112</v>
      </c>
      <c r="B76" s="1">
        <v>9.3000000000000007</v>
      </c>
      <c r="C76" s="1">
        <v>414</v>
      </c>
      <c r="D76" s="1" t="s">
        <v>11</v>
      </c>
      <c r="E76" s="1" t="s">
        <v>20</v>
      </c>
      <c r="F76" s="1">
        <f t="shared" si="10"/>
        <v>930.00000000000011</v>
      </c>
      <c r="G76" s="12">
        <f t="shared" si="11"/>
        <v>44.516129032258064</v>
      </c>
    </row>
    <row r="77" spans="1:7" ht="13">
      <c r="A77" s="4" t="s">
        <v>112</v>
      </c>
      <c r="B77" s="1">
        <v>6.4</v>
      </c>
      <c r="C77" s="1">
        <v>228</v>
      </c>
      <c r="D77" s="1" t="s">
        <v>11</v>
      </c>
      <c r="E77" s="1" t="s">
        <v>32</v>
      </c>
      <c r="F77" s="1">
        <f t="shared" si="10"/>
        <v>640</v>
      </c>
      <c r="G77" s="12">
        <f t="shared" si="11"/>
        <v>35.625</v>
      </c>
    </row>
    <row r="78" spans="1:7" ht="13">
      <c r="A78" s="4" t="s">
        <v>112</v>
      </c>
      <c r="B78" s="1">
        <v>4.3</v>
      </c>
      <c r="C78" s="1">
        <v>70</v>
      </c>
      <c r="D78" s="1" t="s">
        <v>33</v>
      </c>
      <c r="E78" s="1" t="s">
        <v>16</v>
      </c>
      <c r="F78" s="1">
        <f t="shared" si="10"/>
        <v>430</v>
      </c>
      <c r="G78" s="12">
        <f t="shared" si="11"/>
        <v>16.279069767441861</v>
      </c>
    </row>
    <row r="79" spans="1:7" ht="13">
      <c r="A79" s="4" t="s">
        <v>112</v>
      </c>
      <c r="B79" s="1">
        <v>7.56</v>
      </c>
      <c r="C79" s="1">
        <v>238</v>
      </c>
      <c r="D79" s="1" t="s">
        <v>11</v>
      </c>
      <c r="E79" s="1" t="s">
        <v>25</v>
      </c>
      <c r="F79" s="1">
        <f t="shared" si="10"/>
        <v>756</v>
      </c>
      <c r="G79" s="12">
        <f t="shared" si="11"/>
        <v>31.481481481481485</v>
      </c>
    </row>
    <row r="80" spans="1:7" ht="13">
      <c r="A80" s="4" t="s">
        <v>112</v>
      </c>
      <c r="B80" s="1">
        <v>4.2</v>
      </c>
      <c r="C80" s="1">
        <v>136</v>
      </c>
      <c r="D80" s="1" t="s">
        <v>38</v>
      </c>
      <c r="E80" s="1" t="s">
        <v>16</v>
      </c>
      <c r="F80" s="1">
        <f t="shared" si="10"/>
        <v>420</v>
      </c>
      <c r="G80" s="12">
        <f t="shared" si="11"/>
        <v>32.38095238095238</v>
      </c>
    </row>
    <row r="81" spans="1:7" ht="13">
      <c r="A81" s="4" t="s">
        <v>112</v>
      </c>
      <c r="B81" s="1">
        <v>8.1999999999999993</v>
      </c>
      <c r="C81" s="1">
        <v>170</v>
      </c>
      <c r="D81" s="1" t="s">
        <v>11</v>
      </c>
      <c r="E81" s="1" t="s">
        <v>12</v>
      </c>
      <c r="F81" s="1">
        <f t="shared" si="10"/>
        <v>819.99999999999989</v>
      </c>
      <c r="G81" s="12">
        <f t="shared" si="11"/>
        <v>20.731707317073173</v>
      </c>
    </row>
    <row r="82" spans="1:7" ht="13">
      <c r="A82" s="4" t="s">
        <v>112</v>
      </c>
      <c r="B82" s="1">
        <v>6.4</v>
      </c>
      <c r="C82" s="1">
        <v>286</v>
      </c>
      <c r="D82" s="1" t="s">
        <v>47</v>
      </c>
      <c r="E82" s="1" t="s">
        <v>8</v>
      </c>
      <c r="F82" s="1">
        <f t="shared" si="10"/>
        <v>640</v>
      </c>
      <c r="G82" s="12">
        <f t="shared" si="11"/>
        <v>44.6875</v>
      </c>
    </row>
    <row r="83" spans="1:7" ht="13">
      <c r="A83" s="4" t="s">
        <v>112</v>
      </c>
      <c r="B83" s="1">
        <v>8.4</v>
      </c>
      <c r="C83" s="1">
        <v>282</v>
      </c>
      <c r="D83" s="1" t="s">
        <v>42</v>
      </c>
      <c r="E83" s="1" t="s">
        <v>30</v>
      </c>
      <c r="F83" s="1">
        <f t="shared" si="10"/>
        <v>840</v>
      </c>
      <c r="G83" s="12">
        <f t="shared" si="11"/>
        <v>33.571428571428569</v>
      </c>
    </row>
    <row r="84" spans="1:7" ht="13">
      <c r="A84" s="4" t="s">
        <v>112</v>
      </c>
      <c r="B84" s="1">
        <v>7</v>
      </c>
      <c r="C84" s="1">
        <v>90</v>
      </c>
      <c r="D84" s="1" t="s">
        <v>33</v>
      </c>
      <c r="E84" s="1" t="s">
        <v>25</v>
      </c>
      <c r="F84" s="1">
        <f t="shared" si="10"/>
        <v>700</v>
      </c>
      <c r="G84" s="12">
        <f t="shared" si="11"/>
        <v>12.857142857142858</v>
      </c>
    </row>
    <row r="85" spans="1:7" ht="13">
      <c r="A85" s="4" t="s">
        <v>112</v>
      </c>
      <c r="B85" s="1">
        <v>8.6999999999999993</v>
      </c>
      <c r="C85" s="1">
        <v>310</v>
      </c>
      <c r="D85" s="1" t="s">
        <v>11</v>
      </c>
      <c r="E85" s="1" t="s">
        <v>26</v>
      </c>
      <c r="F85" s="1">
        <f t="shared" si="10"/>
        <v>869.99999999999989</v>
      </c>
      <c r="G85" s="12">
        <f t="shared" si="11"/>
        <v>35.632183908045981</v>
      </c>
    </row>
    <row r="86" spans="1:7" ht="13">
      <c r="A86" s="4" t="s">
        <v>112</v>
      </c>
      <c r="B86" s="1">
        <v>4</v>
      </c>
      <c r="C86" s="1">
        <v>6</v>
      </c>
      <c r="D86" s="1" t="s">
        <v>44</v>
      </c>
      <c r="E86" s="1" t="s">
        <v>21</v>
      </c>
      <c r="F86" s="1">
        <f t="shared" si="10"/>
        <v>400</v>
      </c>
      <c r="G86" s="12">
        <f t="shared" si="11"/>
        <v>1.5</v>
      </c>
    </row>
    <row r="87" spans="1:7" ht="13">
      <c r="A87" s="4" t="s">
        <v>112</v>
      </c>
      <c r="B87" s="1">
        <v>5.46</v>
      </c>
      <c r="C87" s="1">
        <v>220</v>
      </c>
      <c r="D87" s="1" t="s">
        <v>47</v>
      </c>
      <c r="E87" s="1" t="s">
        <v>10</v>
      </c>
      <c r="F87" s="1">
        <f t="shared" si="10"/>
        <v>546</v>
      </c>
      <c r="G87" s="12">
        <f t="shared" si="11"/>
        <v>40.293040293040292</v>
      </c>
    </row>
    <row r="88" spans="1:7" ht="13">
      <c r="A88" s="4" t="s">
        <v>112</v>
      </c>
      <c r="B88" s="1">
        <v>8.6999999999999993</v>
      </c>
      <c r="C88" s="1">
        <v>135</v>
      </c>
      <c r="D88" s="1" t="s">
        <v>45</v>
      </c>
      <c r="E88" s="1" t="s">
        <v>20</v>
      </c>
      <c r="F88" s="1">
        <f t="shared" si="10"/>
        <v>869.99999999999989</v>
      </c>
      <c r="G88" s="12">
        <f t="shared" si="11"/>
        <v>15.517241379310347</v>
      </c>
    </row>
    <row r="89" spans="1:7" ht="13">
      <c r="A89" s="4" t="s">
        <v>112</v>
      </c>
      <c r="B89" s="1">
        <v>5.81</v>
      </c>
      <c r="C89" s="1">
        <v>261</v>
      </c>
      <c r="D89" s="1" t="s">
        <v>38</v>
      </c>
      <c r="E89" s="1" t="s">
        <v>8</v>
      </c>
      <c r="F89" s="1">
        <f t="shared" si="10"/>
        <v>581</v>
      </c>
      <c r="G89" s="12">
        <f t="shared" si="11"/>
        <v>44.922547332185893</v>
      </c>
    </row>
    <row r="90" spans="1:7" ht="13">
      <c r="A90" s="4" t="s">
        <v>112</v>
      </c>
      <c r="B90" s="1">
        <v>6.1</v>
      </c>
      <c r="C90" s="1">
        <v>113</v>
      </c>
      <c r="D90" s="1" t="s">
        <v>33</v>
      </c>
      <c r="E90" s="1" t="s">
        <v>8</v>
      </c>
      <c r="F90" s="1">
        <f t="shared" si="10"/>
        <v>610</v>
      </c>
      <c r="G90" s="12">
        <f t="shared" si="11"/>
        <v>18.524590163934427</v>
      </c>
    </row>
    <row r="91" spans="1:7" ht="13">
      <c r="A91" s="4" t="s">
        <v>112</v>
      </c>
      <c r="B91" s="1">
        <v>7.5</v>
      </c>
      <c r="C91" s="1">
        <v>154.33000000000001</v>
      </c>
      <c r="D91" s="1" t="s">
        <v>33</v>
      </c>
      <c r="E91" s="1" t="s">
        <v>7</v>
      </c>
      <c r="F91" s="1">
        <f t="shared" si="10"/>
        <v>750</v>
      </c>
      <c r="G91" s="12">
        <f t="shared" si="11"/>
        <v>20.577333333333335</v>
      </c>
    </row>
    <row r="92" spans="1:7" ht="13">
      <c r="A92" s="4" t="s">
        <v>112</v>
      </c>
      <c r="B92" s="1">
        <v>6</v>
      </c>
      <c r="C92" s="1">
        <v>39</v>
      </c>
      <c r="D92" s="1" t="s">
        <v>40</v>
      </c>
      <c r="E92" s="1" t="s">
        <v>18</v>
      </c>
      <c r="F92" s="1">
        <f t="shared" si="10"/>
        <v>600</v>
      </c>
      <c r="G92" s="12">
        <f t="shared" si="11"/>
        <v>6.5</v>
      </c>
    </row>
    <row r="93" spans="1:7" ht="13">
      <c r="A93" s="4" t="s">
        <v>112</v>
      </c>
      <c r="B93" s="1">
        <v>2.87</v>
      </c>
      <c r="C93" s="1">
        <v>78</v>
      </c>
      <c r="D93" s="1" t="s">
        <v>11</v>
      </c>
      <c r="E93" s="1" t="s">
        <v>8</v>
      </c>
      <c r="F93" s="1">
        <f t="shared" si="10"/>
        <v>287</v>
      </c>
      <c r="G93" s="12">
        <f t="shared" si="11"/>
        <v>27.177700348432055</v>
      </c>
    </row>
    <row r="94" spans="1:7" ht="13">
      <c r="A94" s="4" t="s">
        <v>112</v>
      </c>
      <c r="B94" s="1">
        <v>8.64</v>
      </c>
      <c r="C94" s="1">
        <v>309</v>
      </c>
      <c r="D94" s="1" t="s">
        <v>11</v>
      </c>
      <c r="E94" s="1" t="s">
        <v>9</v>
      </c>
      <c r="F94" s="1">
        <f t="shared" si="10"/>
        <v>864</v>
      </c>
      <c r="G94" s="12">
        <f t="shared" si="11"/>
        <v>35.763888888888886</v>
      </c>
    </row>
    <row r="95" spans="1:7" ht="13">
      <c r="A95" s="4" t="s">
        <v>112</v>
      </c>
      <c r="B95" s="1">
        <v>6.88</v>
      </c>
      <c r="C95" s="1">
        <v>110.17</v>
      </c>
      <c r="D95" s="1" t="s">
        <v>53</v>
      </c>
      <c r="E95" s="1" t="s">
        <v>16</v>
      </c>
      <c r="F95" s="1">
        <f t="shared" si="10"/>
        <v>688</v>
      </c>
      <c r="G95" s="12">
        <f t="shared" si="11"/>
        <v>16.013081395348838</v>
      </c>
    </row>
    <row r="96" spans="1:7" ht="13">
      <c r="A96" s="4" t="s">
        <v>112</v>
      </c>
      <c r="B96" s="1">
        <v>5.6</v>
      </c>
      <c r="C96" s="1">
        <v>107</v>
      </c>
      <c r="D96" s="1" t="s">
        <v>33</v>
      </c>
      <c r="E96" s="1" t="s">
        <v>8</v>
      </c>
      <c r="F96" s="1">
        <f t="shared" si="10"/>
        <v>560</v>
      </c>
      <c r="G96" s="12">
        <f t="shared" si="11"/>
        <v>19.107142857142858</v>
      </c>
    </row>
    <row r="97" spans="1:7" ht="13">
      <c r="A97" s="4" t="s">
        <v>112</v>
      </c>
      <c r="B97" s="1">
        <v>6.7</v>
      </c>
      <c r="C97" s="1">
        <v>127</v>
      </c>
      <c r="D97" s="1" t="s">
        <v>33</v>
      </c>
      <c r="E97" s="1" t="s">
        <v>21</v>
      </c>
      <c r="F97" s="1">
        <f t="shared" si="10"/>
        <v>670</v>
      </c>
      <c r="G97" s="12">
        <f t="shared" si="11"/>
        <v>18.955223880597014</v>
      </c>
    </row>
    <row r="98" spans="1:7" ht="13">
      <c r="A98" s="4" t="s">
        <v>112</v>
      </c>
      <c r="B98" s="1">
        <v>6.4</v>
      </c>
      <c r="C98" s="1">
        <v>144.9</v>
      </c>
      <c r="D98" s="1" t="s">
        <v>35</v>
      </c>
      <c r="E98" s="1" t="s">
        <v>18</v>
      </c>
      <c r="F98" s="1">
        <f t="shared" si="10"/>
        <v>640</v>
      </c>
      <c r="G98" s="12">
        <f t="shared" si="11"/>
        <v>22.640625</v>
      </c>
    </row>
    <row r="99" spans="1:7" ht="13">
      <c r="A99" s="4" t="s">
        <v>113</v>
      </c>
      <c r="B99" s="1">
        <v>7.7</v>
      </c>
      <c r="C99" s="1">
        <v>400</v>
      </c>
      <c r="D99" s="1" t="s">
        <v>11</v>
      </c>
      <c r="E99" s="1" t="s">
        <v>49</v>
      </c>
      <c r="F99" s="1">
        <f t="shared" si="10"/>
        <v>770</v>
      </c>
      <c r="G99" s="12">
        <f t="shared" si="11"/>
        <v>51.948051948051948</v>
      </c>
    </row>
    <row r="100" spans="1:7" ht="13">
      <c r="A100" s="4" t="s">
        <v>113</v>
      </c>
      <c r="B100" s="1">
        <v>6.8</v>
      </c>
      <c r="C100" s="1">
        <v>206</v>
      </c>
      <c r="D100" s="1" t="s">
        <v>33</v>
      </c>
      <c r="E100" s="1" t="s">
        <v>7</v>
      </c>
      <c r="F100" s="1">
        <f t="shared" si="10"/>
        <v>680</v>
      </c>
      <c r="G100" s="12">
        <f t="shared" si="11"/>
        <v>30.294117647058826</v>
      </c>
    </row>
    <row r="101" spans="1:7" ht="13">
      <c r="A101" s="4" t="s">
        <v>113</v>
      </c>
      <c r="B101" s="1">
        <v>3.87</v>
      </c>
      <c r="C101" s="1">
        <v>190</v>
      </c>
      <c r="D101" s="1" t="s">
        <v>11</v>
      </c>
      <c r="E101" s="1" t="s">
        <v>19</v>
      </c>
      <c r="F101" s="1">
        <f t="shared" si="10"/>
        <v>387</v>
      </c>
      <c r="G101" s="12">
        <f t="shared" si="11"/>
        <v>49.095607235142118</v>
      </c>
    </row>
    <row r="102" spans="1:7" ht="13">
      <c r="A102" s="4" t="s">
        <v>113</v>
      </c>
      <c r="B102" s="1">
        <v>7.78</v>
      </c>
      <c r="C102" s="1">
        <v>332</v>
      </c>
      <c r="D102" s="1" t="s">
        <v>47</v>
      </c>
      <c r="E102" s="1" t="s">
        <v>23</v>
      </c>
      <c r="F102" s="1">
        <f t="shared" si="10"/>
        <v>778</v>
      </c>
      <c r="G102" s="12">
        <f t="shared" si="11"/>
        <v>42.673521850899739</v>
      </c>
    </row>
    <row r="103" spans="1:7" ht="13">
      <c r="A103" s="4" t="s">
        <v>113</v>
      </c>
      <c r="B103" s="1">
        <v>7.3949999999999996</v>
      </c>
      <c r="C103" s="1">
        <v>370</v>
      </c>
      <c r="D103" s="1" t="s">
        <v>39</v>
      </c>
      <c r="E103" s="1" t="s">
        <v>8</v>
      </c>
      <c r="F103" s="1">
        <f t="shared" si="10"/>
        <v>739.5</v>
      </c>
      <c r="G103" s="12">
        <f t="shared" si="11"/>
        <v>50.033806626098716</v>
      </c>
    </row>
    <row r="104" spans="1:7" ht="13">
      <c r="A104" s="4" t="s">
        <v>113</v>
      </c>
      <c r="B104" s="1">
        <v>6.02</v>
      </c>
      <c r="C104" s="1">
        <v>332</v>
      </c>
      <c r="D104" s="1" t="s">
        <v>38</v>
      </c>
      <c r="E104" s="1" t="s">
        <v>10</v>
      </c>
      <c r="F104" s="1">
        <f t="shared" si="10"/>
        <v>602</v>
      </c>
      <c r="G104" s="12">
        <f t="shared" si="11"/>
        <v>55.14950166112957</v>
      </c>
    </row>
    <row r="105" spans="1:7" ht="13">
      <c r="A105" s="4" t="s">
        <v>113</v>
      </c>
      <c r="B105" s="1">
        <v>7.92</v>
      </c>
      <c r="C105" s="1">
        <v>218</v>
      </c>
      <c r="D105" s="1" t="s">
        <v>44</v>
      </c>
      <c r="E105" s="1" t="s">
        <v>24</v>
      </c>
      <c r="F105" s="1">
        <f t="shared" si="10"/>
        <v>792</v>
      </c>
      <c r="G105" s="12">
        <f t="shared" si="11"/>
        <v>27.525252525252526</v>
      </c>
    </row>
    <row r="106" spans="1:7" ht="13">
      <c r="A106" s="4" t="s">
        <v>113</v>
      </c>
      <c r="B106" s="1">
        <v>6</v>
      </c>
      <c r="C106" s="1">
        <v>269</v>
      </c>
      <c r="D106" s="1" t="s">
        <v>11</v>
      </c>
      <c r="E106" s="1" t="s">
        <v>10</v>
      </c>
      <c r="F106" s="1">
        <f t="shared" si="10"/>
        <v>600</v>
      </c>
      <c r="G106" s="12">
        <f t="shared" si="11"/>
        <v>44.833333333333336</v>
      </c>
    </row>
    <row r="107" spans="1:7" ht="13">
      <c r="A107" s="4" t="s">
        <v>113</v>
      </c>
      <c r="B107" s="1">
        <v>4</v>
      </c>
      <c r="C107" s="1">
        <v>175</v>
      </c>
      <c r="D107" s="1" t="s">
        <v>11</v>
      </c>
      <c r="E107" s="1" t="s">
        <v>22</v>
      </c>
      <c r="F107" s="1">
        <f t="shared" si="10"/>
        <v>400</v>
      </c>
      <c r="G107" s="12">
        <f t="shared" si="11"/>
        <v>43.75</v>
      </c>
    </row>
    <row r="108" spans="1:7" ht="13">
      <c r="A108" s="4" t="s">
        <v>113</v>
      </c>
      <c r="B108" s="1">
        <v>4.6040000000000001</v>
      </c>
      <c r="C108" s="1">
        <v>180</v>
      </c>
      <c r="D108" s="1" t="s">
        <v>58</v>
      </c>
      <c r="E108" s="1" t="s">
        <v>14</v>
      </c>
      <c r="F108" s="1">
        <f t="shared" si="10"/>
        <v>460.40000000000003</v>
      </c>
      <c r="G108" s="12">
        <f t="shared" si="11"/>
        <v>39.096437880104254</v>
      </c>
    </row>
    <row r="109" spans="1:7" ht="13">
      <c r="A109" s="4" t="s">
        <v>113</v>
      </c>
      <c r="B109" s="1">
        <v>5.2</v>
      </c>
      <c r="C109" s="1">
        <v>168</v>
      </c>
      <c r="D109" s="1" t="s">
        <v>53</v>
      </c>
      <c r="E109" s="1" t="s">
        <v>24</v>
      </c>
      <c r="F109" s="1">
        <f t="shared" si="10"/>
        <v>520</v>
      </c>
      <c r="G109" s="12">
        <f t="shared" si="11"/>
        <v>32.307692307692307</v>
      </c>
    </row>
    <row r="110" spans="1:7" ht="13">
      <c r="A110" s="4" t="s">
        <v>113</v>
      </c>
      <c r="B110" s="1">
        <v>4.9000000000000004</v>
      </c>
      <c r="C110" s="1">
        <v>138</v>
      </c>
      <c r="D110" s="1" t="s">
        <v>33</v>
      </c>
      <c r="E110" s="1" t="s">
        <v>15</v>
      </c>
      <c r="F110" s="1">
        <f t="shared" si="10"/>
        <v>490.00000000000006</v>
      </c>
      <c r="G110" s="12">
        <f t="shared" si="11"/>
        <v>28.163265306122447</v>
      </c>
    </row>
    <row r="111" spans="1:7" ht="13">
      <c r="A111" s="4" t="s">
        <v>113</v>
      </c>
      <c r="B111" s="1">
        <v>6.4</v>
      </c>
      <c r="C111" s="1">
        <v>332</v>
      </c>
      <c r="D111" s="1" t="s">
        <v>11</v>
      </c>
      <c r="E111" s="1" t="s">
        <v>32</v>
      </c>
      <c r="F111" s="1">
        <f t="shared" si="10"/>
        <v>640</v>
      </c>
      <c r="G111" s="12">
        <f t="shared" si="11"/>
        <v>51.875</v>
      </c>
    </row>
    <row r="112" spans="1:7" ht="13">
      <c r="A112" s="4" t="s">
        <v>113</v>
      </c>
      <c r="B112" s="1">
        <v>9.1</v>
      </c>
      <c r="C112" s="1">
        <v>319</v>
      </c>
      <c r="D112" s="1" t="s">
        <v>39</v>
      </c>
      <c r="E112" s="1" t="s">
        <v>14</v>
      </c>
      <c r="F112" s="1">
        <f t="shared" si="10"/>
        <v>910</v>
      </c>
      <c r="G112" s="12">
        <f t="shared" si="11"/>
        <v>35.054945054945058</v>
      </c>
    </row>
    <row r="113" spans="1:7" ht="13">
      <c r="A113" s="4" t="s">
        <v>113</v>
      </c>
      <c r="B113" s="1">
        <v>6</v>
      </c>
      <c r="C113" s="1">
        <v>220</v>
      </c>
      <c r="D113" s="1" t="s">
        <v>11</v>
      </c>
      <c r="E113" s="1" t="s">
        <v>20</v>
      </c>
      <c r="F113" s="1">
        <f t="shared" si="10"/>
        <v>600</v>
      </c>
      <c r="G113" s="12">
        <f t="shared" si="11"/>
        <v>36.666666666666664</v>
      </c>
    </row>
    <row r="114" spans="1:7" ht="13">
      <c r="A114" s="4" t="s">
        <v>113</v>
      </c>
      <c r="B114" s="1">
        <v>6.1</v>
      </c>
      <c r="C114" s="1">
        <v>200</v>
      </c>
      <c r="D114" s="1" t="s">
        <v>33</v>
      </c>
      <c r="E114" s="1" t="s">
        <v>26</v>
      </c>
      <c r="F114" s="1">
        <f t="shared" si="10"/>
        <v>610</v>
      </c>
      <c r="G114" s="12">
        <f t="shared" si="11"/>
        <v>32.786885245901644</v>
      </c>
    </row>
    <row r="115" spans="1:7" ht="13">
      <c r="A115" s="4" t="s">
        <v>113</v>
      </c>
      <c r="B115" s="1">
        <v>6450</v>
      </c>
      <c r="C115" s="1">
        <v>384</v>
      </c>
      <c r="D115" s="1" t="s">
        <v>11</v>
      </c>
      <c r="E115" s="1" t="s">
        <v>8</v>
      </c>
      <c r="F115" s="1">
        <f t="shared" si="10"/>
        <v>645000</v>
      </c>
      <c r="G115" s="12">
        <f t="shared" si="11"/>
        <v>5.9534883720930236E-2</v>
      </c>
    </row>
    <row r="116" spans="1:7" ht="13">
      <c r="A116" s="4" t="s">
        <v>113</v>
      </c>
      <c r="B116" s="1">
        <v>4.92</v>
      </c>
      <c r="C116" s="1">
        <v>150</v>
      </c>
      <c r="D116" s="1" t="s">
        <v>33</v>
      </c>
      <c r="E116" s="1" t="s">
        <v>8</v>
      </c>
      <c r="F116" s="1">
        <f t="shared" si="10"/>
        <v>492</v>
      </c>
      <c r="G116" s="12">
        <f t="shared" si="11"/>
        <v>30.487804878048781</v>
      </c>
    </row>
    <row r="117" spans="1:7" ht="13">
      <c r="A117" s="4" t="s">
        <v>113</v>
      </c>
      <c r="B117" s="1">
        <v>7.4</v>
      </c>
      <c r="C117" s="1">
        <v>266</v>
      </c>
      <c r="D117" s="1" t="s">
        <v>44</v>
      </c>
      <c r="E117" s="1" t="s">
        <v>17</v>
      </c>
      <c r="F117" s="1">
        <f t="shared" si="10"/>
        <v>740</v>
      </c>
      <c r="G117" s="12">
        <f t="shared" si="11"/>
        <v>35.945945945945944</v>
      </c>
    </row>
    <row r="118" spans="1:7" ht="13">
      <c r="A118" s="4" t="s">
        <v>113</v>
      </c>
      <c r="B118" s="1">
        <v>6.72</v>
      </c>
      <c r="C118" s="1">
        <v>327</v>
      </c>
      <c r="D118" s="1" t="s">
        <v>11</v>
      </c>
      <c r="E118" s="1" t="s">
        <v>24</v>
      </c>
      <c r="F118" s="1">
        <f t="shared" si="10"/>
        <v>672</v>
      </c>
      <c r="G118" s="12">
        <f t="shared" si="11"/>
        <v>48.660714285714285</v>
      </c>
    </row>
    <row r="119" spans="1:7" ht="13">
      <c r="A119" s="4" t="s">
        <v>113</v>
      </c>
      <c r="B119" s="1">
        <v>7.2</v>
      </c>
      <c r="C119" s="1">
        <v>200</v>
      </c>
      <c r="D119" s="1" t="s">
        <v>33</v>
      </c>
      <c r="E119" s="1" t="s">
        <v>21</v>
      </c>
      <c r="F119" s="1">
        <f t="shared" si="10"/>
        <v>720</v>
      </c>
      <c r="G119" s="12">
        <f t="shared" si="11"/>
        <v>27.777777777777779</v>
      </c>
    </row>
    <row r="120" spans="1:7" ht="13">
      <c r="A120" s="4" t="s">
        <v>113</v>
      </c>
      <c r="B120" s="1">
        <v>6.4</v>
      </c>
      <c r="C120" s="1">
        <v>241</v>
      </c>
      <c r="D120" s="1" t="s">
        <v>42</v>
      </c>
      <c r="E120" s="1" t="s">
        <v>18</v>
      </c>
      <c r="F120" s="1">
        <f t="shared" si="10"/>
        <v>640</v>
      </c>
      <c r="G120" s="12">
        <f t="shared" si="11"/>
        <v>37.65625</v>
      </c>
    </row>
    <row r="121" spans="1:7" ht="13">
      <c r="A121" s="4" t="s">
        <v>113</v>
      </c>
      <c r="B121" s="1">
        <v>6400</v>
      </c>
      <c r="C121" s="1">
        <v>364</v>
      </c>
      <c r="D121" s="1" t="s">
        <v>11</v>
      </c>
      <c r="E121" s="1" t="s">
        <v>26</v>
      </c>
      <c r="F121" s="1">
        <f t="shared" si="10"/>
        <v>640000</v>
      </c>
      <c r="G121" s="12">
        <f t="shared" si="11"/>
        <v>5.6875000000000002E-2</v>
      </c>
    </row>
    <row r="122" spans="1:7" ht="13">
      <c r="A122" s="4" t="s">
        <v>113</v>
      </c>
      <c r="B122" s="1">
        <v>5.7</v>
      </c>
      <c r="C122" s="1">
        <v>169</v>
      </c>
      <c r="D122" s="1" t="s">
        <v>33</v>
      </c>
      <c r="E122" s="1" t="s">
        <v>32</v>
      </c>
      <c r="F122" s="1">
        <f t="shared" si="10"/>
        <v>570</v>
      </c>
      <c r="G122" s="12">
        <f t="shared" si="11"/>
        <v>29.649122807017545</v>
      </c>
    </row>
    <row r="123" spans="1:7" ht="13">
      <c r="A123" s="4" t="s">
        <v>113</v>
      </c>
      <c r="B123" s="1">
        <v>6.9</v>
      </c>
      <c r="C123" s="1">
        <v>260</v>
      </c>
      <c r="D123" s="1" t="s">
        <v>39</v>
      </c>
      <c r="E123" s="1" t="s">
        <v>15</v>
      </c>
      <c r="F123" s="1">
        <f t="shared" si="10"/>
        <v>690</v>
      </c>
      <c r="G123" s="12">
        <f t="shared" si="11"/>
        <v>37.681159420289852</v>
      </c>
    </row>
    <row r="124" spans="1:7" ht="13">
      <c r="A124" s="4" t="s">
        <v>113</v>
      </c>
      <c r="B124" s="1">
        <v>4.5</v>
      </c>
      <c r="C124" s="1">
        <v>133</v>
      </c>
      <c r="D124" s="1" t="s">
        <v>33</v>
      </c>
      <c r="E124" s="1" t="s">
        <v>17</v>
      </c>
      <c r="F124" s="1">
        <f t="shared" si="10"/>
        <v>450</v>
      </c>
      <c r="G124" s="12">
        <f t="shared" si="11"/>
        <v>29.555555555555557</v>
      </c>
    </row>
    <row r="125" spans="1:7" ht="13">
      <c r="A125" s="4" t="s">
        <v>113</v>
      </c>
      <c r="B125" s="1">
        <v>4.9000000000000004</v>
      </c>
      <c r="C125" s="1">
        <v>218</v>
      </c>
      <c r="D125" s="1" t="s">
        <v>44</v>
      </c>
      <c r="E125" s="1" t="s">
        <v>15</v>
      </c>
      <c r="F125" s="1">
        <f t="shared" si="10"/>
        <v>490.00000000000006</v>
      </c>
      <c r="G125" s="12">
        <f t="shared" si="11"/>
        <v>44.489795918367342</v>
      </c>
    </row>
    <row r="126" spans="1:7" ht="13">
      <c r="A126" s="4" t="s">
        <v>113</v>
      </c>
      <c r="B126" s="1">
        <v>7.3</v>
      </c>
      <c r="C126" s="1">
        <v>330</v>
      </c>
      <c r="D126" s="1" t="s">
        <v>34</v>
      </c>
      <c r="E126" s="1" t="s">
        <v>10</v>
      </c>
      <c r="F126" s="1">
        <f t="shared" si="10"/>
        <v>730</v>
      </c>
      <c r="G126" s="12">
        <f t="shared" si="11"/>
        <v>45.205479452054796</v>
      </c>
    </row>
    <row r="127" spans="1:7" ht="13">
      <c r="A127" s="4" t="s">
        <v>113</v>
      </c>
      <c r="B127" s="1">
        <v>6.23</v>
      </c>
      <c r="C127" s="1">
        <v>286.60000000000002</v>
      </c>
      <c r="D127" s="1" t="s">
        <v>11</v>
      </c>
      <c r="E127" s="1" t="s">
        <v>12</v>
      </c>
      <c r="F127" s="1">
        <f t="shared" si="10"/>
        <v>623</v>
      </c>
      <c r="G127" s="12">
        <f t="shared" si="11"/>
        <v>46.003210272873197</v>
      </c>
    </row>
    <row r="128" spans="1:7" ht="13">
      <c r="A128" s="4" t="s">
        <v>113</v>
      </c>
      <c r="B128" s="1">
        <v>6</v>
      </c>
      <c r="C128" s="1">
        <v>242</v>
      </c>
      <c r="D128" s="1" t="s">
        <v>11</v>
      </c>
      <c r="E128" s="1" t="s">
        <v>23</v>
      </c>
      <c r="F128" s="1">
        <f t="shared" si="10"/>
        <v>600</v>
      </c>
      <c r="G128" s="12">
        <f t="shared" si="11"/>
        <v>40.333333333333336</v>
      </c>
    </row>
    <row r="129" spans="1:7" ht="13">
      <c r="A129" s="4" t="s">
        <v>113</v>
      </c>
      <c r="B129" s="1">
        <v>4.8</v>
      </c>
      <c r="C129" s="1">
        <v>213</v>
      </c>
      <c r="D129" s="1" t="s">
        <v>38</v>
      </c>
      <c r="E129" s="1" t="s">
        <v>21</v>
      </c>
      <c r="F129" s="1">
        <f t="shared" si="10"/>
        <v>480</v>
      </c>
      <c r="G129" s="12">
        <f t="shared" si="11"/>
        <v>44.375</v>
      </c>
    </row>
    <row r="130" spans="1:7" ht="13">
      <c r="A130" s="4" t="s">
        <v>113</v>
      </c>
      <c r="B130" s="1">
        <v>8.1</v>
      </c>
      <c r="C130" s="1">
        <v>310</v>
      </c>
      <c r="D130" s="1" t="s">
        <v>35</v>
      </c>
      <c r="E130" s="1" t="s">
        <v>7</v>
      </c>
      <c r="F130" s="1">
        <f t="shared" si="10"/>
        <v>810</v>
      </c>
      <c r="G130" s="12">
        <f t="shared" si="11"/>
        <v>38.271604938271608</v>
      </c>
    </row>
    <row r="131" spans="1:7" ht="13">
      <c r="A131" s="4" t="s">
        <v>113</v>
      </c>
      <c r="B131" s="1">
        <v>6.9</v>
      </c>
      <c r="C131" s="1">
        <v>266</v>
      </c>
      <c r="D131" s="1" t="s">
        <v>11</v>
      </c>
      <c r="E131" s="1" t="s">
        <v>26</v>
      </c>
      <c r="F131" s="1">
        <f t="shared" ref="F131:F194" si="12">B131*100</f>
        <v>690</v>
      </c>
      <c r="G131" s="12">
        <f t="shared" ref="G131:G194" si="13">C131/B131</f>
        <v>38.550724637681157</v>
      </c>
    </row>
    <row r="132" spans="1:7" ht="13">
      <c r="A132" s="4" t="s">
        <v>113</v>
      </c>
      <c r="B132" s="1">
        <v>8</v>
      </c>
      <c r="C132" s="1">
        <v>217</v>
      </c>
      <c r="D132" s="1" t="s">
        <v>33</v>
      </c>
      <c r="E132" s="1" t="s">
        <v>17</v>
      </c>
      <c r="F132" s="1">
        <f t="shared" si="12"/>
        <v>800</v>
      </c>
      <c r="G132" s="12">
        <f t="shared" si="13"/>
        <v>27.125</v>
      </c>
    </row>
    <row r="133" spans="1:7" ht="13">
      <c r="A133" s="4" t="s">
        <v>113</v>
      </c>
      <c r="B133" s="1">
        <v>7.56</v>
      </c>
      <c r="C133" s="1">
        <v>379</v>
      </c>
      <c r="D133" s="1" t="s">
        <v>11</v>
      </c>
      <c r="E133" s="1" t="s">
        <v>27</v>
      </c>
      <c r="F133" s="1">
        <f t="shared" si="12"/>
        <v>756</v>
      </c>
      <c r="G133" s="12">
        <f t="shared" si="13"/>
        <v>50.132275132275133</v>
      </c>
    </row>
    <row r="134" spans="1:7" ht="13">
      <c r="A134" s="4" t="s">
        <v>113</v>
      </c>
      <c r="B134" s="1">
        <v>4.0999999999999996</v>
      </c>
      <c r="C134" s="1">
        <v>184</v>
      </c>
      <c r="D134" s="1" t="s">
        <v>38</v>
      </c>
      <c r="E134" s="1" t="s">
        <v>16</v>
      </c>
      <c r="F134" s="1">
        <f t="shared" si="12"/>
        <v>409.99999999999994</v>
      </c>
      <c r="G134" s="12">
        <f t="shared" si="13"/>
        <v>44.878048780487809</v>
      </c>
    </row>
    <row r="135" spans="1:7" ht="13">
      <c r="A135" s="4" t="s">
        <v>113</v>
      </c>
      <c r="B135" s="1">
        <v>7.56</v>
      </c>
      <c r="C135" s="1">
        <v>360</v>
      </c>
      <c r="D135" s="1" t="s">
        <v>11</v>
      </c>
      <c r="E135" s="1" t="s">
        <v>7</v>
      </c>
      <c r="F135" s="1">
        <f t="shared" si="12"/>
        <v>756</v>
      </c>
      <c r="G135" s="12">
        <f t="shared" si="13"/>
        <v>47.61904761904762</v>
      </c>
    </row>
    <row r="136" spans="1:7" ht="13">
      <c r="A136" s="4" t="s">
        <v>113</v>
      </c>
      <c r="B136" s="1">
        <v>6.65</v>
      </c>
      <c r="C136" s="1">
        <v>218</v>
      </c>
      <c r="D136" s="1" t="s">
        <v>33</v>
      </c>
      <c r="E136" s="1" t="s">
        <v>22</v>
      </c>
      <c r="F136" s="1">
        <f t="shared" si="12"/>
        <v>665</v>
      </c>
      <c r="G136" s="12">
        <f t="shared" si="13"/>
        <v>32.781954887218042</v>
      </c>
    </row>
    <row r="137" spans="1:7" ht="13">
      <c r="A137" s="4" t="s">
        <v>113</v>
      </c>
      <c r="B137" s="1">
        <v>7.7</v>
      </c>
      <c r="C137" s="1">
        <v>286</v>
      </c>
      <c r="D137" s="1" t="s">
        <v>39</v>
      </c>
      <c r="E137" s="1" t="s">
        <v>16</v>
      </c>
      <c r="F137" s="1">
        <f t="shared" si="12"/>
        <v>770</v>
      </c>
      <c r="G137" s="12">
        <f t="shared" si="13"/>
        <v>37.142857142857139</v>
      </c>
    </row>
    <row r="138" spans="1:7" ht="13">
      <c r="A138" s="4" t="s">
        <v>113</v>
      </c>
      <c r="B138" s="1">
        <v>5.16</v>
      </c>
      <c r="C138" s="1">
        <v>159</v>
      </c>
      <c r="D138" s="1" t="s">
        <v>42</v>
      </c>
      <c r="E138" s="1" t="s">
        <v>22</v>
      </c>
      <c r="F138" s="1">
        <f t="shared" si="12"/>
        <v>516</v>
      </c>
      <c r="G138" s="12">
        <f t="shared" si="13"/>
        <v>30.813953488372093</v>
      </c>
    </row>
    <row r="139" spans="1:7" ht="13">
      <c r="A139" s="4" t="s">
        <v>113</v>
      </c>
      <c r="B139" s="1">
        <v>6.8</v>
      </c>
      <c r="C139" s="1">
        <v>246</v>
      </c>
      <c r="D139" s="1" t="s">
        <v>47</v>
      </c>
      <c r="E139" s="1" t="s">
        <v>24</v>
      </c>
      <c r="F139" s="1">
        <f t="shared" si="12"/>
        <v>680</v>
      </c>
      <c r="G139" s="12">
        <f t="shared" si="13"/>
        <v>36.176470588235297</v>
      </c>
    </row>
    <row r="140" spans="1:7" ht="13">
      <c r="A140" s="4" t="s">
        <v>113</v>
      </c>
      <c r="B140" s="1">
        <v>6.7</v>
      </c>
      <c r="C140" s="1">
        <v>284</v>
      </c>
      <c r="D140" s="1" t="s">
        <v>11</v>
      </c>
      <c r="E140" s="1" t="s">
        <v>16</v>
      </c>
      <c r="F140" s="1">
        <f t="shared" si="12"/>
        <v>670</v>
      </c>
      <c r="G140" s="12">
        <f t="shared" si="13"/>
        <v>42.388059701492537</v>
      </c>
    </row>
    <row r="141" spans="1:7" ht="13">
      <c r="A141" s="4" t="s">
        <v>113</v>
      </c>
      <c r="B141" s="1">
        <v>6.8</v>
      </c>
      <c r="C141" s="1">
        <v>209</v>
      </c>
      <c r="D141" s="1" t="s">
        <v>64</v>
      </c>
      <c r="E141" s="1" t="s">
        <v>32</v>
      </c>
      <c r="F141" s="1">
        <f t="shared" si="12"/>
        <v>680</v>
      </c>
      <c r="G141" s="12">
        <f t="shared" si="13"/>
        <v>30.735294117647058</v>
      </c>
    </row>
    <row r="142" spans="1:7" ht="13">
      <c r="A142" s="4" t="s">
        <v>113</v>
      </c>
      <c r="B142" s="1">
        <v>7.85</v>
      </c>
      <c r="C142" s="1">
        <v>375</v>
      </c>
      <c r="D142" s="1" t="s">
        <v>11</v>
      </c>
      <c r="E142" s="1" t="s">
        <v>8</v>
      </c>
      <c r="F142" s="1">
        <f t="shared" si="12"/>
        <v>785</v>
      </c>
      <c r="G142" s="12">
        <f t="shared" si="13"/>
        <v>47.770700636942678</v>
      </c>
    </row>
    <row r="143" spans="1:7" ht="13">
      <c r="A143" s="4" t="s">
        <v>113</v>
      </c>
      <c r="B143" s="1">
        <v>8.8000000000000007</v>
      </c>
      <c r="C143" s="1">
        <v>230</v>
      </c>
      <c r="D143" s="1" t="s">
        <v>44</v>
      </c>
      <c r="E143" s="1" t="s">
        <v>25</v>
      </c>
      <c r="F143" s="1">
        <f t="shared" si="12"/>
        <v>880.00000000000011</v>
      </c>
      <c r="G143" s="12">
        <f t="shared" si="13"/>
        <v>26.136363636363633</v>
      </c>
    </row>
    <row r="144" spans="1:7" ht="13">
      <c r="A144" s="4" t="s">
        <v>113</v>
      </c>
      <c r="B144" s="1">
        <v>5.12</v>
      </c>
      <c r="C144" s="1">
        <v>237</v>
      </c>
      <c r="D144" s="1" t="s">
        <v>11</v>
      </c>
      <c r="E144" s="1" t="s">
        <v>16</v>
      </c>
      <c r="F144" s="1">
        <f t="shared" si="12"/>
        <v>512</v>
      </c>
      <c r="G144" s="12">
        <f t="shared" si="13"/>
        <v>46.2890625</v>
      </c>
    </row>
    <row r="145" spans="1:7" ht="13">
      <c r="A145" s="4" t="s">
        <v>113</v>
      </c>
      <c r="B145" s="1">
        <v>7.4</v>
      </c>
      <c r="C145" s="1">
        <v>298</v>
      </c>
      <c r="D145" s="1" t="s">
        <v>39</v>
      </c>
      <c r="E145" s="1" t="s">
        <v>10</v>
      </c>
      <c r="F145" s="1">
        <f t="shared" si="12"/>
        <v>740</v>
      </c>
      <c r="G145" s="12">
        <f t="shared" si="13"/>
        <v>40.270270270270267</v>
      </c>
    </row>
    <row r="146" spans="1:7" ht="13">
      <c r="A146" s="4" t="s">
        <v>113</v>
      </c>
      <c r="B146" s="1">
        <v>4.0999999999999996</v>
      </c>
      <c r="C146" s="1">
        <v>147</v>
      </c>
      <c r="D146" s="1" t="s">
        <v>40</v>
      </c>
      <c r="E146" s="1" t="s">
        <v>25</v>
      </c>
      <c r="F146" s="1">
        <f t="shared" si="12"/>
        <v>409.99999999999994</v>
      </c>
      <c r="G146" s="12">
        <f t="shared" si="13"/>
        <v>35.853658536585371</v>
      </c>
    </row>
    <row r="147" spans="1:7" ht="13">
      <c r="A147" s="4" t="s">
        <v>113</v>
      </c>
      <c r="B147" s="1">
        <v>3</v>
      </c>
      <c r="C147" s="1">
        <v>136</v>
      </c>
      <c r="D147" s="1" t="s">
        <v>11</v>
      </c>
      <c r="E147" s="1" t="s">
        <v>15</v>
      </c>
      <c r="F147" s="1">
        <f t="shared" si="12"/>
        <v>300</v>
      </c>
      <c r="G147" s="12">
        <f t="shared" si="13"/>
        <v>45.333333333333336</v>
      </c>
    </row>
    <row r="148" spans="1:7" ht="13">
      <c r="A148" s="4" t="s">
        <v>113</v>
      </c>
      <c r="B148" s="1">
        <v>6.88</v>
      </c>
      <c r="C148" s="1">
        <v>301</v>
      </c>
      <c r="D148" s="1" t="s">
        <v>11</v>
      </c>
      <c r="E148" s="1" t="s">
        <v>8</v>
      </c>
      <c r="F148" s="1">
        <f t="shared" si="12"/>
        <v>688</v>
      </c>
      <c r="G148" s="12">
        <f t="shared" si="13"/>
        <v>43.75</v>
      </c>
    </row>
    <row r="149" spans="1:7" ht="13">
      <c r="A149" s="4" t="s">
        <v>113</v>
      </c>
      <c r="B149" s="1">
        <v>6.4</v>
      </c>
      <c r="C149" s="1">
        <v>190</v>
      </c>
      <c r="D149" s="1" t="s">
        <v>37</v>
      </c>
      <c r="E149" s="1" t="s">
        <v>20</v>
      </c>
      <c r="F149" s="1">
        <f t="shared" si="12"/>
        <v>640</v>
      </c>
      <c r="G149" s="12">
        <f t="shared" si="13"/>
        <v>29.6875</v>
      </c>
    </row>
    <row r="150" spans="1:7" ht="13">
      <c r="A150" s="4" t="s">
        <v>113</v>
      </c>
      <c r="B150" s="1">
        <v>4.5999999999999996</v>
      </c>
      <c r="C150" s="1">
        <v>221</v>
      </c>
      <c r="D150" s="1" t="s">
        <v>11</v>
      </c>
      <c r="E150" s="1" t="s">
        <v>28</v>
      </c>
      <c r="F150" s="1">
        <f t="shared" si="12"/>
        <v>459.99999999999994</v>
      </c>
      <c r="G150" s="12">
        <f t="shared" si="13"/>
        <v>48.04347826086957</v>
      </c>
    </row>
    <row r="151" spans="1:7" ht="13">
      <c r="A151" s="4" t="s">
        <v>113</v>
      </c>
      <c r="B151" s="1">
        <v>6.2</v>
      </c>
      <c r="C151" s="1">
        <v>150</v>
      </c>
      <c r="D151" s="1" t="s">
        <v>33</v>
      </c>
      <c r="E151" s="1" t="s">
        <v>9</v>
      </c>
      <c r="F151" s="1">
        <f t="shared" si="12"/>
        <v>620</v>
      </c>
      <c r="G151" s="12">
        <f t="shared" si="13"/>
        <v>24.193548387096772</v>
      </c>
    </row>
    <row r="152" spans="1:7" ht="13">
      <c r="A152" s="4" t="s">
        <v>113</v>
      </c>
      <c r="B152" s="1">
        <v>4.8</v>
      </c>
      <c r="C152" s="1">
        <v>216</v>
      </c>
      <c r="D152" s="1" t="s">
        <v>11</v>
      </c>
      <c r="E152" s="1" t="s">
        <v>21</v>
      </c>
      <c r="F152" s="1">
        <f t="shared" si="12"/>
        <v>480</v>
      </c>
      <c r="G152" s="12">
        <f t="shared" si="13"/>
        <v>45</v>
      </c>
    </row>
    <row r="153" spans="1:7" ht="13">
      <c r="A153" s="4" t="s">
        <v>113</v>
      </c>
      <c r="B153" s="1">
        <v>4.9800000000000004</v>
      </c>
      <c r="C153" s="1">
        <v>138</v>
      </c>
      <c r="D153" s="1" t="s">
        <v>35</v>
      </c>
      <c r="E153" s="1" t="s">
        <v>25</v>
      </c>
      <c r="F153" s="1">
        <f t="shared" si="12"/>
        <v>498.00000000000006</v>
      </c>
      <c r="G153" s="12">
        <f t="shared" si="13"/>
        <v>27.710843373493972</v>
      </c>
    </row>
    <row r="154" spans="1:7" ht="13">
      <c r="A154" s="4" t="s">
        <v>113</v>
      </c>
      <c r="B154" s="1">
        <v>5.0999999999999996</v>
      </c>
      <c r="C154" s="1">
        <v>138</v>
      </c>
      <c r="D154" s="1" t="s">
        <v>55</v>
      </c>
      <c r="E154" s="1" t="s">
        <v>15</v>
      </c>
      <c r="F154" s="1">
        <f t="shared" si="12"/>
        <v>509.99999999999994</v>
      </c>
      <c r="G154" s="12">
        <f t="shared" si="13"/>
        <v>27.058823529411768</v>
      </c>
    </row>
    <row r="155" spans="1:7" ht="13">
      <c r="A155" s="4" t="s">
        <v>113</v>
      </c>
      <c r="B155" s="1">
        <v>6</v>
      </c>
      <c r="C155" s="1">
        <v>256</v>
      </c>
      <c r="D155" s="1" t="s">
        <v>11</v>
      </c>
      <c r="E155" s="1" t="s">
        <v>19</v>
      </c>
      <c r="F155" s="1">
        <f t="shared" si="12"/>
        <v>600</v>
      </c>
      <c r="G155" s="12">
        <f t="shared" si="13"/>
        <v>42.666666666666664</v>
      </c>
    </row>
    <row r="156" spans="1:7" ht="13">
      <c r="A156" s="4" t="s">
        <v>113</v>
      </c>
      <c r="B156" s="1">
        <v>6.09</v>
      </c>
      <c r="C156" s="1">
        <v>234</v>
      </c>
      <c r="D156" s="1" t="s">
        <v>63</v>
      </c>
      <c r="E156" s="1" t="s">
        <v>23</v>
      </c>
      <c r="F156" s="1">
        <f t="shared" si="12"/>
        <v>609</v>
      </c>
      <c r="G156" s="12">
        <f t="shared" si="13"/>
        <v>38.423645320197046</v>
      </c>
    </row>
    <row r="157" spans="1:7" ht="13">
      <c r="A157" s="4" t="s">
        <v>113</v>
      </c>
      <c r="B157" s="1">
        <v>5.2</v>
      </c>
      <c r="C157" s="1">
        <v>166</v>
      </c>
      <c r="D157" s="1" t="s">
        <v>43</v>
      </c>
      <c r="E157" s="1" t="s">
        <v>25</v>
      </c>
      <c r="F157" s="1">
        <f t="shared" si="12"/>
        <v>520</v>
      </c>
      <c r="G157" s="12">
        <f t="shared" si="13"/>
        <v>31.923076923076923</v>
      </c>
    </row>
    <row r="158" spans="1:7" ht="13">
      <c r="A158" s="4" t="s">
        <v>113</v>
      </c>
      <c r="B158" s="1">
        <v>7.7</v>
      </c>
      <c r="C158" s="1">
        <v>215</v>
      </c>
      <c r="D158" s="1" t="s">
        <v>33</v>
      </c>
      <c r="E158" s="1" t="s">
        <v>10</v>
      </c>
      <c r="F158" s="1">
        <f t="shared" si="12"/>
        <v>770</v>
      </c>
      <c r="G158" s="12">
        <f t="shared" si="13"/>
        <v>27.922077922077921</v>
      </c>
    </row>
    <row r="159" spans="1:7" ht="13">
      <c r="A159" s="4" t="s">
        <v>113</v>
      </c>
      <c r="B159" s="1">
        <v>2.25</v>
      </c>
      <c r="C159" s="1">
        <v>51</v>
      </c>
      <c r="D159" s="1" t="s">
        <v>55</v>
      </c>
      <c r="E159" s="1" t="s">
        <v>15</v>
      </c>
      <c r="F159" s="1">
        <f t="shared" si="12"/>
        <v>225</v>
      </c>
      <c r="G159" s="12">
        <f t="shared" si="13"/>
        <v>22.666666666666668</v>
      </c>
    </row>
    <row r="160" spans="1:7" ht="13">
      <c r="A160" s="4" t="s">
        <v>113</v>
      </c>
      <c r="B160" s="1">
        <v>7.2</v>
      </c>
      <c r="C160" s="1">
        <v>220</v>
      </c>
      <c r="D160" s="1" t="s">
        <v>33</v>
      </c>
      <c r="E160" s="1" t="s">
        <v>25</v>
      </c>
      <c r="F160" s="1">
        <f t="shared" si="12"/>
        <v>720</v>
      </c>
      <c r="G160" s="12">
        <f t="shared" si="13"/>
        <v>30.555555555555554</v>
      </c>
    </row>
    <row r="161" spans="1:7" ht="13">
      <c r="A161" s="4" t="s">
        <v>113</v>
      </c>
      <c r="B161" s="1">
        <v>5.8</v>
      </c>
      <c r="C161" s="1">
        <v>214</v>
      </c>
      <c r="D161" s="1" t="s">
        <v>33</v>
      </c>
      <c r="E161" s="1" t="s">
        <v>10</v>
      </c>
      <c r="F161" s="1">
        <f t="shared" si="12"/>
        <v>580</v>
      </c>
      <c r="G161" s="12">
        <f t="shared" si="13"/>
        <v>36.896551724137929</v>
      </c>
    </row>
    <row r="162" spans="1:7" ht="13">
      <c r="A162" s="4" t="s">
        <v>113</v>
      </c>
      <c r="B162" s="1">
        <v>7.2</v>
      </c>
      <c r="C162" s="1">
        <v>220</v>
      </c>
      <c r="D162" s="1" t="s">
        <v>33</v>
      </c>
      <c r="E162" s="1" t="s">
        <v>25</v>
      </c>
      <c r="F162" s="1">
        <f t="shared" si="12"/>
        <v>720</v>
      </c>
      <c r="G162" s="12">
        <f t="shared" si="13"/>
        <v>30.555555555555554</v>
      </c>
    </row>
    <row r="163" spans="1:7" ht="13">
      <c r="A163" s="4" t="s">
        <v>113</v>
      </c>
      <c r="B163" s="1">
        <v>7.4</v>
      </c>
      <c r="C163" s="1">
        <v>299</v>
      </c>
      <c r="D163" s="1" t="s">
        <v>11</v>
      </c>
      <c r="E163" s="1" t="s">
        <v>25</v>
      </c>
      <c r="F163" s="1">
        <f t="shared" si="12"/>
        <v>740</v>
      </c>
      <c r="G163" s="12">
        <f t="shared" si="13"/>
        <v>40.405405405405403</v>
      </c>
    </row>
    <row r="164" spans="1:7" ht="13">
      <c r="A164" s="4" t="s">
        <v>113</v>
      </c>
      <c r="B164" s="1">
        <v>8.4</v>
      </c>
      <c r="C164" s="1">
        <v>270</v>
      </c>
      <c r="D164" s="1" t="s">
        <v>39</v>
      </c>
      <c r="E164" s="1" t="s">
        <v>17</v>
      </c>
      <c r="F164" s="1">
        <f t="shared" si="12"/>
        <v>840</v>
      </c>
      <c r="G164" s="12">
        <f t="shared" si="13"/>
        <v>32.142857142857139</v>
      </c>
    </row>
    <row r="165" spans="1:7" ht="13">
      <c r="A165" s="4" t="s">
        <v>113</v>
      </c>
      <c r="B165" s="1">
        <v>5.4</v>
      </c>
      <c r="C165" s="1">
        <v>238</v>
      </c>
      <c r="D165" s="1" t="s">
        <v>11</v>
      </c>
      <c r="E165" s="1" t="s">
        <v>8</v>
      </c>
      <c r="F165" s="1">
        <f t="shared" si="12"/>
        <v>540</v>
      </c>
      <c r="G165" s="12">
        <f t="shared" si="13"/>
        <v>44.074074074074069</v>
      </c>
    </row>
    <row r="166" spans="1:7" ht="13">
      <c r="A166" s="4" t="s">
        <v>113</v>
      </c>
      <c r="B166" s="1">
        <v>6.2</v>
      </c>
      <c r="C166" s="1">
        <v>312</v>
      </c>
      <c r="D166" s="1" t="s">
        <v>11</v>
      </c>
      <c r="E166" s="1" t="s">
        <v>10</v>
      </c>
      <c r="F166" s="1">
        <f t="shared" si="12"/>
        <v>620</v>
      </c>
      <c r="G166" s="12">
        <f t="shared" si="13"/>
        <v>50.322580645161288</v>
      </c>
    </row>
    <row r="167" spans="1:7" ht="13">
      <c r="A167" s="4" t="s">
        <v>113</v>
      </c>
      <c r="B167" s="1">
        <v>5.2</v>
      </c>
      <c r="C167" s="1">
        <v>191</v>
      </c>
      <c r="D167" s="1" t="s">
        <v>35</v>
      </c>
      <c r="E167" s="1" t="s">
        <v>41</v>
      </c>
      <c r="F167" s="1">
        <f t="shared" si="12"/>
        <v>520</v>
      </c>
      <c r="G167" s="12">
        <f t="shared" si="13"/>
        <v>36.730769230769226</v>
      </c>
    </row>
    <row r="168" spans="1:7" ht="13">
      <c r="A168" s="4" t="s">
        <v>113</v>
      </c>
      <c r="B168" s="1">
        <v>7.8</v>
      </c>
      <c r="C168" s="1">
        <v>287</v>
      </c>
      <c r="D168" s="1" t="s">
        <v>65</v>
      </c>
      <c r="E168" s="1" t="s">
        <v>49</v>
      </c>
      <c r="F168" s="1">
        <f t="shared" si="12"/>
        <v>780</v>
      </c>
      <c r="G168" s="12">
        <f t="shared" si="13"/>
        <v>36.794871794871796</v>
      </c>
    </row>
    <row r="169" spans="1:7" ht="13">
      <c r="A169" s="4" t="s">
        <v>113</v>
      </c>
      <c r="B169" s="1">
        <v>5</v>
      </c>
      <c r="C169" s="1">
        <v>205</v>
      </c>
      <c r="D169" s="1" t="s">
        <v>33</v>
      </c>
      <c r="E169" s="1" t="s">
        <v>32</v>
      </c>
      <c r="F169" s="1">
        <f t="shared" si="12"/>
        <v>500</v>
      </c>
      <c r="G169" s="12">
        <f t="shared" si="13"/>
        <v>41</v>
      </c>
    </row>
    <row r="170" spans="1:7" ht="13">
      <c r="A170" s="4" t="s">
        <v>113</v>
      </c>
      <c r="B170" s="1">
        <v>5.12</v>
      </c>
      <c r="C170" s="1">
        <v>234</v>
      </c>
      <c r="D170" s="1" t="s">
        <v>11</v>
      </c>
      <c r="E170" s="1" t="s">
        <v>9</v>
      </c>
      <c r="F170" s="1">
        <f t="shared" si="12"/>
        <v>512</v>
      </c>
      <c r="G170" s="12">
        <f t="shared" si="13"/>
        <v>45.703125</v>
      </c>
    </row>
    <row r="171" spans="1:7" ht="13">
      <c r="A171" s="4" t="s">
        <v>113</v>
      </c>
      <c r="B171" s="1">
        <v>11.7</v>
      </c>
      <c r="C171" s="1">
        <v>354</v>
      </c>
      <c r="D171" s="1" t="s">
        <v>47</v>
      </c>
      <c r="E171" s="1" t="s">
        <v>14</v>
      </c>
      <c r="F171" s="1">
        <f t="shared" si="12"/>
        <v>1170</v>
      </c>
      <c r="G171" s="12">
        <f t="shared" si="13"/>
        <v>30.256410256410259</v>
      </c>
    </row>
    <row r="172" spans="1:7" ht="13">
      <c r="A172" s="4" t="s">
        <v>113</v>
      </c>
      <c r="B172" s="1">
        <v>7.56</v>
      </c>
      <c r="C172" s="1">
        <v>235</v>
      </c>
      <c r="D172" s="1" t="s">
        <v>33</v>
      </c>
      <c r="E172" s="1" t="s">
        <v>31</v>
      </c>
      <c r="F172" s="1">
        <f t="shared" si="12"/>
        <v>756</v>
      </c>
      <c r="G172" s="12">
        <f t="shared" si="13"/>
        <v>31.084656084656086</v>
      </c>
    </row>
    <row r="173" spans="1:7" ht="13">
      <c r="A173" s="4" t="s">
        <v>113</v>
      </c>
      <c r="B173" s="1">
        <v>6</v>
      </c>
      <c r="C173" s="1">
        <v>315</v>
      </c>
      <c r="D173" s="1" t="s">
        <v>47</v>
      </c>
      <c r="E173" s="1" t="s">
        <v>29</v>
      </c>
      <c r="F173" s="1">
        <f t="shared" si="12"/>
        <v>600</v>
      </c>
      <c r="G173" s="12">
        <f t="shared" si="13"/>
        <v>52.5</v>
      </c>
    </row>
    <row r="174" spans="1:7" ht="13">
      <c r="A174" s="4" t="s">
        <v>113</v>
      </c>
      <c r="B174" s="1">
        <v>3.44</v>
      </c>
      <c r="C174" s="1">
        <v>172</v>
      </c>
      <c r="D174" s="1" t="s">
        <v>43</v>
      </c>
      <c r="E174" s="1" t="s">
        <v>8</v>
      </c>
      <c r="F174" s="1">
        <f t="shared" si="12"/>
        <v>344</v>
      </c>
      <c r="G174" s="12">
        <f t="shared" si="13"/>
        <v>50</v>
      </c>
    </row>
    <row r="175" spans="1:7" ht="13">
      <c r="A175" s="4" t="s">
        <v>113</v>
      </c>
      <c r="B175" s="1">
        <v>8.9700000000000006</v>
      </c>
      <c r="C175" s="1">
        <v>356</v>
      </c>
      <c r="D175" s="1" t="s">
        <v>11</v>
      </c>
      <c r="E175" s="1" t="s">
        <v>31</v>
      </c>
      <c r="F175" s="1">
        <f t="shared" si="12"/>
        <v>897.00000000000011</v>
      </c>
      <c r="G175" s="12">
        <f t="shared" si="13"/>
        <v>39.687848383500551</v>
      </c>
    </row>
    <row r="176" spans="1:7" ht="13">
      <c r="A176" s="4" t="s">
        <v>113</v>
      </c>
      <c r="B176" s="1">
        <v>8.8000000000000007</v>
      </c>
      <c r="C176" s="1">
        <v>352</v>
      </c>
      <c r="D176" s="1" t="s">
        <v>47</v>
      </c>
      <c r="E176" s="1" t="s">
        <v>30</v>
      </c>
      <c r="F176" s="1">
        <f t="shared" si="12"/>
        <v>880.00000000000011</v>
      </c>
      <c r="G176" s="12">
        <f t="shared" si="13"/>
        <v>40</v>
      </c>
    </row>
    <row r="177" spans="1:7" ht="13">
      <c r="A177" s="4" t="s">
        <v>113</v>
      </c>
      <c r="B177" s="1">
        <v>6</v>
      </c>
      <c r="C177" s="1">
        <v>284</v>
      </c>
      <c r="D177" s="1" t="s">
        <v>11</v>
      </c>
      <c r="E177" s="1" t="s">
        <v>22</v>
      </c>
      <c r="F177" s="1">
        <f t="shared" si="12"/>
        <v>600</v>
      </c>
      <c r="G177" s="12">
        <f t="shared" si="13"/>
        <v>47.333333333333336</v>
      </c>
    </row>
    <row r="178" spans="1:7" ht="13">
      <c r="A178" s="4" t="s">
        <v>113</v>
      </c>
      <c r="B178" s="1">
        <v>6.5</v>
      </c>
      <c r="C178" s="1">
        <v>249</v>
      </c>
      <c r="D178" s="1" t="s">
        <v>47</v>
      </c>
      <c r="E178" s="1" t="s">
        <v>17</v>
      </c>
      <c r="F178" s="1">
        <f t="shared" si="12"/>
        <v>650</v>
      </c>
      <c r="G178" s="12">
        <f t="shared" si="13"/>
        <v>38.307692307692307</v>
      </c>
    </row>
    <row r="179" spans="1:7" ht="13">
      <c r="A179" s="4" t="s">
        <v>113</v>
      </c>
      <c r="B179" s="1">
        <v>7.74</v>
      </c>
      <c r="C179" s="1">
        <v>313</v>
      </c>
      <c r="D179" s="1" t="s">
        <v>11</v>
      </c>
      <c r="E179" s="1" t="s">
        <v>22</v>
      </c>
      <c r="F179" s="1">
        <f t="shared" si="12"/>
        <v>774</v>
      </c>
      <c r="G179" s="12">
        <f t="shared" si="13"/>
        <v>40.439276485788113</v>
      </c>
    </row>
    <row r="180" spans="1:7" ht="13">
      <c r="A180" s="4" t="s">
        <v>113</v>
      </c>
      <c r="B180" s="1">
        <v>8.69</v>
      </c>
      <c r="C180" s="1">
        <v>423</v>
      </c>
      <c r="D180" s="1" t="s">
        <v>11</v>
      </c>
      <c r="E180" s="1" t="s">
        <v>26</v>
      </c>
      <c r="F180" s="1">
        <f t="shared" si="12"/>
        <v>869</v>
      </c>
      <c r="G180" s="12">
        <f t="shared" si="13"/>
        <v>48.676639815880328</v>
      </c>
    </row>
    <row r="181" spans="1:7" ht="13">
      <c r="A181" s="4" t="s">
        <v>113</v>
      </c>
      <c r="B181" s="1">
        <v>4.4800000000000004</v>
      </c>
      <c r="C181" s="1">
        <v>117</v>
      </c>
      <c r="D181" s="1" t="s">
        <v>35</v>
      </c>
      <c r="E181" s="1" t="s">
        <v>28</v>
      </c>
      <c r="F181" s="1">
        <f t="shared" si="12"/>
        <v>448.00000000000006</v>
      </c>
      <c r="G181" s="12">
        <f t="shared" si="13"/>
        <v>26.116071428571427</v>
      </c>
    </row>
    <row r="182" spans="1:7" ht="13">
      <c r="A182" s="4" t="s">
        <v>113</v>
      </c>
      <c r="B182" s="1">
        <v>7.2249999999999996</v>
      </c>
      <c r="C182" s="1">
        <v>265</v>
      </c>
      <c r="D182" s="1" t="s">
        <v>11</v>
      </c>
      <c r="E182" s="1" t="s">
        <v>18</v>
      </c>
      <c r="F182" s="1">
        <f t="shared" si="12"/>
        <v>722.5</v>
      </c>
      <c r="G182" s="12">
        <f t="shared" si="13"/>
        <v>36.678200692041521</v>
      </c>
    </row>
    <row r="183" spans="1:7" ht="13">
      <c r="A183" s="4" t="s">
        <v>113</v>
      </c>
      <c r="B183" s="1">
        <v>11</v>
      </c>
      <c r="C183" s="1">
        <v>375</v>
      </c>
      <c r="D183" s="1" t="s">
        <v>11</v>
      </c>
      <c r="E183" s="1" t="s">
        <v>10</v>
      </c>
      <c r="F183" s="1">
        <f t="shared" si="12"/>
        <v>1100</v>
      </c>
      <c r="G183" s="12">
        <f t="shared" si="13"/>
        <v>34.090909090909093</v>
      </c>
    </row>
    <row r="184" spans="1:7" ht="13">
      <c r="A184" s="4" t="s">
        <v>113</v>
      </c>
      <c r="B184" s="1">
        <v>6.56</v>
      </c>
      <c r="C184" s="1">
        <v>214</v>
      </c>
      <c r="D184" s="1" t="s">
        <v>11</v>
      </c>
      <c r="E184" s="1" t="s">
        <v>18</v>
      </c>
      <c r="F184" s="1">
        <f t="shared" si="12"/>
        <v>656</v>
      </c>
      <c r="G184" s="12">
        <f t="shared" si="13"/>
        <v>32.621951219512198</v>
      </c>
    </row>
    <row r="185" spans="1:7" ht="13">
      <c r="A185" s="4" t="s">
        <v>113</v>
      </c>
      <c r="B185" s="1">
        <v>7.74</v>
      </c>
      <c r="C185" s="1">
        <v>277</v>
      </c>
      <c r="D185" s="1" t="s">
        <v>11</v>
      </c>
      <c r="E185" s="1" t="s">
        <v>25</v>
      </c>
      <c r="F185" s="1">
        <f t="shared" si="12"/>
        <v>774</v>
      </c>
      <c r="G185" s="12">
        <f t="shared" si="13"/>
        <v>35.788113695090438</v>
      </c>
    </row>
    <row r="186" spans="1:7" ht="13">
      <c r="A186" s="4" t="s">
        <v>113</v>
      </c>
      <c r="B186" s="1">
        <v>6</v>
      </c>
      <c r="C186" s="1">
        <v>200</v>
      </c>
      <c r="D186" s="1" t="s">
        <v>66</v>
      </c>
      <c r="E186" s="1" t="s">
        <v>49</v>
      </c>
      <c r="F186" s="1">
        <f t="shared" si="12"/>
        <v>600</v>
      </c>
      <c r="G186" s="12">
        <f t="shared" si="13"/>
        <v>33.333333333333336</v>
      </c>
    </row>
    <row r="187" spans="1:7" ht="13">
      <c r="A187" s="4" t="s">
        <v>113</v>
      </c>
      <c r="B187" s="1">
        <v>6.4</v>
      </c>
      <c r="C187" s="1">
        <v>317</v>
      </c>
      <c r="D187" s="1" t="s">
        <v>11</v>
      </c>
      <c r="E187" s="1" t="s">
        <v>17</v>
      </c>
      <c r="F187" s="1">
        <f t="shared" si="12"/>
        <v>640</v>
      </c>
      <c r="G187" s="12">
        <f t="shared" si="13"/>
        <v>49.53125</v>
      </c>
    </row>
    <row r="188" spans="1:7" ht="13">
      <c r="A188" s="4" t="s">
        <v>113</v>
      </c>
      <c r="B188" s="1">
        <v>6.2</v>
      </c>
      <c r="C188" s="1">
        <v>189</v>
      </c>
      <c r="D188" s="1" t="s">
        <v>33</v>
      </c>
      <c r="E188" s="1" t="s">
        <v>15</v>
      </c>
      <c r="F188" s="1">
        <f t="shared" si="12"/>
        <v>620</v>
      </c>
      <c r="G188" s="12">
        <f t="shared" si="13"/>
        <v>30.483870967741936</v>
      </c>
    </row>
    <row r="189" spans="1:7" ht="13">
      <c r="A189" s="4" t="s">
        <v>113</v>
      </c>
      <c r="B189" s="1">
        <v>4.3</v>
      </c>
      <c r="C189" s="1">
        <v>229</v>
      </c>
      <c r="D189" s="1" t="s">
        <v>11</v>
      </c>
      <c r="E189" s="1" t="s">
        <v>8</v>
      </c>
      <c r="F189" s="1">
        <f t="shared" si="12"/>
        <v>430</v>
      </c>
      <c r="G189" s="12">
        <f t="shared" si="13"/>
        <v>53.255813953488371</v>
      </c>
    </row>
    <row r="190" spans="1:7" ht="13">
      <c r="A190" s="4" t="s">
        <v>113</v>
      </c>
      <c r="B190" s="1">
        <v>5.0999999999999996</v>
      </c>
      <c r="C190" s="1">
        <v>194</v>
      </c>
      <c r="D190" s="1" t="s">
        <v>39</v>
      </c>
      <c r="E190" s="1" t="s">
        <v>15</v>
      </c>
      <c r="F190" s="1">
        <f t="shared" si="12"/>
        <v>509.99999999999994</v>
      </c>
      <c r="G190" s="12">
        <f t="shared" si="13"/>
        <v>38.03921568627451</v>
      </c>
    </row>
    <row r="191" spans="1:7" ht="13">
      <c r="A191" s="4" t="s">
        <v>113</v>
      </c>
      <c r="B191" s="1">
        <v>5</v>
      </c>
      <c r="C191" s="1">
        <v>219</v>
      </c>
      <c r="D191" s="1" t="s">
        <v>47</v>
      </c>
      <c r="E191" s="1" t="s">
        <v>26</v>
      </c>
      <c r="F191" s="1">
        <f t="shared" si="12"/>
        <v>500</v>
      </c>
      <c r="G191" s="12">
        <f t="shared" si="13"/>
        <v>43.8</v>
      </c>
    </row>
    <row r="192" spans="1:7" ht="13">
      <c r="A192" s="4" t="s">
        <v>113</v>
      </c>
      <c r="B192" s="1">
        <v>6.3</v>
      </c>
      <c r="C192" s="1">
        <v>248</v>
      </c>
      <c r="D192" s="1" t="s">
        <v>43</v>
      </c>
      <c r="E192" s="1" t="s">
        <v>29</v>
      </c>
      <c r="F192" s="1">
        <f t="shared" si="12"/>
        <v>630</v>
      </c>
      <c r="G192" s="12">
        <f t="shared" si="13"/>
        <v>39.365079365079367</v>
      </c>
    </row>
    <row r="193" spans="1:7" ht="13">
      <c r="A193" s="4" t="s">
        <v>113</v>
      </c>
      <c r="B193" s="1">
        <v>5.88</v>
      </c>
      <c r="C193" s="1">
        <v>224</v>
      </c>
      <c r="D193" s="1" t="s">
        <v>11</v>
      </c>
      <c r="E193" s="1" t="s">
        <v>15</v>
      </c>
      <c r="F193" s="1">
        <f t="shared" si="12"/>
        <v>588</v>
      </c>
      <c r="G193" s="12">
        <f t="shared" si="13"/>
        <v>38.095238095238095</v>
      </c>
    </row>
    <row r="194" spans="1:7" ht="13">
      <c r="A194" s="4" t="s">
        <v>113</v>
      </c>
      <c r="B194" s="1">
        <v>6.7</v>
      </c>
      <c r="C194" s="1">
        <v>295</v>
      </c>
      <c r="D194" s="1" t="s">
        <v>35</v>
      </c>
      <c r="E194" s="1" t="s">
        <v>10</v>
      </c>
      <c r="F194" s="1">
        <f t="shared" si="12"/>
        <v>670</v>
      </c>
      <c r="G194" s="12">
        <f t="shared" si="13"/>
        <v>44.029850746268657</v>
      </c>
    </row>
    <row r="195" spans="1:7" ht="13">
      <c r="A195" s="4" t="s">
        <v>113</v>
      </c>
      <c r="B195" s="1">
        <v>7.1</v>
      </c>
      <c r="C195" s="1">
        <v>331</v>
      </c>
      <c r="D195" s="1" t="s">
        <v>11</v>
      </c>
      <c r="E195" s="1" t="s">
        <v>10</v>
      </c>
      <c r="F195" s="1">
        <f t="shared" ref="F195:F258" si="14">B195*100</f>
        <v>710</v>
      </c>
      <c r="G195" s="12">
        <f t="shared" ref="G195:G258" si="15">C195/B195</f>
        <v>46.619718309859159</v>
      </c>
    </row>
    <row r="196" spans="1:7" ht="13">
      <c r="A196" s="4" t="s">
        <v>113</v>
      </c>
      <c r="B196" s="1">
        <v>6</v>
      </c>
      <c r="C196" s="1">
        <v>148</v>
      </c>
      <c r="D196" s="1" t="s">
        <v>33</v>
      </c>
      <c r="E196" s="1" t="s">
        <v>23</v>
      </c>
      <c r="F196" s="1">
        <f t="shared" si="14"/>
        <v>600</v>
      </c>
      <c r="G196" s="12">
        <f t="shared" si="15"/>
        <v>24.666666666666668</v>
      </c>
    </row>
    <row r="197" spans="1:7" ht="13">
      <c r="A197" s="4" t="s">
        <v>113</v>
      </c>
      <c r="B197" s="1">
        <v>6.9</v>
      </c>
      <c r="C197" s="1">
        <v>238</v>
      </c>
      <c r="D197" s="1" t="s">
        <v>11</v>
      </c>
      <c r="E197" s="1" t="s">
        <v>7</v>
      </c>
      <c r="F197" s="1">
        <f t="shared" si="14"/>
        <v>690</v>
      </c>
      <c r="G197" s="12">
        <f t="shared" si="15"/>
        <v>34.492753623188406</v>
      </c>
    </row>
    <row r="198" spans="1:7" ht="13">
      <c r="A198" s="4" t="s">
        <v>113</v>
      </c>
      <c r="B198" s="1">
        <v>6</v>
      </c>
      <c r="C198" s="1">
        <v>203</v>
      </c>
      <c r="D198" s="1" t="s">
        <v>40</v>
      </c>
      <c r="E198" s="1" t="s">
        <v>8</v>
      </c>
      <c r="F198" s="1">
        <f t="shared" si="14"/>
        <v>600</v>
      </c>
      <c r="G198" s="12">
        <f t="shared" si="15"/>
        <v>33.833333333333336</v>
      </c>
    </row>
    <row r="199" spans="1:7" ht="13">
      <c r="A199" s="4" t="s">
        <v>113</v>
      </c>
      <c r="B199" s="1">
        <v>7.74</v>
      </c>
      <c r="C199" s="1">
        <v>238</v>
      </c>
      <c r="D199" s="1" t="s">
        <v>33</v>
      </c>
      <c r="E199" s="1" t="s">
        <v>16</v>
      </c>
      <c r="F199" s="1">
        <f t="shared" si="14"/>
        <v>774</v>
      </c>
      <c r="G199" s="12">
        <f t="shared" si="15"/>
        <v>30.749354005167959</v>
      </c>
    </row>
    <row r="200" spans="1:7" ht="13">
      <c r="A200" s="4" t="s">
        <v>113</v>
      </c>
      <c r="B200" s="1">
        <v>7.3</v>
      </c>
      <c r="C200" s="1">
        <v>260</v>
      </c>
      <c r="D200" s="1" t="s">
        <v>33</v>
      </c>
      <c r="E200" s="1" t="s">
        <v>23</v>
      </c>
      <c r="F200" s="1">
        <f t="shared" si="14"/>
        <v>730</v>
      </c>
      <c r="G200" s="12">
        <f t="shared" si="15"/>
        <v>35.616438356164387</v>
      </c>
    </row>
    <row r="201" spans="1:7" ht="13">
      <c r="A201" s="4" t="s">
        <v>113</v>
      </c>
      <c r="B201" s="1">
        <v>5.6</v>
      </c>
      <c r="C201" s="1">
        <v>116</v>
      </c>
      <c r="D201" s="1" t="s">
        <v>40</v>
      </c>
      <c r="E201" s="1" t="s">
        <v>7</v>
      </c>
      <c r="F201" s="1">
        <f t="shared" si="14"/>
        <v>560</v>
      </c>
      <c r="G201" s="12">
        <f t="shared" si="15"/>
        <v>20.714285714285715</v>
      </c>
    </row>
    <row r="202" spans="1:7" ht="13">
      <c r="A202" s="4" t="s">
        <v>113</v>
      </c>
      <c r="B202" s="1">
        <v>7.56</v>
      </c>
      <c r="C202" s="1">
        <v>284</v>
      </c>
      <c r="D202" s="1" t="s">
        <v>11</v>
      </c>
      <c r="E202" s="1" t="s">
        <v>25</v>
      </c>
      <c r="F202" s="1">
        <f t="shared" si="14"/>
        <v>756</v>
      </c>
      <c r="G202" s="12">
        <f t="shared" si="15"/>
        <v>37.56613756613757</v>
      </c>
    </row>
    <row r="203" spans="1:7" ht="13">
      <c r="A203" s="4" t="s">
        <v>113</v>
      </c>
      <c r="B203" s="1">
        <v>7</v>
      </c>
      <c r="C203" s="1">
        <v>225</v>
      </c>
      <c r="D203" s="1" t="s">
        <v>33</v>
      </c>
      <c r="E203" s="1" t="s">
        <v>20</v>
      </c>
      <c r="F203" s="1">
        <f t="shared" si="14"/>
        <v>700</v>
      </c>
      <c r="G203" s="12">
        <f t="shared" si="15"/>
        <v>32.142857142857146</v>
      </c>
    </row>
    <row r="204" spans="1:7" ht="13">
      <c r="A204" s="4" t="s">
        <v>113</v>
      </c>
      <c r="B204" s="1">
        <v>9.3000000000000007</v>
      </c>
      <c r="C204" s="1">
        <v>456</v>
      </c>
      <c r="D204" s="1" t="s">
        <v>11</v>
      </c>
      <c r="E204" s="1" t="s">
        <v>20</v>
      </c>
      <c r="F204" s="1">
        <f t="shared" si="14"/>
        <v>930.00000000000011</v>
      </c>
      <c r="G204" s="12">
        <f t="shared" si="15"/>
        <v>49.032258064516128</v>
      </c>
    </row>
    <row r="205" spans="1:7" ht="13">
      <c r="A205" s="4" t="s">
        <v>113</v>
      </c>
      <c r="B205" s="1">
        <v>6.7</v>
      </c>
      <c r="C205" s="1">
        <v>190</v>
      </c>
      <c r="D205" s="1" t="s">
        <v>33</v>
      </c>
      <c r="E205" s="1" t="s">
        <v>21</v>
      </c>
      <c r="F205" s="1">
        <f t="shared" si="14"/>
        <v>670</v>
      </c>
      <c r="G205" s="12">
        <f t="shared" si="15"/>
        <v>28.35820895522388</v>
      </c>
    </row>
    <row r="206" spans="1:7" ht="13">
      <c r="A206" s="4" t="s">
        <v>113</v>
      </c>
      <c r="B206" s="1">
        <v>5</v>
      </c>
      <c r="C206" s="1">
        <v>263</v>
      </c>
      <c r="D206" s="1" t="s">
        <v>39</v>
      </c>
      <c r="E206" s="1" t="s">
        <v>30</v>
      </c>
      <c r="F206" s="1">
        <f t="shared" si="14"/>
        <v>500</v>
      </c>
      <c r="G206" s="12">
        <f t="shared" si="15"/>
        <v>52.6</v>
      </c>
    </row>
    <row r="207" spans="1:7" ht="13">
      <c r="A207" s="4" t="s">
        <v>113</v>
      </c>
      <c r="B207" s="1">
        <v>6.96</v>
      </c>
      <c r="C207" s="1">
        <v>317</v>
      </c>
      <c r="D207" s="1" t="s">
        <v>11</v>
      </c>
      <c r="E207" s="1" t="s">
        <v>14</v>
      </c>
      <c r="F207" s="1">
        <f t="shared" si="14"/>
        <v>696</v>
      </c>
      <c r="G207" s="12">
        <f t="shared" si="15"/>
        <v>45.545977011494251</v>
      </c>
    </row>
    <row r="208" spans="1:7" ht="13">
      <c r="A208" s="4" t="s">
        <v>113</v>
      </c>
      <c r="B208" s="1">
        <v>7.8</v>
      </c>
      <c r="C208" s="1">
        <v>313</v>
      </c>
      <c r="D208" s="1" t="s">
        <v>11</v>
      </c>
      <c r="E208" s="1" t="s">
        <v>21</v>
      </c>
      <c r="F208" s="1">
        <f t="shared" si="14"/>
        <v>780</v>
      </c>
      <c r="G208" s="12">
        <f t="shared" si="15"/>
        <v>40.128205128205131</v>
      </c>
    </row>
    <row r="209" spans="1:7" ht="13">
      <c r="A209" s="4" t="s">
        <v>113</v>
      </c>
      <c r="B209" s="1">
        <v>8.6</v>
      </c>
      <c r="C209" s="1">
        <v>411</v>
      </c>
      <c r="D209" s="1" t="s">
        <v>11</v>
      </c>
      <c r="E209" s="1" t="s">
        <v>19</v>
      </c>
      <c r="F209" s="1">
        <f t="shared" si="14"/>
        <v>860</v>
      </c>
      <c r="G209" s="12">
        <f t="shared" si="15"/>
        <v>47.79069767441861</v>
      </c>
    </row>
    <row r="210" spans="1:7" ht="13">
      <c r="A210" s="4" t="s">
        <v>113</v>
      </c>
      <c r="B210" s="1">
        <v>4.92</v>
      </c>
      <c r="C210" s="1">
        <v>223</v>
      </c>
      <c r="D210" s="1" t="s">
        <v>11</v>
      </c>
      <c r="E210" s="1" t="s">
        <v>17</v>
      </c>
      <c r="F210" s="1">
        <f t="shared" si="14"/>
        <v>492</v>
      </c>
      <c r="G210" s="12">
        <f t="shared" si="15"/>
        <v>45.325203252032523</v>
      </c>
    </row>
    <row r="211" spans="1:7" ht="13">
      <c r="A211" s="4" t="s">
        <v>113</v>
      </c>
      <c r="B211" s="1">
        <v>2.5</v>
      </c>
      <c r="C211" s="1">
        <v>105</v>
      </c>
      <c r="D211" s="1" t="s">
        <v>11</v>
      </c>
      <c r="E211" s="1" t="s">
        <v>24</v>
      </c>
      <c r="F211" s="1">
        <f t="shared" si="14"/>
        <v>250</v>
      </c>
      <c r="G211" s="12">
        <f t="shared" si="15"/>
        <v>42</v>
      </c>
    </row>
    <row r="212" spans="1:7" ht="13">
      <c r="A212" s="4" t="s">
        <v>113</v>
      </c>
      <c r="B212" s="1">
        <v>4.2</v>
      </c>
      <c r="C212" s="1">
        <v>214</v>
      </c>
      <c r="D212" s="1" t="s">
        <v>11</v>
      </c>
      <c r="E212" s="1" t="s">
        <v>15</v>
      </c>
      <c r="F212" s="1">
        <f t="shared" si="14"/>
        <v>420</v>
      </c>
      <c r="G212" s="12">
        <f t="shared" si="15"/>
        <v>50.952380952380949</v>
      </c>
    </row>
    <row r="213" spans="1:7" ht="13">
      <c r="A213" s="4" t="s">
        <v>113</v>
      </c>
      <c r="B213" s="1">
        <v>5.46</v>
      </c>
      <c r="C213" s="1">
        <v>166.3</v>
      </c>
      <c r="D213" s="1" t="s">
        <v>33</v>
      </c>
      <c r="E213" s="1" t="s">
        <v>14</v>
      </c>
      <c r="F213" s="1">
        <f t="shared" si="14"/>
        <v>546</v>
      </c>
      <c r="G213" s="12">
        <f t="shared" si="15"/>
        <v>30.45787545787546</v>
      </c>
    </row>
    <row r="214" spans="1:7" ht="13">
      <c r="A214" s="4" t="s">
        <v>113</v>
      </c>
      <c r="B214" s="1">
        <v>6.72</v>
      </c>
      <c r="C214" s="1">
        <v>197</v>
      </c>
      <c r="D214" s="1" t="s">
        <v>33</v>
      </c>
      <c r="E214" s="1" t="s">
        <v>27</v>
      </c>
      <c r="F214" s="1">
        <f t="shared" si="14"/>
        <v>672</v>
      </c>
      <c r="G214" s="12">
        <f t="shared" si="15"/>
        <v>29.31547619047619</v>
      </c>
    </row>
    <row r="215" spans="1:7" ht="13">
      <c r="A215" s="4" t="s">
        <v>113</v>
      </c>
      <c r="B215" s="1">
        <v>4.5</v>
      </c>
      <c r="C215" s="1">
        <v>130</v>
      </c>
      <c r="D215" s="1" t="s">
        <v>37</v>
      </c>
      <c r="E215" s="1" t="s">
        <v>15</v>
      </c>
      <c r="F215" s="1">
        <f t="shared" si="14"/>
        <v>450</v>
      </c>
      <c r="G215" s="12">
        <f t="shared" si="15"/>
        <v>28.888888888888889</v>
      </c>
    </row>
    <row r="216" spans="1:7" ht="13">
      <c r="A216" s="4" t="s">
        <v>113</v>
      </c>
      <c r="B216" s="1">
        <v>6.4</v>
      </c>
      <c r="C216" s="1">
        <v>321</v>
      </c>
      <c r="D216" s="1" t="s">
        <v>11</v>
      </c>
      <c r="E216" s="1" t="s">
        <v>16</v>
      </c>
      <c r="F216" s="1">
        <f t="shared" si="14"/>
        <v>640</v>
      </c>
      <c r="G216" s="12">
        <f t="shared" si="15"/>
        <v>50.15625</v>
      </c>
    </row>
    <row r="217" spans="1:7" ht="13">
      <c r="A217" s="4" t="s">
        <v>113</v>
      </c>
      <c r="B217" s="1">
        <v>5.81</v>
      </c>
      <c r="C217" s="1">
        <v>300</v>
      </c>
      <c r="D217" s="1" t="s">
        <v>38</v>
      </c>
      <c r="E217" s="1" t="s">
        <v>8</v>
      </c>
      <c r="F217" s="1">
        <f t="shared" si="14"/>
        <v>581</v>
      </c>
      <c r="G217" s="12">
        <f t="shared" si="15"/>
        <v>51.635111876075733</v>
      </c>
    </row>
    <row r="218" spans="1:7" ht="13">
      <c r="A218" s="4" t="s">
        <v>113</v>
      </c>
      <c r="B218" s="1">
        <v>6</v>
      </c>
      <c r="C218" s="1">
        <v>283</v>
      </c>
      <c r="D218" s="1" t="s">
        <v>11</v>
      </c>
      <c r="E218" s="1" t="s">
        <v>29</v>
      </c>
      <c r="F218" s="1">
        <f t="shared" si="14"/>
        <v>600</v>
      </c>
      <c r="G218" s="12">
        <f t="shared" si="15"/>
        <v>47.166666666666664</v>
      </c>
    </row>
    <row r="219" spans="1:7" ht="13">
      <c r="A219" s="4" t="s">
        <v>113</v>
      </c>
      <c r="B219" s="1">
        <v>5.0999999999999996</v>
      </c>
      <c r="C219" s="1">
        <v>122</v>
      </c>
      <c r="D219" s="1" t="s">
        <v>33</v>
      </c>
      <c r="E219" s="1" t="s">
        <v>15</v>
      </c>
      <c r="F219" s="1">
        <f t="shared" si="14"/>
        <v>509.99999999999994</v>
      </c>
      <c r="G219" s="12">
        <f t="shared" si="15"/>
        <v>23.921568627450981</v>
      </c>
    </row>
    <row r="220" spans="1:7" ht="13">
      <c r="A220" s="4" t="s">
        <v>113</v>
      </c>
      <c r="B220" s="1">
        <v>5.0999999999999996</v>
      </c>
      <c r="C220" s="1">
        <v>122</v>
      </c>
      <c r="D220" s="1" t="s">
        <v>33</v>
      </c>
      <c r="E220" s="1" t="s">
        <v>15</v>
      </c>
      <c r="F220" s="1">
        <f t="shared" si="14"/>
        <v>509.99999999999994</v>
      </c>
      <c r="G220" s="12">
        <f t="shared" si="15"/>
        <v>23.921568627450981</v>
      </c>
    </row>
    <row r="221" spans="1:7" ht="13">
      <c r="A221" s="4" t="s">
        <v>113</v>
      </c>
      <c r="B221" s="1">
        <v>8.4</v>
      </c>
      <c r="C221" s="1">
        <v>272</v>
      </c>
      <c r="D221" s="1" t="s">
        <v>33</v>
      </c>
      <c r="E221" s="1" t="s">
        <v>10</v>
      </c>
      <c r="F221" s="1">
        <f t="shared" si="14"/>
        <v>840</v>
      </c>
      <c r="G221" s="12">
        <f t="shared" si="15"/>
        <v>32.38095238095238</v>
      </c>
    </row>
    <row r="222" spans="1:7" ht="13">
      <c r="A222" s="4" t="s">
        <v>113</v>
      </c>
      <c r="B222" s="1">
        <v>5.6</v>
      </c>
      <c r="C222" s="1">
        <v>195</v>
      </c>
      <c r="D222" s="1" t="s">
        <v>11</v>
      </c>
      <c r="E222" s="1" t="s">
        <v>21</v>
      </c>
      <c r="F222" s="1">
        <f t="shared" si="14"/>
        <v>560</v>
      </c>
      <c r="G222" s="12">
        <f t="shared" si="15"/>
        <v>34.821428571428577</v>
      </c>
    </row>
    <row r="223" spans="1:7" ht="13">
      <c r="A223" s="4" t="s">
        <v>113</v>
      </c>
      <c r="B223" s="1">
        <v>4.2</v>
      </c>
      <c r="C223" s="1">
        <v>155</v>
      </c>
      <c r="D223" s="1" t="s">
        <v>44</v>
      </c>
      <c r="E223" s="1" t="s">
        <v>15</v>
      </c>
      <c r="F223" s="1">
        <f t="shared" si="14"/>
        <v>420</v>
      </c>
      <c r="G223" s="12">
        <f t="shared" si="15"/>
        <v>36.904761904761905</v>
      </c>
    </row>
    <row r="224" spans="1:7" ht="13">
      <c r="A224" s="4" t="s">
        <v>113</v>
      </c>
      <c r="B224" s="1">
        <v>6.8</v>
      </c>
      <c r="C224" s="1">
        <v>222</v>
      </c>
      <c r="D224" s="1" t="s">
        <v>11</v>
      </c>
      <c r="E224" s="1" t="s">
        <v>46</v>
      </c>
      <c r="F224" s="1">
        <f t="shared" si="14"/>
        <v>680</v>
      </c>
      <c r="G224" s="12">
        <f t="shared" si="15"/>
        <v>32.647058823529413</v>
      </c>
    </row>
    <row r="225" spans="1:7" ht="13">
      <c r="A225" s="4" t="s">
        <v>113</v>
      </c>
      <c r="B225" s="1">
        <v>6.1</v>
      </c>
      <c r="C225" s="1">
        <v>237</v>
      </c>
      <c r="D225" s="1" t="s">
        <v>42</v>
      </c>
      <c r="E225" s="1" t="s">
        <v>17</v>
      </c>
      <c r="F225" s="1">
        <f t="shared" si="14"/>
        <v>610</v>
      </c>
      <c r="G225" s="12">
        <f t="shared" si="15"/>
        <v>38.852459016393446</v>
      </c>
    </row>
    <row r="226" spans="1:7" ht="13">
      <c r="A226" s="4" t="s">
        <v>113</v>
      </c>
      <c r="B226" s="1">
        <v>6.7</v>
      </c>
      <c r="C226" s="1">
        <v>234</v>
      </c>
      <c r="D226" s="1" t="s">
        <v>53</v>
      </c>
      <c r="E226" s="1" t="s">
        <v>8</v>
      </c>
      <c r="F226" s="1">
        <f t="shared" si="14"/>
        <v>670</v>
      </c>
      <c r="G226" s="12">
        <f t="shared" si="15"/>
        <v>34.92537313432836</v>
      </c>
    </row>
    <row r="227" spans="1:7" ht="13">
      <c r="A227" s="4" t="s">
        <v>113</v>
      </c>
      <c r="B227" s="1">
        <v>5.81</v>
      </c>
      <c r="C227" s="1">
        <v>279</v>
      </c>
      <c r="D227" s="1" t="s">
        <v>38</v>
      </c>
      <c r="E227" s="1" t="s">
        <v>8</v>
      </c>
      <c r="F227" s="1">
        <f t="shared" si="14"/>
        <v>581</v>
      </c>
      <c r="G227" s="12">
        <f t="shared" si="15"/>
        <v>48.020654044750437</v>
      </c>
    </row>
    <row r="228" spans="1:7" ht="13">
      <c r="A228" s="4" t="s">
        <v>113</v>
      </c>
      <c r="B228" s="1">
        <v>10.199999999999999</v>
      </c>
      <c r="C228" s="1">
        <v>329</v>
      </c>
      <c r="D228" s="1" t="s">
        <v>11</v>
      </c>
      <c r="E228" s="1" t="s">
        <v>7</v>
      </c>
      <c r="F228" s="1">
        <f t="shared" si="14"/>
        <v>1019.9999999999999</v>
      </c>
      <c r="G228" s="12">
        <f t="shared" si="15"/>
        <v>32.254901960784316</v>
      </c>
    </row>
    <row r="229" spans="1:7" ht="13">
      <c r="A229" s="4" t="s">
        <v>113</v>
      </c>
      <c r="B229" s="1">
        <v>6.04</v>
      </c>
      <c r="C229" s="1">
        <v>291</v>
      </c>
      <c r="D229" s="1" t="s">
        <v>42</v>
      </c>
      <c r="E229" s="1" t="s">
        <v>8</v>
      </c>
      <c r="F229" s="1">
        <f t="shared" si="14"/>
        <v>604</v>
      </c>
      <c r="G229" s="12">
        <f t="shared" si="15"/>
        <v>48.17880794701987</v>
      </c>
    </row>
    <row r="230" spans="1:7" ht="13">
      <c r="A230" s="4" t="s">
        <v>113</v>
      </c>
      <c r="B230" s="1">
        <v>5.6</v>
      </c>
      <c r="C230" s="1">
        <v>215</v>
      </c>
      <c r="D230" s="1" t="s">
        <v>54</v>
      </c>
      <c r="E230" s="1" t="s">
        <v>22</v>
      </c>
      <c r="F230" s="1">
        <f t="shared" si="14"/>
        <v>560</v>
      </c>
      <c r="G230" s="12">
        <f t="shared" si="15"/>
        <v>38.392857142857146</v>
      </c>
    </row>
    <row r="231" spans="1:7" ht="13">
      <c r="A231" s="4" t="s">
        <v>113</v>
      </c>
      <c r="B231" s="1">
        <v>6</v>
      </c>
      <c r="C231" s="1">
        <v>265</v>
      </c>
      <c r="D231" s="1" t="s">
        <v>42</v>
      </c>
      <c r="E231" s="1" t="s">
        <v>26</v>
      </c>
      <c r="F231" s="1">
        <f t="shared" si="14"/>
        <v>600</v>
      </c>
      <c r="G231" s="12">
        <f t="shared" si="15"/>
        <v>44.166666666666664</v>
      </c>
    </row>
    <row r="232" spans="1:7" ht="13">
      <c r="A232" s="4" t="s">
        <v>113</v>
      </c>
      <c r="B232" s="1">
        <v>6</v>
      </c>
      <c r="C232" s="1">
        <v>193</v>
      </c>
      <c r="D232" s="1" t="s">
        <v>11</v>
      </c>
      <c r="E232" s="1" t="s">
        <v>8</v>
      </c>
      <c r="F232" s="1">
        <f t="shared" si="14"/>
        <v>600</v>
      </c>
      <c r="G232" s="12">
        <f t="shared" si="15"/>
        <v>32.166666666666664</v>
      </c>
    </row>
    <row r="233" spans="1:7" ht="13">
      <c r="A233" s="4" t="s">
        <v>113</v>
      </c>
      <c r="B233" s="1">
        <v>6.9</v>
      </c>
      <c r="C233" s="1">
        <v>301</v>
      </c>
      <c r="D233" s="1" t="s">
        <v>39</v>
      </c>
      <c r="E233" s="1" t="s">
        <v>8</v>
      </c>
      <c r="F233" s="1">
        <f t="shared" si="14"/>
        <v>690</v>
      </c>
      <c r="G233" s="12">
        <f t="shared" si="15"/>
        <v>43.623188405797102</v>
      </c>
    </row>
    <row r="234" spans="1:7" ht="13">
      <c r="A234" s="4" t="s">
        <v>113</v>
      </c>
      <c r="B234" s="1">
        <v>6.96</v>
      </c>
      <c r="C234" s="1">
        <v>371</v>
      </c>
      <c r="D234" s="1" t="s">
        <v>11</v>
      </c>
      <c r="E234" s="1" t="s">
        <v>8</v>
      </c>
      <c r="F234" s="1">
        <f t="shared" si="14"/>
        <v>696</v>
      </c>
      <c r="G234" s="12">
        <f t="shared" si="15"/>
        <v>53.304597701149426</v>
      </c>
    </row>
    <row r="235" spans="1:7" ht="13">
      <c r="A235" s="4" t="s">
        <v>113</v>
      </c>
      <c r="B235" s="1">
        <v>9.4600000000000009</v>
      </c>
      <c r="C235" s="1">
        <v>345</v>
      </c>
      <c r="D235" s="1" t="s">
        <v>52</v>
      </c>
      <c r="E235" s="1" t="s">
        <v>18</v>
      </c>
      <c r="F235" s="1">
        <f t="shared" si="14"/>
        <v>946.00000000000011</v>
      </c>
      <c r="G235" s="12">
        <f t="shared" si="15"/>
        <v>36.469344608879489</v>
      </c>
    </row>
    <row r="236" spans="1:7" ht="13">
      <c r="A236" s="4" t="s">
        <v>113</v>
      </c>
      <c r="B236" s="1">
        <v>8.1</v>
      </c>
      <c r="C236" s="1">
        <v>364</v>
      </c>
      <c r="D236" s="1" t="s">
        <v>42</v>
      </c>
      <c r="E236" s="1" t="s">
        <v>10</v>
      </c>
      <c r="F236" s="1">
        <f t="shared" si="14"/>
        <v>810</v>
      </c>
      <c r="G236" s="12">
        <f t="shared" si="15"/>
        <v>44.938271604938272</v>
      </c>
    </row>
    <row r="237" spans="1:7" ht="13">
      <c r="A237" s="4" t="s">
        <v>113</v>
      </c>
      <c r="B237" s="1">
        <v>4.92</v>
      </c>
      <c r="C237" s="1">
        <v>203.1</v>
      </c>
      <c r="D237" s="1" t="s">
        <v>47</v>
      </c>
      <c r="E237" s="1" t="s">
        <v>10</v>
      </c>
      <c r="F237" s="1">
        <f t="shared" si="14"/>
        <v>492</v>
      </c>
      <c r="G237" s="12">
        <f t="shared" si="15"/>
        <v>41.280487804878049</v>
      </c>
    </row>
    <row r="238" spans="1:7" ht="13">
      <c r="A238" s="4" t="s">
        <v>113</v>
      </c>
      <c r="B238" s="1">
        <v>9</v>
      </c>
      <c r="C238" s="1">
        <v>188</v>
      </c>
      <c r="D238" s="1" t="s">
        <v>60</v>
      </c>
      <c r="E238" s="1" t="s">
        <v>17</v>
      </c>
      <c r="F238" s="1">
        <f t="shared" si="14"/>
        <v>900</v>
      </c>
      <c r="G238" s="12">
        <f t="shared" si="15"/>
        <v>20.888888888888889</v>
      </c>
    </row>
    <row r="239" spans="1:7" ht="13">
      <c r="A239" s="4" t="s">
        <v>113</v>
      </c>
      <c r="B239" s="1">
        <v>6.2</v>
      </c>
      <c r="C239" s="1">
        <v>262</v>
      </c>
      <c r="D239" s="1" t="s">
        <v>11</v>
      </c>
      <c r="E239" s="1" t="s">
        <v>7</v>
      </c>
      <c r="F239" s="1">
        <f t="shared" si="14"/>
        <v>620</v>
      </c>
      <c r="G239" s="12">
        <f t="shared" si="15"/>
        <v>42.258064516129032</v>
      </c>
    </row>
    <row r="240" spans="1:7" ht="13">
      <c r="A240" s="4" t="s">
        <v>113</v>
      </c>
      <c r="B240" s="1">
        <v>6.72</v>
      </c>
      <c r="C240" s="1">
        <v>206</v>
      </c>
      <c r="D240" s="1" t="s">
        <v>33</v>
      </c>
      <c r="E240" s="1" t="s">
        <v>20</v>
      </c>
      <c r="F240" s="1">
        <f t="shared" si="14"/>
        <v>672</v>
      </c>
      <c r="G240" s="12">
        <f t="shared" si="15"/>
        <v>30.654761904761905</v>
      </c>
    </row>
    <row r="241" spans="1:7" ht="13">
      <c r="A241" s="4" t="s">
        <v>113</v>
      </c>
      <c r="B241" s="1">
        <v>6.02</v>
      </c>
      <c r="C241" s="1">
        <v>230</v>
      </c>
      <c r="D241" s="1" t="s">
        <v>43</v>
      </c>
      <c r="E241" s="1" t="s">
        <v>21</v>
      </c>
      <c r="F241" s="1">
        <f t="shared" si="14"/>
        <v>602</v>
      </c>
      <c r="G241" s="12">
        <f t="shared" si="15"/>
        <v>38.205980066445186</v>
      </c>
    </row>
    <row r="242" spans="1:7" ht="13">
      <c r="A242" s="4" t="s">
        <v>113</v>
      </c>
      <c r="B242" s="1">
        <v>4.9000000000000004</v>
      </c>
      <c r="C242" s="1">
        <v>209</v>
      </c>
      <c r="D242" s="1" t="s">
        <v>47</v>
      </c>
      <c r="E242" s="1" t="s">
        <v>19</v>
      </c>
      <c r="F242" s="1">
        <f t="shared" si="14"/>
        <v>490.00000000000006</v>
      </c>
      <c r="G242" s="12">
        <f t="shared" si="15"/>
        <v>42.65306122448979</v>
      </c>
    </row>
    <row r="243" spans="1:7" ht="13">
      <c r="A243" s="4" t="s">
        <v>113</v>
      </c>
      <c r="B243" s="1">
        <v>8.5</v>
      </c>
      <c r="C243" s="1">
        <v>337</v>
      </c>
      <c r="D243" s="1" t="s">
        <v>39</v>
      </c>
      <c r="E243" s="1" t="s">
        <v>20</v>
      </c>
      <c r="F243" s="1">
        <f t="shared" si="14"/>
        <v>850</v>
      </c>
      <c r="G243" s="12">
        <f t="shared" si="15"/>
        <v>39.647058823529413</v>
      </c>
    </row>
    <row r="244" spans="1:7" ht="13">
      <c r="A244" s="4" t="s">
        <v>113</v>
      </c>
      <c r="B244" s="1">
        <v>7.5</v>
      </c>
      <c r="C244" s="1">
        <v>299</v>
      </c>
      <c r="D244" s="1" t="s">
        <v>67</v>
      </c>
      <c r="E244" s="1" t="s">
        <v>21</v>
      </c>
      <c r="F244" s="1">
        <f t="shared" si="14"/>
        <v>750</v>
      </c>
      <c r="G244" s="12">
        <f t="shared" si="15"/>
        <v>39.866666666666667</v>
      </c>
    </row>
    <row r="245" spans="1:7" ht="13">
      <c r="A245" s="4" t="s">
        <v>113</v>
      </c>
      <c r="B245" s="1">
        <v>4950</v>
      </c>
      <c r="C245" s="1">
        <v>233</v>
      </c>
      <c r="D245" s="1" t="s">
        <v>11</v>
      </c>
      <c r="E245" s="1" t="s">
        <v>10</v>
      </c>
      <c r="F245" s="1">
        <f t="shared" si="14"/>
        <v>495000</v>
      </c>
      <c r="G245" s="12">
        <f t="shared" si="15"/>
        <v>4.7070707070707068E-2</v>
      </c>
    </row>
    <row r="246" spans="1:7" ht="13">
      <c r="A246" s="4" t="s">
        <v>113</v>
      </c>
      <c r="B246" s="1">
        <v>7.56</v>
      </c>
      <c r="C246" s="1">
        <v>355</v>
      </c>
      <c r="D246" s="1" t="s">
        <v>11</v>
      </c>
      <c r="E246" s="1" t="s">
        <v>9</v>
      </c>
      <c r="F246" s="1">
        <f t="shared" si="14"/>
        <v>756</v>
      </c>
      <c r="G246" s="12">
        <f t="shared" si="15"/>
        <v>46.957671957671963</v>
      </c>
    </row>
    <row r="247" spans="1:7" ht="13">
      <c r="A247" s="4" t="s">
        <v>113</v>
      </c>
      <c r="B247" s="1">
        <v>5.4</v>
      </c>
      <c r="C247" s="1">
        <v>229</v>
      </c>
      <c r="D247" s="1" t="s">
        <v>35</v>
      </c>
      <c r="E247" s="1" t="s">
        <v>8</v>
      </c>
      <c r="F247" s="1">
        <f t="shared" si="14"/>
        <v>540</v>
      </c>
      <c r="G247" s="12">
        <f t="shared" si="15"/>
        <v>42.407407407407405</v>
      </c>
    </row>
    <row r="248" spans="1:7" ht="13">
      <c r="A248" s="4" t="s">
        <v>113</v>
      </c>
      <c r="B248" s="1">
        <v>6.4</v>
      </c>
      <c r="C248" s="1">
        <v>208.5</v>
      </c>
      <c r="D248" s="1" t="s">
        <v>35</v>
      </c>
      <c r="E248" s="1" t="s">
        <v>18</v>
      </c>
      <c r="F248" s="1">
        <f t="shared" si="14"/>
        <v>640</v>
      </c>
      <c r="G248" s="12">
        <f t="shared" si="15"/>
        <v>32.578125</v>
      </c>
    </row>
    <row r="249" spans="1:7" ht="13">
      <c r="A249" s="4" t="s">
        <v>113</v>
      </c>
      <c r="B249" s="1">
        <v>5.915</v>
      </c>
      <c r="C249" s="1">
        <v>211</v>
      </c>
      <c r="D249" s="1" t="s">
        <v>39</v>
      </c>
      <c r="E249" s="1" t="s">
        <v>24</v>
      </c>
      <c r="F249" s="1">
        <f t="shared" si="14"/>
        <v>591.5</v>
      </c>
      <c r="G249" s="12">
        <f t="shared" si="15"/>
        <v>35.672020287404905</v>
      </c>
    </row>
    <row r="250" spans="1:7" ht="13">
      <c r="A250" s="4" t="s">
        <v>113</v>
      </c>
      <c r="B250" s="1">
        <v>5</v>
      </c>
      <c r="C250" s="1">
        <v>213</v>
      </c>
      <c r="D250" s="1" t="s">
        <v>42</v>
      </c>
      <c r="E250" s="1" t="s">
        <v>30</v>
      </c>
      <c r="F250" s="1">
        <f t="shared" si="14"/>
        <v>500</v>
      </c>
      <c r="G250" s="12">
        <f t="shared" si="15"/>
        <v>42.6</v>
      </c>
    </row>
    <row r="251" spans="1:7" ht="13">
      <c r="A251" s="4" t="s">
        <v>113</v>
      </c>
      <c r="B251" s="1">
        <v>8</v>
      </c>
      <c r="C251" s="1">
        <v>293</v>
      </c>
      <c r="D251" s="1" t="s">
        <v>11</v>
      </c>
      <c r="E251" s="1" t="s">
        <v>22</v>
      </c>
      <c r="F251" s="1">
        <f t="shared" si="14"/>
        <v>800</v>
      </c>
      <c r="G251" s="12">
        <f t="shared" si="15"/>
        <v>36.625</v>
      </c>
    </row>
    <row r="252" spans="1:7" ht="13">
      <c r="A252" s="4" t="s">
        <v>113</v>
      </c>
      <c r="B252" s="1">
        <v>4.3</v>
      </c>
      <c r="C252" s="1">
        <v>154</v>
      </c>
      <c r="D252" s="1" t="s">
        <v>33</v>
      </c>
      <c r="E252" s="1" t="s">
        <v>16</v>
      </c>
      <c r="F252" s="1">
        <f t="shared" si="14"/>
        <v>430</v>
      </c>
      <c r="G252" s="12">
        <f t="shared" si="15"/>
        <v>35.813953488372093</v>
      </c>
    </row>
    <row r="253" spans="1:7" ht="13">
      <c r="A253" s="4" t="s">
        <v>113</v>
      </c>
      <c r="B253" s="1">
        <v>6</v>
      </c>
      <c r="C253" s="1">
        <v>156</v>
      </c>
      <c r="D253" s="1" t="s">
        <v>33</v>
      </c>
      <c r="E253" s="1" t="s">
        <v>9</v>
      </c>
      <c r="F253" s="1">
        <f t="shared" si="14"/>
        <v>600</v>
      </c>
      <c r="G253" s="12">
        <f t="shared" si="15"/>
        <v>26</v>
      </c>
    </row>
    <row r="254" spans="1:7" ht="13">
      <c r="A254" s="4" t="s">
        <v>113</v>
      </c>
      <c r="B254" s="1">
        <v>6.72</v>
      </c>
      <c r="C254" s="1">
        <v>212.36</v>
      </c>
      <c r="D254" s="1" t="s">
        <v>33</v>
      </c>
      <c r="E254" s="1" t="s">
        <v>10</v>
      </c>
      <c r="F254" s="1">
        <f t="shared" si="14"/>
        <v>672</v>
      </c>
      <c r="G254" s="12">
        <f t="shared" si="15"/>
        <v>31.601190476190478</v>
      </c>
    </row>
    <row r="255" spans="1:7" ht="13">
      <c r="A255" s="4" t="s">
        <v>113</v>
      </c>
      <c r="B255" s="1">
        <v>7.8</v>
      </c>
      <c r="C255" s="1">
        <v>198</v>
      </c>
      <c r="D255" s="1" t="s">
        <v>33</v>
      </c>
      <c r="E255" s="1" t="s">
        <v>25</v>
      </c>
      <c r="F255" s="1">
        <f t="shared" si="14"/>
        <v>780</v>
      </c>
      <c r="G255" s="12">
        <f t="shared" si="15"/>
        <v>25.384615384615387</v>
      </c>
    </row>
    <row r="256" spans="1:7" ht="13">
      <c r="A256" s="4" t="s">
        <v>113</v>
      </c>
      <c r="B256" s="1">
        <v>6.5</v>
      </c>
      <c r="C256" s="1">
        <v>360</v>
      </c>
      <c r="D256" s="1" t="s">
        <v>11</v>
      </c>
      <c r="E256" s="1" t="s">
        <v>15</v>
      </c>
      <c r="F256" s="1">
        <f t="shared" si="14"/>
        <v>650</v>
      </c>
      <c r="G256" s="12">
        <f t="shared" si="15"/>
        <v>55.384615384615387</v>
      </c>
    </row>
    <row r="257" spans="1:7" ht="13">
      <c r="A257" s="4" t="s">
        <v>113</v>
      </c>
      <c r="B257" s="1">
        <v>5.0999999999999996</v>
      </c>
      <c r="C257" s="1">
        <v>149</v>
      </c>
      <c r="D257" s="1" t="s">
        <v>40</v>
      </c>
      <c r="E257" s="1" t="s">
        <v>15</v>
      </c>
      <c r="F257" s="1">
        <f t="shared" si="14"/>
        <v>509.99999999999994</v>
      </c>
      <c r="G257" s="12">
        <f t="shared" si="15"/>
        <v>29.215686274509807</v>
      </c>
    </row>
    <row r="258" spans="1:7" ht="13">
      <c r="A258" s="4" t="s">
        <v>113</v>
      </c>
      <c r="B258" s="1">
        <v>6.72</v>
      </c>
      <c r="C258" s="1">
        <v>168</v>
      </c>
      <c r="D258" s="1" t="s">
        <v>39</v>
      </c>
      <c r="E258" s="1" t="s">
        <v>25</v>
      </c>
      <c r="F258" s="1">
        <f t="shared" si="14"/>
        <v>672</v>
      </c>
      <c r="G258" s="12">
        <f t="shared" si="15"/>
        <v>25</v>
      </c>
    </row>
    <row r="259" spans="1:7" ht="13">
      <c r="A259" s="4" t="s">
        <v>113</v>
      </c>
      <c r="B259" s="1">
        <v>8.7200000000000006</v>
      </c>
      <c r="C259" s="1">
        <v>369</v>
      </c>
      <c r="D259" s="1" t="s">
        <v>47</v>
      </c>
      <c r="E259" s="1" t="s">
        <v>31</v>
      </c>
      <c r="F259" s="1">
        <f t="shared" ref="F259:F322" si="16">B259*100</f>
        <v>872.00000000000011</v>
      </c>
      <c r="G259" s="12">
        <f t="shared" ref="G259:G322" si="17">C259/B259</f>
        <v>42.316513761467888</v>
      </c>
    </row>
    <row r="260" spans="1:7" ht="13">
      <c r="A260" s="4" t="s">
        <v>113</v>
      </c>
      <c r="B260" s="1">
        <v>4</v>
      </c>
      <c r="C260" s="1">
        <v>210</v>
      </c>
      <c r="D260" s="1" t="s">
        <v>38</v>
      </c>
      <c r="E260" s="1" t="s">
        <v>24</v>
      </c>
      <c r="F260" s="1">
        <f t="shared" si="16"/>
        <v>400</v>
      </c>
      <c r="G260" s="12">
        <f t="shared" si="17"/>
        <v>52.5</v>
      </c>
    </row>
    <row r="261" spans="1:7" ht="13">
      <c r="A261" s="4" t="s">
        <v>113</v>
      </c>
      <c r="B261" s="1">
        <v>3.25</v>
      </c>
      <c r="C261" s="1">
        <v>143</v>
      </c>
      <c r="D261" s="1" t="s">
        <v>11</v>
      </c>
      <c r="E261" s="1" t="s">
        <v>22</v>
      </c>
      <c r="F261" s="1">
        <f t="shared" si="16"/>
        <v>325</v>
      </c>
      <c r="G261" s="12">
        <f t="shared" si="17"/>
        <v>44</v>
      </c>
    </row>
    <row r="262" spans="1:7" ht="13">
      <c r="A262" s="4" t="s">
        <v>113</v>
      </c>
      <c r="B262" s="1">
        <v>6.88</v>
      </c>
      <c r="C262" s="1">
        <v>218</v>
      </c>
      <c r="D262" s="1" t="s">
        <v>53</v>
      </c>
      <c r="E262" s="1" t="s">
        <v>16</v>
      </c>
      <c r="F262" s="1">
        <f t="shared" si="16"/>
        <v>688</v>
      </c>
      <c r="G262" s="12">
        <f t="shared" si="17"/>
        <v>31.686046511627907</v>
      </c>
    </row>
    <row r="263" spans="1:7" ht="13">
      <c r="A263" s="4" t="s">
        <v>113</v>
      </c>
      <c r="B263" s="1">
        <v>7.83</v>
      </c>
      <c r="C263" s="1">
        <v>265</v>
      </c>
      <c r="D263" s="1" t="s">
        <v>33</v>
      </c>
      <c r="E263" s="1" t="s">
        <v>9</v>
      </c>
      <c r="F263" s="1">
        <f t="shared" si="16"/>
        <v>783</v>
      </c>
      <c r="G263" s="12">
        <f t="shared" si="17"/>
        <v>33.844189016602812</v>
      </c>
    </row>
    <row r="264" spans="1:7" ht="13">
      <c r="A264" s="4" t="s">
        <v>113</v>
      </c>
      <c r="B264" s="1">
        <v>5.6</v>
      </c>
      <c r="C264" s="1">
        <v>151</v>
      </c>
      <c r="D264" s="1" t="s">
        <v>11</v>
      </c>
      <c r="E264" s="1" t="s">
        <v>21</v>
      </c>
      <c r="F264" s="1">
        <f t="shared" si="16"/>
        <v>560</v>
      </c>
      <c r="G264" s="12">
        <f t="shared" si="17"/>
        <v>26.964285714285715</v>
      </c>
    </row>
    <row r="265" spans="1:7" ht="13">
      <c r="A265" s="4" t="s">
        <v>113</v>
      </c>
      <c r="B265" s="1">
        <v>7.83</v>
      </c>
      <c r="C265" s="1">
        <v>295</v>
      </c>
      <c r="D265" s="1" t="s">
        <v>11</v>
      </c>
      <c r="E265" s="1" t="s">
        <v>21</v>
      </c>
      <c r="F265" s="1">
        <f t="shared" si="16"/>
        <v>783</v>
      </c>
      <c r="G265" s="12">
        <f t="shared" si="17"/>
        <v>37.675606641123885</v>
      </c>
    </row>
    <row r="266" spans="1:7" ht="13">
      <c r="A266" s="4" t="s">
        <v>113</v>
      </c>
      <c r="B266" s="1">
        <v>6.4</v>
      </c>
      <c r="C266" s="1">
        <v>307</v>
      </c>
      <c r="D266" s="1" t="s">
        <v>11</v>
      </c>
      <c r="E266" s="1" t="s">
        <v>8</v>
      </c>
      <c r="F266" s="1">
        <f t="shared" si="16"/>
        <v>640</v>
      </c>
      <c r="G266" s="12">
        <f t="shared" si="17"/>
        <v>47.96875</v>
      </c>
    </row>
    <row r="267" spans="1:7" ht="13">
      <c r="A267" s="4" t="s">
        <v>113</v>
      </c>
      <c r="B267" s="1">
        <v>7.5</v>
      </c>
      <c r="C267" s="1">
        <v>185.3</v>
      </c>
      <c r="D267" s="1" t="s">
        <v>47</v>
      </c>
      <c r="E267" s="1" t="s">
        <v>22</v>
      </c>
      <c r="F267" s="1">
        <f t="shared" si="16"/>
        <v>750</v>
      </c>
      <c r="G267" s="12">
        <f t="shared" si="17"/>
        <v>24.706666666666667</v>
      </c>
    </row>
    <row r="268" spans="1:7" ht="13">
      <c r="A268" s="4" t="s">
        <v>113</v>
      </c>
      <c r="B268" s="1">
        <v>7.74</v>
      </c>
      <c r="C268" s="1">
        <v>381.4</v>
      </c>
      <c r="D268" s="1" t="s">
        <v>11</v>
      </c>
      <c r="E268" s="1" t="s">
        <v>29</v>
      </c>
      <c r="F268" s="1">
        <f t="shared" si="16"/>
        <v>774</v>
      </c>
      <c r="G268" s="12">
        <f t="shared" si="17"/>
        <v>49.276485788113689</v>
      </c>
    </row>
    <row r="269" spans="1:7" ht="13">
      <c r="A269" s="4" t="s">
        <v>113</v>
      </c>
      <c r="B269" s="1">
        <v>7.47</v>
      </c>
      <c r="C269" s="1">
        <v>269</v>
      </c>
      <c r="D269" s="1" t="s">
        <v>33</v>
      </c>
      <c r="E269" s="1" t="s">
        <v>8</v>
      </c>
      <c r="F269" s="1">
        <f t="shared" si="16"/>
        <v>747</v>
      </c>
      <c r="G269" s="12">
        <f t="shared" si="17"/>
        <v>36.010709504685408</v>
      </c>
    </row>
    <row r="270" spans="1:7" ht="13">
      <c r="A270" s="4" t="s">
        <v>113</v>
      </c>
      <c r="B270" s="1">
        <v>5.6</v>
      </c>
      <c r="C270" s="1">
        <v>210</v>
      </c>
      <c r="D270" s="1" t="s">
        <v>53</v>
      </c>
      <c r="E270" s="1" t="s">
        <v>8</v>
      </c>
      <c r="F270" s="1">
        <f t="shared" si="16"/>
        <v>560</v>
      </c>
      <c r="G270" s="12">
        <f t="shared" si="17"/>
        <v>37.5</v>
      </c>
    </row>
    <row r="271" spans="1:7" ht="13">
      <c r="A271" s="4" t="s">
        <v>113</v>
      </c>
      <c r="B271" s="1">
        <v>4.5999999999999996</v>
      </c>
      <c r="C271" s="1">
        <v>188</v>
      </c>
      <c r="D271" s="1" t="s">
        <v>11</v>
      </c>
      <c r="E271" s="1" t="s">
        <v>9</v>
      </c>
      <c r="F271" s="1">
        <f t="shared" si="16"/>
        <v>459.99999999999994</v>
      </c>
      <c r="G271" s="12">
        <f t="shared" si="17"/>
        <v>40.869565217391305</v>
      </c>
    </row>
    <row r="272" spans="1:7" ht="13">
      <c r="A272" s="4" t="s">
        <v>113</v>
      </c>
      <c r="B272" s="1">
        <v>19.600000000000001</v>
      </c>
      <c r="C272" s="1">
        <v>585</v>
      </c>
      <c r="D272" s="1" t="s">
        <v>43</v>
      </c>
      <c r="E272" s="1" t="s">
        <v>23</v>
      </c>
      <c r="F272" s="1">
        <f t="shared" si="16"/>
        <v>1960.0000000000002</v>
      </c>
      <c r="G272" s="12">
        <f t="shared" si="17"/>
        <v>29.846938775510203</v>
      </c>
    </row>
    <row r="273" spans="1:7" ht="13">
      <c r="A273" s="4" t="s">
        <v>113</v>
      </c>
      <c r="B273" s="1">
        <v>8.1999999999999993</v>
      </c>
      <c r="C273" s="1">
        <v>315</v>
      </c>
      <c r="D273" s="1" t="s">
        <v>11</v>
      </c>
      <c r="E273" s="1" t="s">
        <v>12</v>
      </c>
      <c r="F273" s="1">
        <f t="shared" si="16"/>
        <v>819.99999999999989</v>
      </c>
      <c r="G273" s="12">
        <f t="shared" si="17"/>
        <v>38.41463414634147</v>
      </c>
    </row>
    <row r="274" spans="1:7" ht="13">
      <c r="A274" s="4" t="s">
        <v>113</v>
      </c>
      <c r="B274" s="1">
        <v>4.08</v>
      </c>
      <c r="C274" s="1">
        <v>131</v>
      </c>
      <c r="D274" s="1" t="s">
        <v>33</v>
      </c>
      <c r="E274" s="1" t="s">
        <v>26</v>
      </c>
      <c r="F274" s="1">
        <f t="shared" si="16"/>
        <v>408</v>
      </c>
      <c r="G274" s="12">
        <f t="shared" si="17"/>
        <v>32.107843137254903</v>
      </c>
    </row>
    <row r="275" spans="1:7" ht="13">
      <c r="A275" s="4" t="s">
        <v>113</v>
      </c>
      <c r="B275" s="1">
        <v>3</v>
      </c>
      <c r="C275" s="1">
        <v>192.6</v>
      </c>
      <c r="D275" s="1" t="s">
        <v>43</v>
      </c>
      <c r="E275" s="1" t="s">
        <v>18</v>
      </c>
      <c r="F275" s="1">
        <f t="shared" si="16"/>
        <v>300</v>
      </c>
      <c r="G275" s="12">
        <f t="shared" si="17"/>
        <v>64.2</v>
      </c>
    </row>
    <row r="276" spans="1:7" ht="13">
      <c r="A276" s="4" t="s">
        <v>113</v>
      </c>
      <c r="B276" s="1">
        <v>4.2</v>
      </c>
      <c r="C276" s="1">
        <v>209</v>
      </c>
      <c r="D276" s="1" t="s">
        <v>11</v>
      </c>
      <c r="E276" s="1" t="s">
        <v>25</v>
      </c>
      <c r="F276" s="1">
        <f t="shared" si="16"/>
        <v>420</v>
      </c>
      <c r="G276" s="12">
        <f t="shared" si="17"/>
        <v>49.761904761904759</v>
      </c>
    </row>
    <row r="277" spans="1:7" ht="13">
      <c r="A277" s="4" t="s">
        <v>113</v>
      </c>
      <c r="B277" s="1">
        <v>7.74</v>
      </c>
      <c r="C277" s="1">
        <v>269</v>
      </c>
      <c r="D277" s="1" t="s">
        <v>11</v>
      </c>
      <c r="E277" s="1" t="s">
        <v>25</v>
      </c>
      <c r="F277" s="1">
        <f t="shared" si="16"/>
        <v>774</v>
      </c>
      <c r="G277" s="12">
        <f t="shared" si="17"/>
        <v>34.754521963824288</v>
      </c>
    </row>
    <row r="278" spans="1:7" ht="13">
      <c r="A278" s="4" t="s">
        <v>113</v>
      </c>
      <c r="B278" s="1">
        <v>4.7</v>
      </c>
      <c r="C278" s="1">
        <v>204</v>
      </c>
      <c r="D278" s="1" t="s">
        <v>11</v>
      </c>
      <c r="E278" s="1" t="s">
        <v>18</v>
      </c>
      <c r="F278" s="1">
        <f t="shared" si="16"/>
        <v>470</v>
      </c>
      <c r="G278" s="12">
        <f t="shared" si="17"/>
        <v>43.404255319148938</v>
      </c>
    </row>
    <row r="279" spans="1:7" ht="13">
      <c r="A279" s="4" t="s">
        <v>113</v>
      </c>
      <c r="B279" s="1">
        <v>5.59</v>
      </c>
      <c r="C279" s="1">
        <v>178</v>
      </c>
      <c r="D279" s="1" t="s">
        <v>36</v>
      </c>
      <c r="E279" s="1" t="s">
        <v>9</v>
      </c>
      <c r="F279" s="1">
        <f t="shared" si="16"/>
        <v>559</v>
      </c>
      <c r="G279" s="12">
        <f t="shared" si="17"/>
        <v>31.842576028622542</v>
      </c>
    </row>
    <row r="280" spans="1:7" ht="13">
      <c r="A280" s="4" t="s">
        <v>113</v>
      </c>
      <c r="B280" s="1">
        <v>8.6</v>
      </c>
      <c r="C280" s="1">
        <v>400</v>
      </c>
      <c r="D280" s="1" t="s">
        <v>11</v>
      </c>
      <c r="E280" s="1" t="s">
        <v>68</v>
      </c>
      <c r="F280" s="1">
        <f t="shared" si="16"/>
        <v>860</v>
      </c>
      <c r="G280" s="12">
        <f t="shared" si="17"/>
        <v>46.511627906976749</v>
      </c>
    </row>
    <row r="281" spans="1:7" ht="13">
      <c r="A281" s="4" t="s">
        <v>113</v>
      </c>
      <c r="B281" s="1">
        <v>7</v>
      </c>
      <c r="C281" s="1">
        <v>170</v>
      </c>
      <c r="D281" s="1" t="s">
        <v>33</v>
      </c>
      <c r="E281" s="1" t="s">
        <v>8</v>
      </c>
      <c r="F281" s="1">
        <f t="shared" si="16"/>
        <v>700</v>
      </c>
      <c r="G281" s="12">
        <f t="shared" si="17"/>
        <v>24.285714285714285</v>
      </c>
    </row>
    <row r="282" spans="1:7" ht="13">
      <c r="A282" s="4" t="s">
        <v>113</v>
      </c>
      <c r="B282" s="1">
        <v>6</v>
      </c>
      <c r="C282" s="1">
        <v>231</v>
      </c>
      <c r="D282" s="1" t="s">
        <v>11</v>
      </c>
      <c r="E282" s="1" t="s">
        <v>14</v>
      </c>
      <c r="F282" s="1">
        <f t="shared" si="16"/>
        <v>600</v>
      </c>
      <c r="G282" s="12">
        <f t="shared" si="17"/>
        <v>38.5</v>
      </c>
    </row>
    <row r="283" spans="1:7" ht="13">
      <c r="A283" s="4" t="s">
        <v>113</v>
      </c>
      <c r="B283" s="1">
        <v>8.5</v>
      </c>
      <c r="C283" s="1">
        <v>359</v>
      </c>
      <c r="D283" s="1" t="s">
        <v>11</v>
      </c>
      <c r="E283" s="1" t="s">
        <v>12</v>
      </c>
      <c r="F283" s="1">
        <f t="shared" si="16"/>
        <v>850</v>
      </c>
      <c r="G283" s="12">
        <f t="shared" si="17"/>
        <v>42.235294117647058</v>
      </c>
    </row>
    <row r="284" spans="1:7" ht="13">
      <c r="A284" s="4" t="s">
        <v>113</v>
      </c>
      <c r="B284" s="1">
        <v>16.5</v>
      </c>
      <c r="C284" s="1">
        <v>750</v>
      </c>
      <c r="D284" s="1" t="s">
        <v>45</v>
      </c>
      <c r="E284" s="1" t="s">
        <v>25</v>
      </c>
      <c r="F284" s="1">
        <f t="shared" si="16"/>
        <v>1650</v>
      </c>
      <c r="G284" s="12">
        <f t="shared" si="17"/>
        <v>45.454545454545453</v>
      </c>
    </row>
    <row r="285" spans="1:7" ht="13">
      <c r="A285" s="4" t="s">
        <v>113</v>
      </c>
      <c r="B285" s="1">
        <v>7.4</v>
      </c>
      <c r="C285" s="1">
        <v>231</v>
      </c>
      <c r="D285" s="1" t="s">
        <v>33</v>
      </c>
      <c r="E285" s="1" t="s">
        <v>17</v>
      </c>
      <c r="F285" s="1">
        <f t="shared" si="16"/>
        <v>740</v>
      </c>
      <c r="G285" s="12">
        <f t="shared" si="17"/>
        <v>31.216216216216214</v>
      </c>
    </row>
    <row r="286" spans="1:7" ht="13">
      <c r="A286" s="4" t="s">
        <v>113</v>
      </c>
      <c r="B286" s="1">
        <v>6.45</v>
      </c>
      <c r="C286" s="1">
        <v>262</v>
      </c>
      <c r="D286" s="1" t="s">
        <v>11</v>
      </c>
      <c r="E286" s="1" t="s">
        <v>30</v>
      </c>
      <c r="F286" s="1">
        <f t="shared" si="16"/>
        <v>645</v>
      </c>
      <c r="G286" s="12">
        <f t="shared" si="17"/>
        <v>40.620155038759691</v>
      </c>
    </row>
    <row r="287" spans="1:7" ht="13">
      <c r="A287" s="4" t="s">
        <v>113</v>
      </c>
      <c r="B287" s="1">
        <v>9.1300000000000008</v>
      </c>
      <c r="C287" s="1">
        <v>380</v>
      </c>
      <c r="D287" s="1" t="s">
        <v>11</v>
      </c>
      <c r="E287" s="1" t="s">
        <v>19</v>
      </c>
      <c r="F287" s="1">
        <f t="shared" si="16"/>
        <v>913.00000000000011</v>
      </c>
      <c r="G287" s="12">
        <f t="shared" si="17"/>
        <v>41.621029572836797</v>
      </c>
    </row>
    <row r="288" spans="1:7" ht="13">
      <c r="A288" s="4" t="s">
        <v>113</v>
      </c>
      <c r="B288" s="1">
        <v>8.32</v>
      </c>
      <c r="C288" s="1">
        <v>326</v>
      </c>
      <c r="D288" s="1" t="s">
        <v>11</v>
      </c>
      <c r="E288" s="1" t="s">
        <v>19</v>
      </c>
      <c r="F288" s="1">
        <f t="shared" si="16"/>
        <v>832</v>
      </c>
      <c r="G288" s="12">
        <f t="shared" si="17"/>
        <v>39.182692307692307</v>
      </c>
    </row>
    <row r="289" spans="1:7" ht="13">
      <c r="A289" s="4" t="s">
        <v>113</v>
      </c>
      <c r="B289" s="1">
        <v>32</v>
      </c>
      <c r="C289" s="1">
        <v>600</v>
      </c>
      <c r="D289" s="1" t="s">
        <v>40</v>
      </c>
      <c r="E289" s="1" t="s">
        <v>69</v>
      </c>
      <c r="F289" s="1">
        <f t="shared" si="16"/>
        <v>3200</v>
      </c>
      <c r="G289" s="12">
        <f t="shared" si="17"/>
        <v>18.75</v>
      </c>
    </row>
    <row r="290" spans="1:7" ht="13">
      <c r="A290" s="4" t="s">
        <v>113</v>
      </c>
      <c r="B290" s="1">
        <v>5.22</v>
      </c>
      <c r="C290" s="1">
        <v>184</v>
      </c>
      <c r="D290" s="1" t="s">
        <v>45</v>
      </c>
      <c r="E290" s="1" t="s">
        <v>15</v>
      </c>
      <c r="F290" s="1">
        <f t="shared" si="16"/>
        <v>522</v>
      </c>
      <c r="G290" s="12">
        <f t="shared" si="17"/>
        <v>35.249042145593869</v>
      </c>
    </row>
    <row r="291" spans="1:7" ht="13">
      <c r="A291" s="4" t="s">
        <v>113</v>
      </c>
      <c r="B291" s="1">
        <v>2.6</v>
      </c>
      <c r="C291" s="1">
        <v>130</v>
      </c>
      <c r="D291" s="1" t="s">
        <v>11</v>
      </c>
      <c r="E291" s="1" t="s">
        <v>15</v>
      </c>
      <c r="F291" s="1">
        <f t="shared" si="16"/>
        <v>260</v>
      </c>
      <c r="G291" s="12">
        <f t="shared" si="17"/>
        <v>50</v>
      </c>
    </row>
    <row r="292" spans="1:7" ht="13">
      <c r="A292" s="4" t="s">
        <v>113</v>
      </c>
      <c r="B292" s="1">
        <v>7</v>
      </c>
      <c r="C292" s="1">
        <v>246</v>
      </c>
      <c r="D292" s="1" t="s">
        <v>33</v>
      </c>
      <c r="E292" s="1" t="s">
        <v>7</v>
      </c>
      <c r="F292" s="1">
        <f t="shared" si="16"/>
        <v>700</v>
      </c>
      <c r="G292" s="12">
        <f t="shared" si="17"/>
        <v>35.142857142857146</v>
      </c>
    </row>
    <row r="293" spans="1:7" ht="13">
      <c r="A293" s="4" t="s">
        <v>113</v>
      </c>
      <c r="B293" s="1">
        <v>6.8</v>
      </c>
      <c r="C293" s="1">
        <v>211</v>
      </c>
      <c r="D293" s="1" t="s">
        <v>33</v>
      </c>
      <c r="E293" s="1" t="s">
        <v>20</v>
      </c>
      <c r="F293" s="1">
        <f t="shared" si="16"/>
        <v>680</v>
      </c>
      <c r="G293" s="12">
        <f t="shared" si="17"/>
        <v>31.029411764705884</v>
      </c>
    </row>
    <row r="294" spans="1:7" ht="13">
      <c r="A294" s="4" t="s">
        <v>113</v>
      </c>
      <c r="B294" s="1">
        <v>7.7</v>
      </c>
      <c r="C294" s="1">
        <v>265</v>
      </c>
      <c r="D294" s="1" t="s">
        <v>53</v>
      </c>
      <c r="E294" s="1" t="s">
        <v>17</v>
      </c>
      <c r="F294" s="1">
        <f t="shared" si="16"/>
        <v>770</v>
      </c>
      <c r="G294" s="12">
        <f t="shared" si="17"/>
        <v>34.415584415584412</v>
      </c>
    </row>
    <row r="295" spans="1:7" ht="13">
      <c r="A295" s="4" t="s">
        <v>113</v>
      </c>
      <c r="B295" s="1">
        <v>7.29</v>
      </c>
      <c r="C295" s="1">
        <v>372</v>
      </c>
      <c r="D295" s="1" t="s">
        <v>11</v>
      </c>
      <c r="E295" s="1" t="s">
        <v>27</v>
      </c>
      <c r="F295" s="1">
        <f t="shared" si="16"/>
        <v>729</v>
      </c>
      <c r="G295" s="12">
        <f t="shared" si="17"/>
        <v>51.028806584362137</v>
      </c>
    </row>
    <row r="296" spans="1:7" ht="13">
      <c r="A296" s="4" t="s">
        <v>113</v>
      </c>
      <c r="B296" s="1">
        <v>6.9</v>
      </c>
      <c r="C296" s="1">
        <v>289</v>
      </c>
      <c r="D296" s="1" t="s">
        <v>11</v>
      </c>
      <c r="E296" s="1" t="s">
        <v>22</v>
      </c>
      <c r="F296" s="1">
        <f t="shared" si="16"/>
        <v>690</v>
      </c>
      <c r="G296" s="12">
        <f t="shared" si="17"/>
        <v>41.884057971014492</v>
      </c>
    </row>
    <row r="297" spans="1:7" ht="13">
      <c r="A297" s="4" t="s">
        <v>113</v>
      </c>
      <c r="B297" s="1">
        <v>3.9</v>
      </c>
      <c r="C297" s="1">
        <v>147</v>
      </c>
      <c r="D297" s="1" t="s">
        <v>11</v>
      </c>
      <c r="E297" s="1" t="s">
        <v>15</v>
      </c>
      <c r="F297" s="1">
        <f t="shared" si="16"/>
        <v>390</v>
      </c>
      <c r="G297" s="12">
        <f t="shared" si="17"/>
        <v>37.692307692307693</v>
      </c>
    </row>
    <row r="298" spans="1:7" ht="13">
      <c r="A298" s="4" t="s">
        <v>113</v>
      </c>
      <c r="B298" s="1">
        <v>6.3</v>
      </c>
      <c r="C298" s="1">
        <v>204</v>
      </c>
      <c r="D298" s="1" t="s">
        <v>39</v>
      </c>
      <c r="E298" s="1" t="s">
        <v>15</v>
      </c>
      <c r="F298" s="1">
        <f t="shared" si="16"/>
        <v>630</v>
      </c>
      <c r="G298" s="12">
        <f t="shared" si="17"/>
        <v>32.38095238095238</v>
      </c>
    </row>
    <row r="299" spans="1:7" ht="13">
      <c r="A299" s="4" t="s">
        <v>113</v>
      </c>
      <c r="B299" s="1">
        <v>7.2</v>
      </c>
      <c r="C299" s="1">
        <v>252</v>
      </c>
      <c r="D299" s="1" t="s">
        <v>43</v>
      </c>
      <c r="E299" s="1" t="s">
        <v>17</v>
      </c>
      <c r="F299" s="1">
        <f t="shared" si="16"/>
        <v>720</v>
      </c>
      <c r="G299" s="12">
        <f t="shared" si="17"/>
        <v>35</v>
      </c>
    </row>
    <row r="300" spans="1:7" ht="13">
      <c r="A300" s="4" t="s">
        <v>113</v>
      </c>
      <c r="B300" s="1">
        <v>6.02</v>
      </c>
      <c r="C300" s="1">
        <v>249</v>
      </c>
      <c r="D300" s="1" t="s">
        <v>47</v>
      </c>
      <c r="E300" s="1" t="s">
        <v>20</v>
      </c>
      <c r="F300" s="1">
        <f t="shared" si="16"/>
        <v>602</v>
      </c>
      <c r="G300" s="12">
        <f t="shared" si="17"/>
        <v>41.362126245847179</v>
      </c>
    </row>
    <row r="301" spans="1:7" ht="13">
      <c r="A301" s="4" t="s">
        <v>113</v>
      </c>
      <c r="B301" s="1">
        <v>6.8</v>
      </c>
      <c r="C301" s="1">
        <v>298</v>
      </c>
      <c r="D301" s="1" t="s">
        <v>11</v>
      </c>
      <c r="E301" s="1" t="s">
        <v>23</v>
      </c>
      <c r="F301" s="1">
        <f t="shared" si="16"/>
        <v>680</v>
      </c>
      <c r="G301" s="12">
        <f t="shared" si="17"/>
        <v>43.82352941176471</v>
      </c>
    </row>
    <row r="302" spans="1:7" ht="13">
      <c r="A302" s="4" t="s">
        <v>113</v>
      </c>
      <c r="B302" s="1">
        <v>4.2</v>
      </c>
      <c r="C302" s="1">
        <v>218.07</v>
      </c>
      <c r="D302" s="1" t="s">
        <v>11</v>
      </c>
      <c r="E302" s="1" t="s">
        <v>16</v>
      </c>
      <c r="F302" s="1">
        <f t="shared" si="16"/>
        <v>420</v>
      </c>
      <c r="G302" s="12">
        <f t="shared" si="17"/>
        <v>51.921428571428571</v>
      </c>
    </row>
    <row r="303" spans="1:7" ht="13">
      <c r="A303" s="4" t="s">
        <v>113</v>
      </c>
      <c r="B303" s="1">
        <v>2.25</v>
      </c>
      <c r="C303" s="1">
        <v>72</v>
      </c>
      <c r="D303" s="1" t="s">
        <v>55</v>
      </c>
      <c r="E303" s="1" t="s">
        <v>15</v>
      </c>
      <c r="F303" s="1">
        <f t="shared" si="16"/>
        <v>225</v>
      </c>
      <c r="G303" s="12">
        <f t="shared" si="17"/>
        <v>32</v>
      </c>
    </row>
    <row r="304" spans="1:7" ht="13">
      <c r="A304" s="4" t="s">
        <v>113</v>
      </c>
      <c r="B304" s="1">
        <v>9.1300000000000008</v>
      </c>
      <c r="C304" s="1">
        <v>298</v>
      </c>
      <c r="D304" s="1" t="s">
        <v>33</v>
      </c>
      <c r="E304" s="1" t="s">
        <v>20</v>
      </c>
      <c r="F304" s="1">
        <f t="shared" si="16"/>
        <v>913.00000000000011</v>
      </c>
      <c r="G304" s="12">
        <f t="shared" si="17"/>
        <v>32.639649507119387</v>
      </c>
    </row>
    <row r="305" spans="1:7" ht="13">
      <c r="A305" s="4" t="s">
        <v>113</v>
      </c>
      <c r="B305" s="1">
        <v>5.52</v>
      </c>
      <c r="C305" s="1">
        <v>279</v>
      </c>
      <c r="D305" s="1" t="s">
        <v>11</v>
      </c>
      <c r="E305" s="1" t="s">
        <v>26</v>
      </c>
      <c r="F305" s="1">
        <f t="shared" si="16"/>
        <v>552</v>
      </c>
      <c r="G305" s="12">
        <f t="shared" si="17"/>
        <v>50.54347826086957</v>
      </c>
    </row>
    <row r="306" spans="1:7" ht="13">
      <c r="A306" s="4" t="s">
        <v>113</v>
      </c>
      <c r="B306" s="1">
        <v>5.2</v>
      </c>
      <c r="C306" s="1">
        <v>210</v>
      </c>
      <c r="D306" s="1" t="s">
        <v>43</v>
      </c>
      <c r="E306" s="1" t="s">
        <v>18</v>
      </c>
      <c r="F306" s="1">
        <f t="shared" si="16"/>
        <v>520</v>
      </c>
      <c r="G306" s="12">
        <f t="shared" si="17"/>
        <v>40.38461538461538</v>
      </c>
    </row>
    <row r="307" spans="1:7" ht="13">
      <c r="A307" s="4" t="s">
        <v>113</v>
      </c>
      <c r="B307" s="1">
        <v>6.96</v>
      </c>
      <c r="C307" s="1">
        <v>316</v>
      </c>
      <c r="D307" s="1" t="s">
        <v>11</v>
      </c>
      <c r="E307" s="1" t="s">
        <v>20</v>
      </c>
      <c r="F307" s="1">
        <f t="shared" si="16"/>
        <v>696</v>
      </c>
      <c r="G307" s="12">
        <f t="shared" si="17"/>
        <v>45.402298850574709</v>
      </c>
    </row>
    <row r="308" spans="1:7" ht="13">
      <c r="A308" s="4" t="s">
        <v>113</v>
      </c>
      <c r="B308" s="1">
        <v>7.39</v>
      </c>
      <c r="C308" s="1">
        <v>251</v>
      </c>
      <c r="D308" s="1" t="s">
        <v>52</v>
      </c>
      <c r="E308" s="1" t="s">
        <v>25</v>
      </c>
      <c r="F308" s="1">
        <f t="shared" si="16"/>
        <v>739</v>
      </c>
      <c r="G308" s="12">
        <f t="shared" si="17"/>
        <v>33.964817320703652</v>
      </c>
    </row>
    <row r="309" spans="1:7" ht="13">
      <c r="A309" s="4" t="s">
        <v>113</v>
      </c>
      <c r="B309" s="1">
        <v>6.88</v>
      </c>
      <c r="C309" s="1">
        <v>230</v>
      </c>
      <c r="D309" s="1" t="s">
        <v>33</v>
      </c>
      <c r="E309" s="1" t="s">
        <v>8</v>
      </c>
      <c r="F309" s="1">
        <f t="shared" si="16"/>
        <v>688</v>
      </c>
      <c r="G309" s="12">
        <f t="shared" si="17"/>
        <v>33.430232558139537</v>
      </c>
    </row>
    <row r="310" spans="1:7" ht="13">
      <c r="A310" s="4" t="s">
        <v>113</v>
      </c>
      <c r="B310" s="1">
        <v>4.8</v>
      </c>
      <c r="C310" s="1">
        <v>122</v>
      </c>
      <c r="D310" s="1" t="s">
        <v>11</v>
      </c>
      <c r="E310" s="1" t="s">
        <v>10</v>
      </c>
      <c r="F310" s="1">
        <f t="shared" si="16"/>
        <v>480</v>
      </c>
      <c r="G310" s="12">
        <f t="shared" si="17"/>
        <v>25.416666666666668</v>
      </c>
    </row>
    <row r="311" spans="1:7" ht="13">
      <c r="A311" s="4" t="s">
        <v>113</v>
      </c>
      <c r="B311" s="1">
        <v>5.5</v>
      </c>
      <c r="C311" s="1">
        <v>192</v>
      </c>
      <c r="D311" s="1" t="s">
        <v>43</v>
      </c>
      <c r="E311" s="1" t="s">
        <v>25</v>
      </c>
      <c r="F311" s="1">
        <f t="shared" si="16"/>
        <v>550</v>
      </c>
      <c r="G311" s="12">
        <f t="shared" si="17"/>
        <v>34.909090909090907</v>
      </c>
    </row>
    <row r="312" spans="1:7" ht="13">
      <c r="A312" s="4" t="s">
        <v>113</v>
      </c>
      <c r="B312" s="1">
        <v>9</v>
      </c>
      <c r="C312" s="1">
        <v>240.34</v>
      </c>
      <c r="D312" s="1" t="s">
        <v>33</v>
      </c>
      <c r="E312" s="1" t="s">
        <v>12</v>
      </c>
      <c r="F312" s="1">
        <f t="shared" si="16"/>
        <v>900</v>
      </c>
      <c r="G312" s="12">
        <f t="shared" si="17"/>
        <v>26.704444444444444</v>
      </c>
    </row>
    <row r="313" spans="1:7" ht="13">
      <c r="A313" s="4" t="s">
        <v>114</v>
      </c>
      <c r="B313" s="1">
        <v>7.5</v>
      </c>
      <c r="C313" s="1">
        <v>402</v>
      </c>
      <c r="D313" s="1" t="s">
        <v>11</v>
      </c>
      <c r="E313" s="1" t="s">
        <v>7</v>
      </c>
      <c r="F313" s="1">
        <f t="shared" si="16"/>
        <v>750</v>
      </c>
      <c r="G313" s="12">
        <f t="shared" si="17"/>
        <v>53.6</v>
      </c>
    </row>
    <row r="314" spans="1:7" ht="13">
      <c r="A314" s="4" t="s">
        <v>114</v>
      </c>
      <c r="B314" s="1">
        <v>5.2</v>
      </c>
      <c r="C314" s="1">
        <v>366.3</v>
      </c>
      <c r="D314" s="1" t="s">
        <v>39</v>
      </c>
      <c r="E314" s="1" t="s">
        <v>25</v>
      </c>
      <c r="F314" s="1">
        <f t="shared" si="16"/>
        <v>520</v>
      </c>
      <c r="G314" s="12">
        <f t="shared" si="17"/>
        <v>70.442307692307693</v>
      </c>
    </row>
    <row r="315" spans="1:7" ht="13">
      <c r="A315" s="4" t="s">
        <v>114</v>
      </c>
      <c r="B315" s="1">
        <v>5.6</v>
      </c>
      <c r="C315" s="1">
        <v>291</v>
      </c>
      <c r="D315" s="1" t="s">
        <v>33</v>
      </c>
      <c r="E315" s="1" t="s">
        <v>16</v>
      </c>
      <c r="F315" s="1">
        <f t="shared" si="16"/>
        <v>560</v>
      </c>
      <c r="G315" s="12">
        <f t="shared" si="17"/>
        <v>51.964285714285715</v>
      </c>
    </row>
    <row r="316" spans="1:7" ht="13">
      <c r="A316" s="4" t="s">
        <v>114</v>
      </c>
      <c r="B316" s="1">
        <v>8</v>
      </c>
      <c r="C316" s="1">
        <v>431</v>
      </c>
      <c r="D316" s="1" t="s">
        <v>33</v>
      </c>
      <c r="E316" s="1" t="s">
        <v>17</v>
      </c>
      <c r="F316" s="1">
        <f t="shared" si="16"/>
        <v>800</v>
      </c>
      <c r="G316" s="12">
        <f t="shared" si="17"/>
        <v>53.875</v>
      </c>
    </row>
    <row r="317" spans="1:7" ht="13">
      <c r="A317" s="4" t="s">
        <v>114</v>
      </c>
      <c r="B317" s="1">
        <v>6</v>
      </c>
      <c r="C317" s="1">
        <v>360</v>
      </c>
      <c r="D317" s="1" t="s">
        <v>11</v>
      </c>
      <c r="E317" s="1" t="s">
        <v>9</v>
      </c>
      <c r="F317" s="1">
        <f t="shared" si="16"/>
        <v>600</v>
      </c>
      <c r="G317" s="12">
        <f t="shared" si="17"/>
        <v>60</v>
      </c>
    </row>
    <row r="318" spans="1:7" ht="13">
      <c r="A318" s="4" t="s">
        <v>114</v>
      </c>
      <c r="B318" s="1">
        <v>9.1</v>
      </c>
      <c r="C318" s="1">
        <v>548</v>
      </c>
      <c r="D318" s="1" t="s">
        <v>44</v>
      </c>
      <c r="E318" s="1" t="s">
        <v>8</v>
      </c>
      <c r="F318" s="1">
        <f t="shared" si="16"/>
        <v>910</v>
      </c>
      <c r="G318" s="12">
        <f t="shared" si="17"/>
        <v>60.219780219780219</v>
      </c>
    </row>
    <row r="319" spans="1:7" ht="13">
      <c r="A319" s="4" t="s">
        <v>114</v>
      </c>
      <c r="B319" s="1">
        <v>5.4</v>
      </c>
      <c r="C319" s="1">
        <v>432</v>
      </c>
      <c r="D319" s="1" t="s">
        <v>11</v>
      </c>
      <c r="E319" s="1" t="s">
        <v>8</v>
      </c>
      <c r="F319" s="1">
        <f t="shared" si="16"/>
        <v>540</v>
      </c>
      <c r="G319" s="12">
        <f t="shared" si="17"/>
        <v>80</v>
      </c>
    </row>
    <row r="320" spans="1:7" ht="13">
      <c r="A320" s="4" t="s">
        <v>114</v>
      </c>
      <c r="B320" s="1">
        <v>5</v>
      </c>
      <c r="C320" s="1">
        <v>421</v>
      </c>
      <c r="D320" s="1" t="s">
        <v>11</v>
      </c>
      <c r="E320" s="1" t="s">
        <v>8</v>
      </c>
      <c r="F320" s="1">
        <f t="shared" si="16"/>
        <v>500</v>
      </c>
      <c r="G320" s="12">
        <f t="shared" si="17"/>
        <v>84.2</v>
      </c>
    </row>
    <row r="321" spans="1:7" ht="13">
      <c r="A321" s="4" t="s">
        <v>114</v>
      </c>
      <c r="B321" s="1">
        <v>7</v>
      </c>
      <c r="C321" s="1">
        <v>402</v>
      </c>
      <c r="D321" s="1" t="s">
        <v>33</v>
      </c>
      <c r="E321" s="1" t="s">
        <v>20</v>
      </c>
      <c r="F321" s="1">
        <f t="shared" si="16"/>
        <v>700</v>
      </c>
      <c r="G321" s="12">
        <f t="shared" si="17"/>
        <v>57.428571428571431</v>
      </c>
    </row>
    <row r="322" spans="1:7" ht="13">
      <c r="A322" s="4" t="s">
        <v>114</v>
      </c>
      <c r="B322" s="1">
        <v>5.2</v>
      </c>
      <c r="C322" s="1">
        <v>256</v>
      </c>
      <c r="D322" s="1" t="s">
        <v>59</v>
      </c>
      <c r="E322" s="1" t="s">
        <v>16</v>
      </c>
      <c r="F322" s="1">
        <f t="shared" si="16"/>
        <v>520</v>
      </c>
      <c r="G322" s="12">
        <f t="shared" si="17"/>
        <v>49.230769230769226</v>
      </c>
    </row>
    <row r="323" spans="1:7" ht="13">
      <c r="A323" s="4" t="s">
        <v>114</v>
      </c>
      <c r="B323" s="1">
        <v>6</v>
      </c>
      <c r="C323" s="1">
        <v>372</v>
      </c>
      <c r="D323" s="1" t="s">
        <v>11</v>
      </c>
      <c r="E323" s="1" t="s">
        <v>68</v>
      </c>
      <c r="F323" s="1">
        <f t="shared" ref="F323:F386" si="18">B323*100</f>
        <v>600</v>
      </c>
      <c r="G323" s="12">
        <f t="shared" ref="G323:G386" si="19">C323/B323</f>
        <v>62</v>
      </c>
    </row>
    <row r="324" spans="1:7" ht="13">
      <c r="A324" s="4" t="s">
        <v>114</v>
      </c>
      <c r="B324" s="1">
        <v>8</v>
      </c>
      <c r="C324" s="1">
        <v>312</v>
      </c>
      <c r="D324" s="1" t="s">
        <v>40</v>
      </c>
      <c r="E324" s="1" t="s">
        <v>27</v>
      </c>
      <c r="F324" s="1">
        <f t="shared" si="18"/>
        <v>800</v>
      </c>
      <c r="G324" s="12">
        <f t="shared" si="19"/>
        <v>39</v>
      </c>
    </row>
    <row r="325" spans="1:7" ht="13">
      <c r="A325" s="4" t="s">
        <v>114</v>
      </c>
      <c r="B325" s="1">
        <v>5.915</v>
      </c>
      <c r="C325" s="1">
        <v>335</v>
      </c>
      <c r="D325" s="1" t="s">
        <v>55</v>
      </c>
      <c r="E325" s="1" t="s">
        <v>24</v>
      </c>
      <c r="F325" s="1">
        <f t="shared" si="18"/>
        <v>591.5</v>
      </c>
      <c r="G325" s="12">
        <f t="shared" si="19"/>
        <v>56.635672020287402</v>
      </c>
    </row>
    <row r="326" spans="1:7" ht="13">
      <c r="A326" s="4" t="s">
        <v>114</v>
      </c>
      <c r="B326" s="1">
        <v>6.4</v>
      </c>
      <c r="C326" s="1">
        <v>415</v>
      </c>
      <c r="D326" s="1" t="s">
        <v>11</v>
      </c>
      <c r="E326" s="1" t="s">
        <v>25</v>
      </c>
      <c r="F326" s="1">
        <f t="shared" si="18"/>
        <v>640</v>
      </c>
      <c r="G326" s="12">
        <f t="shared" si="19"/>
        <v>64.84375</v>
      </c>
    </row>
    <row r="327" spans="1:7" ht="13">
      <c r="A327" s="4" t="s">
        <v>114</v>
      </c>
      <c r="B327" s="1">
        <v>5.22</v>
      </c>
      <c r="C327" s="1">
        <v>331</v>
      </c>
      <c r="D327" s="1" t="s">
        <v>50</v>
      </c>
      <c r="E327" s="1" t="s">
        <v>16</v>
      </c>
      <c r="F327" s="1">
        <f t="shared" si="18"/>
        <v>522</v>
      </c>
      <c r="G327" s="12">
        <f t="shared" si="19"/>
        <v>63.40996168582376</v>
      </c>
    </row>
    <row r="328" spans="1:7" ht="13">
      <c r="A328" s="4" t="s">
        <v>114</v>
      </c>
      <c r="B328" s="1">
        <v>5.4</v>
      </c>
      <c r="C328" s="1">
        <v>364</v>
      </c>
      <c r="D328" s="1" t="s">
        <v>33</v>
      </c>
      <c r="E328" s="1" t="s">
        <v>17</v>
      </c>
      <c r="F328" s="1">
        <f t="shared" si="18"/>
        <v>540</v>
      </c>
      <c r="G328" s="12">
        <f t="shared" si="19"/>
        <v>67.407407407407405</v>
      </c>
    </row>
    <row r="329" spans="1:7" ht="13">
      <c r="A329" s="4" t="s">
        <v>114</v>
      </c>
      <c r="B329" s="1">
        <v>6.03</v>
      </c>
      <c r="C329" s="1">
        <v>432</v>
      </c>
      <c r="D329" s="1" t="s">
        <v>47</v>
      </c>
      <c r="E329" s="1" t="s">
        <v>20</v>
      </c>
      <c r="F329" s="1">
        <f t="shared" si="18"/>
        <v>603</v>
      </c>
      <c r="G329" s="12">
        <f t="shared" si="19"/>
        <v>71.641791044776113</v>
      </c>
    </row>
    <row r="330" spans="1:7" ht="13">
      <c r="A330" s="4" t="s">
        <v>114</v>
      </c>
      <c r="B330" s="1">
        <v>5</v>
      </c>
      <c r="C330" s="1">
        <v>256</v>
      </c>
      <c r="D330" s="1" t="s">
        <v>33</v>
      </c>
      <c r="E330" s="1" t="s">
        <v>15</v>
      </c>
      <c r="F330" s="1">
        <f t="shared" si="18"/>
        <v>500</v>
      </c>
      <c r="G330" s="12">
        <f t="shared" si="19"/>
        <v>51.2</v>
      </c>
    </row>
    <row r="331" spans="1:7" ht="13">
      <c r="A331" s="4" t="s">
        <v>114</v>
      </c>
      <c r="B331" s="1">
        <v>4</v>
      </c>
      <c r="C331" s="1">
        <v>231</v>
      </c>
      <c r="D331" s="1" t="s">
        <v>33</v>
      </c>
      <c r="E331" s="1" t="s">
        <v>8</v>
      </c>
      <c r="F331" s="1">
        <f t="shared" si="18"/>
        <v>400</v>
      </c>
      <c r="G331" s="12">
        <f t="shared" si="19"/>
        <v>57.75</v>
      </c>
    </row>
    <row r="332" spans="1:7" ht="13">
      <c r="A332" s="4" t="s">
        <v>114</v>
      </c>
      <c r="B332" s="1">
        <v>4</v>
      </c>
      <c r="C332" s="1">
        <v>319</v>
      </c>
      <c r="D332" s="1" t="s">
        <v>11</v>
      </c>
      <c r="E332" s="1" t="s">
        <v>24</v>
      </c>
      <c r="F332" s="1">
        <f t="shared" si="18"/>
        <v>400</v>
      </c>
      <c r="G332" s="12">
        <f t="shared" si="19"/>
        <v>79.75</v>
      </c>
    </row>
    <row r="333" spans="1:7" ht="13">
      <c r="A333" s="4" t="s">
        <v>114</v>
      </c>
      <c r="B333" s="1">
        <v>6.9</v>
      </c>
      <c r="C333" s="1">
        <v>339.9</v>
      </c>
      <c r="D333" s="1" t="s">
        <v>38</v>
      </c>
      <c r="E333" s="1" t="s">
        <v>30</v>
      </c>
      <c r="F333" s="1">
        <f t="shared" si="18"/>
        <v>690</v>
      </c>
      <c r="G333" s="12">
        <f t="shared" si="19"/>
        <v>49.260869565217384</v>
      </c>
    </row>
    <row r="334" spans="1:7" ht="13">
      <c r="A334" s="4" t="s">
        <v>114</v>
      </c>
      <c r="B334" s="1">
        <v>5.8</v>
      </c>
      <c r="C334" s="1">
        <v>5</v>
      </c>
      <c r="D334" s="1" t="s">
        <v>58</v>
      </c>
      <c r="E334" s="1" t="s">
        <v>12</v>
      </c>
      <c r="F334" s="1">
        <f t="shared" si="18"/>
        <v>580</v>
      </c>
      <c r="G334" s="12">
        <f t="shared" si="19"/>
        <v>0.86206896551724144</v>
      </c>
    </row>
    <row r="335" spans="1:7" ht="13">
      <c r="A335" s="4" t="s">
        <v>114</v>
      </c>
      <c r="B335" s="1">
        <v>6.4</v>
      </c>
      <c r="C335" s="1">
        <v>416</v>
      </c>
      <c r="D335" s="1" t="s">
        <v>42</v>
      </c>
      <c r="E335" s="1" t="s">
        <v>18</v>
      </c>
      <c r="F335" s="1">
        <f t="shared" si="18"/>
        <v>640</v>
      </c>
      <c r="G335" s="12">
        <f t="shared" si="19"/>
        <v>65</v>
      </c>
    </row>
    <row r="336" spans="1:7" ht="13">
      <c r="A336" s="4" t="s">
        <v>114</v>
      </c>
      <c r="B336" s="1">
        <v>7.7</v>
      </c>
      <c r="C336" s="1">
        <v>529</v>
      </c>
      <c r="D336" s="1" t="s">
        <v>11</v>
      </c>
      <c r="E336" s="1" t="s">
        <v>49</v>
      </c>
      <c r="F336" s="1">
        <f t="shared" si="18"/>
        <v>770</v>
      </c>
      <c r="G336" s="12">
        <f t="shared" si="19"/>
        <v>68.701298701298697</v>
      </c>
    </row>
    <row r="337" spans="1:7" ht="13">
      <c r="A337" s="4" t="s">
        <v>114</v>
      </c>
      <c r="B337" s="1">
        <v>3.6</v>
      </c>
      <c r="C337" s="1">
        <v>205</v>
      </c>
      <c r="D337" s="1" t="s">
        <v>44</v>
      </c>
      <c r="E337" s="1" t="s">
        <v>15</v>
      </c>
      <c r="F337" s="1">
        <f t="shared" si="18"/>
        <v>360</v>
      </c>
      <c r="G337" s="12">
        <f t="shared" si="19"/>
        <v>56.944444444444443</v>
      </c>
    </row>
    <row r="338" spans="1:7" ht="13">
      <c r="A338" s="4" t="s">
        <v>114</v>
      </c>
      <c r="B338" s="1">
        <v>6.9</v>
      </c>
      <c r="C338" s="1">
        <v>339.9</v>
      </c>
      <c r="D338" s="1" t="s">
        <v>38</v>
      </c>
      <c r="E338" s="1" t="s">
        <v>30</v>
      </c>
      <c r="F338" s="1">
        <f t="shared" si="18"/>
        <v>690</v>
      </c>
      <c r="G338" s="12">
        <f t="shared" si="19"/>
        <v>49.260869565217384</v>
      </c>
    </row>
    <row r="339" spans="1:7" ht="13">
      <c r="A339" s="4" t="s">
        <v>114</v>
      </c>
      <c r="B339" s="1">
        <v>9.4600000000000009</v>
      </c>
      <c r="C339" s="1">
        <v>538</v>
      </c>
      <c r="D339" s="1" t="s">
        <v>52</v>
      </c>
      <c r="E339" s="1" t="s">
        <v>18</v>
      </c>
      <c r="F339" s="1">
        <f t="shared" si="18"/>
        <v>946.00000000000011</v>
      </c>
      <c r="G339" s="12">
        <f t="shared" si="19"/>
        <v>56.871035940803381</v>
      </c>
    </row>
    <row r="340" spans="1:7" ht="13">
      <c r="A340" s="4" t="s">
        <v>114</v>
      </c>
      <c r="B340" s="1">
        <v>4.0999999999999996</v>
      </c>
      <c r="C340" s="1">
        <v>267</v>
      </c>
      <c r="D340" s="1" t="s">
        <v>43</v>
      </c>
      <c r="E340" s="1" t="s">
        <v>25</v>
      </c>
      <c r="F340" s="1">
        <f t="shared" si="18"/>
        <v>409.99999999999994</v>
      </c>
      <c r="G340" s="12">
        <f t="shared" si="19"/>
        <v>65.121951219512198</v>
      </c>
    </row>
    <row r="341" spans="1:7" ht="13">
      <c r="A341" s="4" t="s">
        <v>114</v>
      </c>
      <c r="B341" s="1">
        <v>10</v>
      </c>
      <c r="C341" s="1">
        <v>500</v>
      </c>
      <c r="D341" s="1" t="s">
        <v>33</v>
      </c>
      <c r="E341" s="1" t="s">
        <v>21</v>
      </c>
      <c r="F341" s="1">
        <f t="shared" si="18"/>
        <v>1000</v>
      </c>
      <c r="G341" s="12">
        <f t="shared" si="19"/>
        <v>50</v>
      </c>
    </row>
    <row r="342" spans="1:7" ht="13">
      <c r="A342" s="4" t="s">
        <v>114</v>
      </c>
      <c r="B342" s="1">
        <v>5.22</v>
      </c>
      <c r="C342" s="1">
        <v>322</v>
      </c>
      <c r="D342" s="1" t="s">
        <v>34</v>
      </c>
      <c r="E342" s="1" t="s">
        <v>21</v>
      </c>
      <c r="F342" s="1">
        <f t="shared" si="18"/>
        <v>522</v>
      </c>
      <c r="G342" s="12">
        <f t="shared" si="19"/>
        <v>61.685823754789276</v>
      </c>
    </row>
    <row r="343" spans="1:7" ht="13">
      <c r="A343" s="4" t="s">
        <v>114</v>
      </c>
      <c r="B343" s="1">
        <v>8.5</v>
      </c>
      <c r="C343" s="1">
        <v>440</v>
      </c>
      <c r="D343" s="1" t="s">
        <v>33</v>
      </c>
      <c r="E343" s="1" t="s">
        <v>46</v>
      </c>
      <c r="F343" s="1">
        <f t="shared" si="18"/>
        <v>850</v>
      </c>
      <c r="G343" s="12">
        <f t="shared" si="19"/>
        <v>51.764705882352942</v>
      </c>
    </row>
    <row r="344" spans="1:7" ht="13">
      <c r="A344" s="4" t="s">
        <v>114</v>
      </c>
      <c r="B344" s="1">
        <v>6.2</v>
      </c>
      <c r="C344" s="1">
        <v>362.8</v>
      </c>
      <c r="D344" s="1" t="s">
        <v>47</v>
      </c>
      <c r="E344" s="1" t="s">
        <v>24</v>
      </c>
      <c r="F344" s="1">
        <f t="shared" si="18"/>
        <v>620</v>
      </c>
      <c r="G344" s="12">
        <f t="shared" si="19"/>
        <v>58.516129032258064</v>
      </c>
    </row>
    <row r="345" spans="1:7" ht="13">
      <c r="A345" s="4" t="s">
        <v>114</v>
      </c>
      <c r="B345" s="1">
        <v>396</v>
      </c>
      <c r="C345" s="1">
        <v>7.74</v>
      </c>
      <c r="D345" s="1" t="s">
        <v>40</v>
      </c>
      <c r="E345" s="1" t="s">
        <v>8</v>
      </c>
      <c r="F345" s="1">
        <f t="shared" si="18"/>
        <v>39600</v>
      </c>
      <c r="G345" s="12">
        <f t="shared" si="19"/>
        <v>1.9545454545454546E-2</v>
      </c>
    </row>
    <row r="346" spans="1:7" ht="13">
      <c r="A346" s="4" t="s">
        <v>114</v>
      </c>
      <c r="B346" s="1">
        <v>6</v>
      </c>
      <c r="C346" s="1">
        <v>371</v>
      </c>
      <c r="D346" s="1" t="s">
        <v>11</v>
      </c>
      <c r="E346" s="1" t="s">
        <v>19</v>
      </c>
      <c r="F346" s="1">
        <f t="shared" si="18"/>
        <v>600</v>
      </c>
      <c r="G346" s="12">
        <f t="shared" si="19"/>
        <v>61.833333333333336</v>
      </c>
    </row>
    <row r="347" spans="1:7" ht="13">
      <c r="A347" s="4" t="s">
        <v>114</v>
      </c>
      <c r="B347" s="1">
        <v>6.8</v>
      </c>
      <c r="C347" s="1">
        <v>454</v>
      </c>
      <c r="D347" s="1" t="s">
        <v>11</v>
      </c>
      <c r="E347" s="1" t="s">
        <v>31</v>
      </c>
      <c r="F347" s="1">
        <f t="shared" si="18"/>
        <v>680</v>
      </c>
      <c r="G347" s="12">
        <f t="shared" si="19"/>
        <v>66.764705882352942</v>
      </c>
    </row>
    <row r="348" spans="1:7" ht="13">
      <c r="A348" s="4" t="s">
        <v>114</v>
      </c>
      <c r="B348" s="1">
        <v>7.2</v>
      </c>
      <c r="C348" s="1">
        <v>485</v>
      </c>
      <c r="D348" s="1" t="s">
        <v>33</v>
      </c>
      <c r="E348" s="1" t="s">
        <v>8</v>
      </c>
      <c r="F348" s="1">
        <f t="shared" si="18"/>
        <v>720</v>
      </c>
      <c r="G348" s="12">
        <f t="shared" si="19"/>
        <v>67.361111111111114</v>
      </c>
    </row>
    <row r="349" spans="1:7" ht="13">
      <c r="A349" s="4" t="s">
        <v>114</v>
      </c>
      <c r="B349" s="1">
        <v>5.0999999999999996</v>
      </c>
      <c r="C349" s="1">
        <v>375</v>
      </c>
      <c r="D349" s="1" t="s">
        <v>11</v>
      </c>
      <c r="E349" s="1" t="s">
        <v>9</v>
      </c>
      <c r="F349" s="1">
        <f t="shared" si="18"/>
        <v>509.99999999999994</v>
      </c>
      <c r="G349" s="12">
        <f t="shared" si="19"/>
        <v>73.529411764705884</v>
      </c>
    </row>
    <row r="350" spans="1:7" ht="13">
      <c r="A350" s="4" t="s">
        <v>114</v>
      </c>
      <c r="B350" s="1">
        <v>3.4</v>
      </c>
      <c r="C350" s="1">
        <v>220</v>
      </c>
      <c r="D350" s="1" t="s">
        <v>11</v>
      </c>
      <c r="E350" s="1" t="s">
        <v>15</v>
      </c>
      <c r="F350" s="1">
        <f t="shared" si="18"/>
        <v>340</v>
      </c>
      <c r="G350" s="12">
        <f t="shared" si="19"/>
        <v>64.705882352941174</v>
      </c>
    </row>
    <row r="351" spans="1:7" ht="13">
      <c r="A351" s="4" t="s">
        <v>114</v>
      </c>
      <c r="B351" s="1">
        <v>10.3</v>
      </c>
      <c r="C351" s="1">
        <v>600</v>
      </c>
      <c r="D351" s="1" t="s">
        <v>37</v>
      </c>
      <c r="E351" s="1" t="s">
        <v>26</v>
      </c>
      <c r="F351" s="1">
        <f t="shared" si="18"/>
        <v>1030</v>
      </c>
      <c r="G351" s="12">
        <f t="shared" si="19"/>
        <v>58.252427184466015</v>
      </c>
    </row>
    <row r="352" spans="1:7" ht="13">
      <c r="A352" s="4" t="s">
        <v>114</v>
      </c>
      <c r="B352" s="1">
        <v>5.81</v>
      </c>
      <c r="C352" s="1">
        <v>407</v>
      </c>
      <c r="D352" s="1" t="s">
        <v>38</v>
      </c>
      <c r="E352" s="1" t="s">
        <v>8</v>
      </c>
      <c r="F352" s="1">
        <f t="shared" si="18"/>
        <v>581</v>
      </c>
      <c r="G352" s="12">
        <f t="shared" si="19"/>
        <v>70.051635111876081</v>
      </c>
    </row>
    <row r="353" spans="1:7" ht="13">
      <c r="A353" s="4" t="s">
        <v>114</v>
      </c>
      <c r="B353" s="1">
        <v>5.4</v>
      </c>
      <c r="C353" s="1">
        <v>251.4</v>
      </c>
      <c r="D353" s="1" t="s">
        <v>53</v>
      </c>
      <c r="E353" s="1" t="s">
        <v>25</v>
      </c>
      <c r="F353" s="1">
        <f t="shared" si="18"/>
        <v>540</v>
      </c>
      <c r="G353" s="12">
        <f t="shared" si="19"/>
        <v>46.55555555555555</v>
      </c>
    </row>
    <row r="354" spans="1:7" ht="13">
      <c r="A354" s="4" t="s">
        <v>114</v>
      </c>
      <c r="B354" s="1">
        <v>2.87</v>
      </c>
      <c r="C354" s="1">
        <v>234</v>
      </c>
      <c r="D354" s="1" t="s">
        <v>11</v>
      </c>
      <c r="E354" s="1" t="s">
        <v>8</v>
      </c>
      <c r="F354" s="1">
        <f t="shared" si="18"/>
        <v>287</v>
      </c>
      <c r="G354" s="12">
        <f t="shared" si="19"/>
        <v>81.533101045296164</v>
      </c>
    </row>
    <row r="355" spans="1:7" ht="13">
      <c r="A355" s="4" t="s">
        <v>114</v>
      </c>
      <c r="B355" s="1">
        <v>6.4</v>
      </c>
      <c r="C355" s="1">
        <v>333</v>
      </c>
      <c r="D355" s="1" t="s">
        <v>70</v>
      </c>
      <c r="E355" s="1" t="s">
        <v>8</v>
      </c>
      <c r="F355" s="1">
        <f t="shared" si="18"/>
        <v>640</v>
      </c>
      <c r="G355" s="12">
        <f t="shared" si="19"/>
        <v>52.03125</v>
      </c>
    </row>
    <row r="356" spans="1:7" ht="13">
      <c r="A356" s="4" t="s">
        <v>114</v>
      </c>
      <c r="B356" s="1">
        <v>6.3</v>
      </c>
      <c r="C356" s="1">
        <v>166</v>
      </c>
      <c r="D356" s="1" t="s">
        <v>38</v>
      </c>
      <c r="E356" s="1" t="s">
        <v>15</v>
      </c>
      <c r="F356" s="1">
        <f t="shared" si="18"/>
        <v>630</v>
      </c>
      <c r="G356" s="12">
        <f t="shared" si="19"/>
        <v>26.349206349206352</v>
      </c>
    </row>
    <row r="357" spans="1:7" ht="13">
      <c r="A357" s="4" t="s">
        <v>114</v>
      </c>
      <c r="B357" s="1">
        <v>4.9000000000000004</v>
      </c>
      <c r="C357" s="1">
        <v>313</v>
      </c>
      <c r="D357" s="1" t="s">
        <v>44</v>
      </c>
      <c r="E357" s="1" t="s">
        <v>15</v>
      </c>
      <c r="F357" s="1">
        <f t="shared" si="18"/>
        <v>490.00000000000006</v>
      </c>
      <c r="G357" s="12">
        <f t="shared" si="19"/>
        <v>63.877551020408156</v>
      </c>
    </row>
    <row r="358" spans="1:7" ht="13">
      <c r="A358" s="4" t="s">
        <v>114</v>
      </c>
      <c r="B358" s="1">
        <v>6.33</v>
      </c>
      <c r="C358" s="1">
        <v>420</v>
      </c>
      <c r="D358" s="1" t="s">
        <v>67</v>
      </c>
      <c r="E358" s="1" t="s">
        <v>62</v>
      </c>
      <c r="F358" s="1">
        <f t="shared" si="18"/>
        <v>633</v>
      </c>
      <c r="G358" s="12">
        <f t="shared" si="19"/>
        <v>66.350710900473928</v>
      </c>
    </row>
    <row r="359" spans="1:7" ht="13">
      <c r="A359" s="4" t="s">
        <v>114</v>
      </c>
      <c r="B359" s="1">
        <v>6.4</v>
      </c>
      <c r="C359" s="1">
        <v>463</v>
      </c>
      <c r="D359" s="1" t="s">
        <v>11</v>
      </c>
      <c r="E359" s="1" t="s">
        <v>8</v>
      </c>
      <c r="F359" s="1">
        <f t="shared" si="18"/>
        <v>640</v>
      </c>
      <c r="G359" s="12">
        <f t="shared" si="19"/>
        <v>72.34375</v>
      </c>
    </row>
    <row r="360" spans="1:7" ht="13">
      <c r="A360" s="4" t="s">
        <v>114</v>
      </c>
      <c r="B360" s="1">
        <v>4.3</v>
      </c>
      <c r="C360" s="1">
        <v>250</v>
      </c>
      <c r="D360" s="1" t="s">
        <v>35</v>
      </c>
      <c r="E360" s="1" t="s">
        <v>10</v>
      </c>
      <c r="F360" s="1">
        <f t="shared" si="18"/>
        <v>430</v>
      </c>
      <c r="G360" s="12">
        <f t="shared" si="19"/>
        <v>58.139534883720934</v>
      </c>
    </row>
    <row r="361" spans="1:7" ht="13">
      <c r="A361" s="4" t="s">
        <v>114</v>
      </c>
      <c r="B361" s="1">
        <v>4.2</v>
      </c>
      <c r="C361" s="1">
        <v>310</v>
      </c>
      <c r="D361" s="1" t="s">
        <v>11</v>
      </c>
      <c r="E361" s="1" t="s">
        <v>15</v>
      </c>
      <c r="F361" s="1">
        <f t="shared" si="18"/>
        <v>420</v>
      </c>
      <c r="G361" s="12">
        <f t="shared" si="19"/>
        <v>73.80952380952381</v>
      </c>
    </row>
    <row r="362" spans="1:7" ht="13">
      <c r="A362" s="4" t="s">
        <v>114</v>
      </c>
      <c r="B362" s="1">
        <v>8</v>
      </c>
      <c r="C362" s="1">
        <v>421</v>
      </c>
      <c r="D362" s="1" t="s">
        <v>11</v>
      </c>
      <c r="E362" s="1" t="s">
        <v>22</v>
      </c>
      <c r="F362" s="1">
        <f t="shared" si="18"/>
        <v>800</v>
      </c>
      <c r="G362" s="12">
        <f t="shared" si="19"/>
        <v>52.625</v>
      </c>
    </row>
    <row r="363" spans="1:7" ht="13">
      <c r="A363" s="4" t="s">
        <v>114</v>
      </c>
      <c r="B363" s="1">
        <v>4300</v>
      </c>
      <c r="C363" s="1">
        <v>337</v>
      </c>
      <c r="D363" s="1" t="s">
        <v>43</v>
      </c>
      <c r="E363" s="1" t="s">
        <v>8</v>
      </c>
      <c r="F363" s="1">
        <f t="shared" si="18"/>
        <v>430000</v>
      </c>
      <c r="G363" s="12">
        <f t="shared" si="19"/>
        <v>7.8372093023255818E-2</v>
      </c>
    </row>
    <row r="364" spans="1:7" ht="13">
      <c r="A364" s="4" t="s">
        <v>114</v>
      </c>
      <c r="B364" s="1">
        <v>7</v>
      </c>
      <c r="C364" s="1">
        <v>502</v>
      </c>
      <c r="D364" s="1" t="s">
        <v>42</v>
      </c>
      <c r="E364" s="1" t="s">
        <v>10</v>
      </c>
      <c r="F364" s="1">
        <f t="shared" si="18"/>
        <v>700</v>
      </c>
      <c r="G364" s="12">
        <f t="shared" si="19"/>
        <v>71.714285714285708</v>
      </c>
    </row>
    <row r="365" spans="1:7" ht="13">
      <c r="A365" s="4" t="s">
        <v>114</v>
      </c>
      <c r="B365" s="1">
        <v>8.4</v>
      </c>
      <c r="C365" s="1">
        <v>598</v>
      </c>
      <c r="D365" s="1" t="s">
        <v>11</v>
      </c>
      <c r="E365" s="1" t="s">
        <v>24</v>
      </c>
      <c r="F365" s="1">
        <f t="shared" si="18"/>
        <v>840</v>
      </c>
      <c r="G365" s="12">
        <f t="shared" si="19"/>
        <v>71.19047619047619</v>
      </c>
    </row>
    <row r="366" spans="1:7" ht="13">
      <c r="A366" s="4" t="s">
        <v>114</v>
      </c>
      <c r="B366" s="1">
        <v>4.3</v>
      </c>
      <c r="C366" s="1">
        <v>280</v>
      </c>
      <c r="D366" s="1" t="s">
        <v>43</v>
      </c>
      <c r="E366" s="1" t="s">
        <v>31</v>
      </c>
      <c r="F366" s="1">
        <f t="shared" si="18"/>
        <v>430</v>
      </c>
      <c r="G366" s="12">
        <f t="shared" si="19"/>
        <v>65.116279069767444</v>
      </c>
    </row>
    <row r="367" spans="1:7" ht="13">
      <c r="A367" s="4" t="s">
        <v>114</v>
      </c>
      <c r="B367" s="1">
        <v>645</v>
      </c>
      <c r="C367" s="1">
        <v>561</v>
      </c>
      <c r="D367" s="1" t="s">
        <v>11</v>
      </c>
      <c r="E367" s="1" t="s">
        <v>8</v>
      </c>
      <c r="F367" s="1">
        <f t="shared" si="18"/>
        <v>64500</v>
      </c>
      <c r="G367" s="12">
        <f t="shared" si="19"/>
        <v>0.86976744186046506</v>
      </c>
    </row>
    <row r="368" spans="1:7" ht="13">
      <c r="A368" s="4" t="s">
        <v>114</v>
      </c>
      <c r="B368" s="1">
        <v>7.7</v>
      </c>
      <c r="C368" s="1">
        <v>479</v>
      </c>
      <c r="D368" s="1" t="s">
        <v>33</v>
      </c>
      <c r="E368" s="1" t="s">
        <v>15</v>
      </c>
      <c r="F368" s="1">
        <f t="shared" si="18"/>
        <v>770</v>
      </c>
      <c r="G368" s="12">
        <f t="shared" si="19"/>
        <v>62.20779220779221</v>
      </c>
    </row>
    <row r="369" spans="1:7" ht="13">
      <c r="A369" s="4" t="s">
        <v>114</v>
      </c>
      <c r="B369" s="1">
        <v>3.48</v>
      </c>
      <c r="C369" s="1">
        <v>241</v>
      </c>
      <c r="D369" s="1" t="s">
        <v>39</v>
      </c>
      <c r="E369" s="1" t="s">
        <v>15</v>
      </c>
      <c r="F369" s="1">
        <f t="shared" si="18"/>
        <v>348</v>
      </c>
      <c r="G369" s="12">
        <f t="shared" si="19"/>
        <v>69.252873563218387</v>
      </c>
    </row>
    <row r="370" spans="1:7" ht="13">
      <c r="A370" s="4" t="s">
        <v>114</v>
      </c>
      <c r="B370" s="1">
        <v>7.3</v>
      </c>
      <c r="C370" s="1">
        <v>461</v>
      </c>
      <c r="D370" s="1" t="s">
        <v>38</v>
      </c>
      <c r="E370" s="1" t="s">
        <v>28</v>
      </c>
      <c r="F370" s="1">
        <f t="shared" si="18"/>
        <v>730</v>
      </c>
      <c r="G370" s="12">
        <f t="shared" si="19"/>
        <v>63.150684931506852</v>
      </c>
    </row>
    <row r="371" spans="1:7" ht="13">
      <c r="A371" s="4" t="s">
        <v>114</v>
      </c>
      <c r="B371" s="1">
        <v>5.88</v>
      </c>
      <c r="C371" s="1">
        <v>356</v>
      </c>
      <c r="D371" s="1" t="s">
        <v>11</v>
      </c>
      <c r="E371" s="1" t="s">
        <v>15</v>
      </c>
      <c r="F371" s="1">
        <f t="shared" si="18"/>
        <v>588</v>
      </c>
      <c r="G371" s="12">
        <f t="shared" si="19"/>
        <v>60.544217687074834</v>
      </c>
    </row>
    <row r="372" spans="1:7" ht="13">
      <c r="A372" s="4" t="s">
        <v>114</v>
      </c>
      <c r="B372" s="1">
        <v>5.6</v>
      </c>
      <c r="C372" s="1">
        <v>265</v>
      </c>
      <c r="D372" s="1" t="s">
        <v>53</v>
      </c>
      <c r="E372" s="1" t="s">
        <v>8</v>
      </c>
      <c r="F372" s="1">
        <f t="shared" si="18"/>
        <v>560</v>
      </c>
      <c r="G372" s="12">
        <f t="shared" si="19"/>
        <v>47.321428571428577</v>
      </c>
    </row>
    <row r="373" spans="1:7" ht="13">
      <c r="A373" s="4" t="s">
        <v>114</v>
      </c>
      <c r="B373" s="1">
        <v>4.8600000000000003</v>
      </c>
      <c r="C373" s="1">
        <v>328</v>
      </c>
      <c r="D373" s="1" t="s">
        <v>38</v>
      </c>
      <c r="E373" s="1" t="s">
        <v>15</v>
      </c>
      <c r="F373" s="1">
        <f t="shared" si="18"/>
        <v>486.00000000000006</v>
      </c>
      <c r="G373" s="12">
        <f t="shared" si="19"/>
        <v>67.489711934156375</v>
      </c>
    </row>
    <row r="374" spans="1:7" ht="13">
      <c r="A374" s="4" t="s">
        <v>114</v>
      </c>
      <c r="B374" s="1">
        <v>4.9000000000000004</v>
      </c>
      <c r="C374" s="1">
        <v>326</v>
      </c>
      <c r="D374" s="1" t="s">
        <v>11</v>
      </c>
      <c r="E374" s="1" t="s">
        <v>8</v>
      </c>
      <c r="F374" s="1">
        <f t="shared" si="18"/>
        <v>490.00000000000006</v>
      </c>
      <c r="G374" s="12">
        <f t="shared" si="19"/>
        <v>66.530612244897952</v>
      </c>
    </row>
    <row r="375" spans="1:7" ht="13">
      <c r="A375" s="4" t="s">
        <v>114</v>
      </c>
      <c r="B375" s="1">
        <v>6.32</v>
      </c>
      <c r="C375" s="1">
        <v>468</v>
      </c>
      <c r="D375" s="1" t="s">
        <v>11</v>
      </c>
      <c r="E375" s="1" t="s">
        <v>8</v>
      </c>
      <c r="F375" s="1">
        <f t="shared" si="18"/>
        <v>632</v>
      </c>
      <c r="G375" s="12">
        <f t="shared" si="19"/>
        <v>74.050632911392398</v>
      </c>
    </row>
    <row r="376" spans="1:7" ht="13">
      <c r="A376" s="4" t="s">
        <v>114</v>
      </c>
      <c r="B376" s="1">
        <v>6</v>
      </c>
      <c r="C376" s="1">
        <v>412</v>
      </c>
      <c r="D376" s="1" t="s">
        <v>43</v>
      </c>
      <c r="E376" s="1" t="s">
        <v>21</v>
      </c>
      <c r="F376" s="1">
        <f t="shared" si="18"/>
        <v>600</v>
      </c>
      <c r="G376" s="12">
        <f t="shared" si="19"/>
        <v>68.666666666666671</v>
      </c>
    </row>
    <row r="377" spans="1:7" ht="13">
      <c r="A377" s="4" t="s">
        <v>114</v>
      </c>
      <c r="B377" s="1">
        <v>7.74</v>
      </c>
      <c r="C377" s="1">
        <v>478</v>
      </c>
      <c r="D377" s="1" t="s">
        <v>11</v>
      </c>
      <c r="E377" s="1" t="s">
        <v>25</v>
      </c>
      <c r="F377" s="1">
        <f t="shared" si="18"/>
        <v>774</v>
      </c>
      <c r="G377" s="12">
        <f t="shared" si="19"/>
        <v>61.757105943152453</v>
      </c>
    </row>
    <row r="378" spans="1:7" ht="13">
      <c r="A378" s="4" t="s">
        <v>114</v>
      </c>
      <c r="B378" s="1">
        <v>7.5</v>
      </c>
      <c r="C378" s="1">
        <v>506</v>
      </c>
      <c r="D378" s="1" t="s">
        <v>11</v>
      </c>
      <c r="E378" s="1" t="s">
        <v>27</v>
      </c>
      <c r="F378" s="1">
        <f t="shared" si="18"/>
        <v>750</v>
      </c>
      <c r="G378" s="12">
        <f t="shared" si="19"/>
        <v>67.466666666666669</v>
      </c>
    </row>
    <row r="379" spans="1:7" ht="13">
      <c r="A379" s="4" t="s">
        <v>114</v>
      </c>
      <c r="B379" s="1">
        <v>7.3</v>
      </c>
      <c r="C379" s="1">
        <v>453</v>
      </c>
      <c r="D379" s="1" t="s">
        <v>33</v>
      </c>
      <c r="E379" s="1" t="s">
        <v>23</v>
      </c>
      <c r="F379" s="1">
        <f t="shared" si="18"/>
        <v>730</v>
      </c>
      <c r="G379" s="12">
        <f t="shared" si="19"/>
        <v>62.054794520547944</v>
      </c>
    </row>
    <row r="380" spans="1:7" ht="13">
      <c r="A380" s="4" t="s">
        <v>114</v>
      </c>
      <c r="B380" s="1">
        <v>4897</v>
      </c>
      <c r="C380" s="1">
        <v>407</v>
      </c>
      <c r="D380" s="1" t="s">
        <v>11</v>
      </c>
      <c r="E380" s="1" t="s">
        <v>16</v>
      </c>
      <c r="F380" s="1">
        <f t="shared" si="18"/>
        <v>489700</v>
      </c>
      <c r="G380" s="12">
        <f t="shared" si="19"/>
        <v>8.3112109454768227E-2</v>
      </c>
    </row>
    <row r="381" spans="1:7" ht="13">
      <c r="A381" s="4" t="s">
        <v>114</v>
      </c>
      <c r="B381" s="1">
        <v>6.96</v>
      </c>
      <c r="C381" s="1">
        <v>394</v>
      </c>
      <c r="D381" s="1" t="s">
        <v>33</v>
      </c>
      <c r="E381" s="1" t="s">
        <v>8</v>
      </c>
      <c r="F381" s="1">
        <f t="shared" si="18"/>
        <v>696</v>
      </c>
      <c r="G381" s="12">
        <f t="shared" si="19"/>
        <v>56.609195402298852</v>
      </c>
    </row>
    <row r="382" spans="1:7" ht="13">
      <c r="A382" s="4" t="s">
        <v>114</v>
      </c>
      <c r="B382" s="1">
        <v>5.12</v>
      </c>
      <c r="C382" s="1">
        <v>268</v>
      </c>
      <c r="D382" s="1" t="s">
        <v>53</v>
      </c>
      <c r="E382" s="1" t="s">
        <v>24</v>
      </c>
      <c r="F382" s="1">
        <f t="shared" si="18"/>
        <v>512</v>
      </c>
      <c r="G382" s="12">
        <f t="shared" si="19"/>
        <v>52.34375</v>
      </c>
    </row>
    <row r="383" spans="1:7" ht="13">
      <c r="A383" s="4" t="s">
        <v>114</v>
      </c>
      <c r="B383" s="1">
        <v>6.3</v>
      </c>
      <c r="C383" s="1">
        <v>378</v>
      </c>
      <c r="D383" s="1" t="s">
        <v>43</v>
      </c>
      <c r="E383" s="1" t="s">
        <v>29</v>
      </c>
      <c r="F383" s="1">
        <f t="shared" si="18"/>
        <v>630</v>
      </c>
      <c r="G383" s="12">
        <f t="shared" si="19"/>
        <v>60</v>
      </c>
    </row>
    <row r="384" spans="1:7" ht="13">
      <c r="A384" s="4" t="s">
        <v>114</v>
      </c>
      <c r="B384" s="1">
        <v>4.3</v>
      </c>
      <c r="C384" s="1">
        <v>214</v>
      </c>
      <c r="D384" s="1" t="s">
        <v>33</v>
      </c>
      <c r="E384" s="1" t="s">
        <v>15</v>
      </c>
      <c r="F384" s="1">
        <f t="shared" si="18"/>
        <v>430</v>
      </c>
      <c r="G384" s="12">
        <f t="shared" si="19"/>
        <v>49.767441860465119</v>
      </c>
    </row>
    <row r="385" spans="1:7" ht="13">
      <c r="A385" s="4" t="s">
        <v>114</v>
      </c>
      <c r="B385" s="1">
        <v>6.2</v>
      </c>
      <c r="C385" s="1">
        <v>535</v>
      </c>
      <c r="D385" s="1" t="s">
        <v>11</v>
      </c>
      <c r="E385" s="1" t="s">
        <v>10</v>
      </c>
      <c r="F385" s="1">
        <f t="shared" si="18"/>
        <v>620</v>
      </c>
      <c r="G385" s="12">
        <f t="shared" si="19"/>
        <v>86.290322580645153</v>
      </c>
    </row>
    <row r="386" spans="1:7" ht="13">
      <c r="A386" s="4" t="s">
        <v>114</v>
      </c>
      <c r="B386" s="1">
        <v>6.9</v>
      </c>
      <c r="C386" s="1">
        <v>316</v>
      </c>
      <c r="D386" s="1" t="s">
        <v>11</v>
      </c>
      <c r="E386" s="1" t="s">
        <v>46</v>
      </c>
      <c r="F386" s="1">
        <f t="shared" si="18"/>
        <v>690</v>
      </c>
      <c r="G386" s="12">
        <f t="shared" si="19"/>
        <v>45.79710144927536</v>
      </c>
    </row>
    <row r="387" spans="1:7" ht="13">
      <c r="A387" s="4" t="s">
        <v>114</v>
      </c>
      <c r="B387" s="1">
        <v>6.72</v>
      </c>
      <c r="C387" s="1">
        <v>444</v>
      </c>
      <c r="D387" s="1" t="s">
        <v>11</v>
      </c>
      <c r="E387" s="1" t="s">
        <v>24</v>
      </c>
      <c r="F387" s="1">
        <f t="shared" ref="F387:F450" si="20">B387*100</f>
        <v>672</v>
      </c>
      <c r="G387" s="12">
        <f t="shared" ref="G387:G450" si="21">C387/B387</f>
        <v>66.071428571428569</v>
      </c>
    </row>
    <row r="388" spans="1:7" ht="13">
      <c r="A388" s="4" t="s">
        <v>114</v>
      </c>
      <c r="B388" s="1">
        <v>6.72</v>
      </c>
      <c r="C388" s="1">
        <v>366</v>
      </c>
      <c r="D388" s="1" t="s">
        <v>33</v>
      </c>
      <c r="E388" s="1" t="s">
        <v>12</v>
      </c>
      <c r="F388" s="1">
        <f t="shared" si="20"/>
        <v>672</v>
      </c>
      <c r="G388" s="12">
        <f t="shared" si="21"/>
        <v>54.464285714285715</v>
      </c>
    </row>
    <row r="389" spans="1:7" ht="13">
      <c r="A389" s="4" t="s">
        <v>114</v>
      </c>
      <c r="B389" s="1">
        <v>5.4</v>
      </c>
      <c r="C389" s="1">
        <v>322</v>
      </c>
      <c r="D389" s="1" t="s">
        <v>55</v>
      </c>
      <c r="E389" s="1" t="s">
        <v>21</v>
      </c>
      <c r="F389" s="1">
        <f t="shared" si="20"/>
        <v>540</v>
      </c>
      <c r="G389" s="12">
        <f t="shared" si="21"/>
        <v>59.629629629629626</v>
      </c>
    </row>
    <row r="390" spans="1:7" ht="13">
      <c r="A390" s="4" t="s">
        <v>114</v>
      </c>
      <c r="B390" s="1">
        <v>7.2</v>
      </c>
      <c r="C390" s="1">
        <v>351</v>
      </c>
      <c r="D390" s="1" t="s">
        <v>43</v>
      </c>
      <c r="E390" s="1" t="s">
        <v>13</v>
      </c>
      <c r="F390" s="1">
        <f t="shared" si="20"/>
        <v>720</v>
      </c>
      <c r="G390" s="12">
        <f t="shared" si="21"/>
        <v>48.75</v>
      </c>
    </row>
    <row r="391" spans="1:7" ht="13">
      <c r="A391" s="4" t="s">
        <v>114</v>
      </c>
      <c r="B391" s="1">
        <v>4.4000000000000004</v>
      </c>
      <c r="C391" s="1">
        <v>283</v>
      </c>
      <c r="D391" s="1" t="s">
        <v>11</v>
      </c>
      <c r="E391" s="1" t="s">
        <v>15</v>
      </c>
      <c r="F391" s="1">
        <f t="shared" si="20"/>
        <v>440.00000000000006</v>
      </c>
      <c r="G391" s="12">
        <f t="shared" si="21"/>
        <v>64.318181818181813</v>
      </c>
    </row>
    <row r="392" spans="1:7" ht="13">
      <c r="A392" s="4" t="s">
        <v>114</v>
      </c>
      <c r="B392" s="1">
        <v>6.97</v>
      </c>
      <c r="C392" s="1">
        <v>490</v>
      </c>
      <c r="D392" s="1" t="s">
        <v>11</v>
      </c>
      <c r="E392" s="1" t="s">
        <v>8</v>
      </c>
      <c r="F392" s="1">
        <f t="shared" si="20"/>
        <v>697</v>
      </c>
      <c r="G392" s="12">
        <f t="shared" si="21"/>
        <v>70.301291248206596</v>
      </c>
    </row>
    <row r="393" spans="1:7" ht="13">
      <c r="A393" s="4" t="s">
        <v>114</v>
      </c>
      <c r="B393" s="1">
        <v>11.2</v>
      </c>
      <c r="C393" s="1">
        <v>665</v>
      </c>
      <c r="D393" s="1" t="s">
        <v>42</v>
      </c>
      <c r="E393" s="1" t="s">
        <v>12</v>
      </c>
      <c r="F393" s="1">
        <f t="shared" si="20"/>
        <v>1120</v>
      </c>
      <c r="G393" s="12">
        <f t="shared" si="21"/>
        <v>59.375000000000007</v>
      </c>
    </row>
    <row r="394" spans="1:7" ht="13">
      <c r="A394" s="4" t="s">
        <v>114</v>
      </c>
      <c r="B394" s="1">
        <v>6.7</v>
      </c>
      <c r="C394" s="1">
        <v>391</v>
      </c>
      <c r="D394" s="1" t="s">
        <v>33</v>
      </c>
      <c r="E394" s="1" t="s">
        <v>21</v>
      </c>
      <c r="F394" s="1">
        <f t="shared" si="20"/>
        <v>670</v>
      </c>
      <c r="G394" s="12">
        <f t="shared" si="21"/>
        <v>58.35820895522388</v>
      </c>
    </row>
    <row r="395" spans="1:7" ht="13">
      <c r="A395" s="4" t="s">
        <v>114</v>
      </c>
      <c r="B395" s="1">
        <v>5</v>
      </c>
      <c r="C395" s="1">
        <v>351</v>
      </c>
      <c r="D395" s="1" t="s">
        <v>42</v>
      </c>
      <c r="E395" s="1" t="s">
        <v>30</v>
      </c>
      <c r="F395" s="1">
        <f t="shared" si="20"/>
        <v>500</v>
      </c>
      <c r="G395" s="12">
        <f t="shared" si="21"/>
        <v>70.2</v>
      </c>
    </row>
    <row r="396" spans="1:7" ht="13">
      <c r="A396" s="4" t="s">
        <v>114</v>
      </c>
      <c r="B396" s="1">
        <v>6</v>
      </c>
      <c r="C396" s="1">
        <v>324</v>
      </c>
      <c r="D396" s="1" t="s">
        <v>33</v>
      </c>
      <c r="E396" s="1" t="s">
        <v>21</v>
      </c>
      <c r="F396" s="1">
        <f t="shared" si="20"/>
        <v>600</v>
      </c>
      <c r="G396" s="12">
        <f t="shared" si="21"/>
        <v>54</v>
      </c>
    </row>
    <row r="397" spans="1:7" ht="13">
      <c r="A397" s="4" t="s">
        <v>114</v>
      </c>
      <c r="B397" s="1">
        <v>6.02</v>
      </c>
      <c r="C397" s="1">
        <v>376</v>
      </c>
      <c r="D397" s="1" t="s">
        <v>42</v>
      </c>
      <c r="E397" s="1" t="s">
        <v>14</v>
      </c>
      <c r="F397" s="1">
        <f t="shared" si="20"/>
        <v>602</v>
      </c>
      <c r="G397" s="12">
        <f t="shared" si="21"/>
        <v>62.458471760797345</v>
      </c>
    </row>
    <row r="398" spans="1:7" ht="13">
      <c r="A398" s="4" t="s">
        <v>114</v>
      </c>
      <c r="B398" s="1">
        <v>9.4600000000000009</v>
      </c>
      <c r="C398" s="1">
        <v>697</v>
      </c>
      <c r="D398" s="1" t="s">
        <v>11</v>
      </c>
      <c r="E398" s="1" t="s">
        <v>25</v>
      </c>
      <c r="F398" s="1">
        <f t="shared" si="20"/>
        <v>946.00000000000011</v>
      </c>
      <c r="G398" s="12">
        <f t="shared" si="21"/>
        <v>73.678646934460886</v>
      </c>
    </row>
    <row r="399" spans="1:7" ht="13">
      <c r="A399" s="4" t="s">
        <v>114</v>
      </c>
      <c r="B399" s="1">
        <v>4.3</v>
      </c>
      <c r="C399" s="1">
        <v>269</v>
      </c>
      <c r="D399" s="1" t="s">
        <v>47</v>
      </c>
      <c r="E399" s="1" t="s">
        <v>15</v>
      </c>
      <c r="F399" s="1">
        <f t="shared" si="20"/>
        <v>430</v>
      </c>
      <c r="G399" s="12">
        <f t="shared" si="21"/>
        <v>62.558139534883722</v>
      </c>
    </row>
    <row r="400" spans="1:7" ht="13">
      <c r="A400" s="4" t="s">
        <v>114</v>
      </c>
      <c r="B400" s="1">
        <v>7.2</v>
      </c>
      <c r="C400" s="1">
        <v>492</v>
      </c>
      <c r="D400" s="1" t="s">
        <v>11</v>
      </c>
      <c r="E400" s="1" t="s">
        <v>23</v>
      </c>
      <c r="F400" s="1">
        <f t="shared" si="20"/>
        <v>720</v>
      </c>
      <c r="G400" s="12">
        <f t="shared" si="21"/>
        <v>68.333333333333329</v>
      </c>
    </row>
    <row r="401" spans="1:7" ht="13">
      <c r="A401" s="4" t="s">
        <v>114</v>
      </c>
      <c r="B401" s="1">
        <v>5.28</v>
      </c>
      <c r="C401" s="1">
        <v>264</v>
      </c>
      <c r="D401" s="1" t="s">
        <v>38</v>
      </c>
      <c r="E401" s="1" t="s">
        <v>62</v>
      </c>
      <c r="F401" s="1">
        <f t="shared" si="20"/>
        <v>528</v>
      </c>
      <c r="G401" s="12">
        <f t="shared" si="21"/>
        <v>50</v>
      </c>
    </row>
    <row r="402" spans="1:7" ht="13">
      <c r="A402" s="4" t="s">
        <v>114</v>
      </c>
      <c r="B402" s="1">
        <v>7.3</v>
      </c>
      <c r="C402" s="1">
        <v>494</v>
      </c>
      <c r="D402" s="1" t="s">
        <v>11</v>
      </c>
      <c r="E402" s="1" t="s">
        <v>10</v>
      </c>
      <c r="F402" s="1">
        <f t="shared" si="20"/>
        <v>730</v>
      </c>
      <c r="G402" s="12">
        <f t="shared" si="21"/>
        <v>67.671232876712324</v>
      </c>
    </row>
    <row r="403" spans="1:7" ht="13">
      <c r="A403" s="4" t="s">
        <v>114</v>
      </c>
      <c r="B403" s="1">
        <v>6</v>
      </c>
      <c r="C403" s="1">
        <v>332</v>
      </c>
      <c r="D403" s="1" t="s">
        <v>40</v>
      </c>
      <c r="E403" s="1" t="s">
        <v>8</v>
      </c>
      <c r="F403" s="1">
        <f t="shared" si="20"/>
        <v>600</v>
      </c>
      <c r="G403" s="12">
        <f t="shared" si="21"/>
        <v>55.333333333333336</v>
      </c>
    </row>
    <row r="404" spans="1:7" ht="13">
      <c r="A404" s="4" t="s">
        <v>114</v>
      </c>
      <c r="B404" s="1">
        <v>4.92</v>
      </c>
      <c r="C404" s="1">
        <v>312</v>
      </c>
      <c r="D404" s="1" t="s">
        <v>47</v>
      </c>
      <c r="E404" s="1" t="s">
        <v>22</v>
      </c>
      <c r="F404" s="1">
        <f t="shared" si="20"/>
        <v>492</v>
      </c>
      <c r="G404" s="12">
        <f t="shared" si="21"/>
        <v>63.414634146341463</v>
      </c>
    </row>
    <row r="405" spans="1:7" ht="13">
      <c r="A405" s="4" t="s">
        <v>114</v>
      </c>
      <c r="B405" s="1">
        <v>4.0999999999999996</v>
      </c>
      <c r="C405" s="1">
        <v>277</v>
      </c>
      <c r="D405" s="1" t="s">
        <v>38</v>
      </c>
      <c r="E405" s="1" t="s">
        <v>16</v>
      </c>
      <c r="F405" s="1">
        <f t="shared" si="20"/>
        <v>409.99999999999994</v>
      </c>
      <c r="G405" s="12">
        <f t="shared" si="21"/>
        <v>67.560975609756099</v>
      </c>
    </row>
    <row r="406" spans="1:7" ht="13">
      <c r="A406" s="4" t="s">
        <v>114</v>
      </c>
      <c r="B406" s="1">
        <v>4.0999999999999996</v>
      </c>
      <c r="C406" s="1">
        <v>342</v>
      </c>
      <c r="D406" s="1" t="s">
        <v>11</v>
      </c>
      <c r="E406" s="1" t="s">
        <v>18</v>
      </c>
      <c r="F406" s="1">
        <f t="shared" si="20"/>
        <v>409.99999999999994</v>
      </c>
      <c r="G406" s="12">
        <f t="shared" si="21"/>
        <v>83.41463414634147</v>
      </c>
    </row>
    <row r="407" spans="1:7" ht="13">
      <c r="A407" s="4" t="s">
        <v>114</v>
      </c>
      <c r="B407" s="1">
        <v>6.4</v>
      </c>
      <c r="C407" s="1">
        <v>378.4</v>
      </c>
      <c r="D407" s="1" t="s">
        <v>35</v>
      </c>
      <c r="E407" s="1" t="s">
        <v>18</v>
      </c>
      <c r="F407" s="1">
        <f t="shared" si="20"/>
        <v>640</v>
      </c>
      <c r="G407" s="12">
        <f t="shared" si="21"/>
        <v>59.124999999999993</v>
      </c>
    </row>
    <row r="408" spans="1:7" ht="13">
      <c r="A408" s="4" t="s">
        <v>114</v>
      </c>
      <c r="B408" s="1">
        <v>8</v>
      </c>
      <c r="C408" s="1">
        <v>380</v>
      </c>
      <c r="D408" s="1" t="s">
        <v>56</v>
      </c>
      <c r="E408" s="1" t="s">
        <v>22</v>
      </c>
      <c r="F408" s="1">
        <f t="shared" si="20"/>
        <v>800</v>
      </c>
      <c r="G408" s="12">
        <f t="shared" si="21"/>
        <v>47.5</v>
      </c>
    </row>
    <row r="409" spans="1:7" ht="13">
      <c r="A409" s="4" t="s">
        <v>114</v>
      </c>
      <c r="B409" s="1">
        <v>6.2</v>
      </c>
      <c r="C409" s="1">
        <v>425</v>
      </c>
      <c r="D409" s="1" t="s">
        <v>11</v>
      </c>
      <c r="E409" s="1" t="s">
        <v>7</v>
      </c>
      <c r="F409" s="1">
        <f t="shared" si="20"/>
        <v>620</v>
      </c>
      <c r="G409" s="12">
        <f t="shared" si="21"/>
        <v>68.548387096774192</v>
      </c>
    </row>
    <row r="410" spans="1:7" ht="13">
      <c r="A410" s="4" t="s">
        <v>114</v>
      </c>
      <c r="B410" s="1">
        <v>5.625</v>
      </c>
      <c r="C410" s="1">
        <v>323</v>
      </c>
      <c r="D410" s="1" t="s">
        <v>11</v>
      </c>
      <c r="E410" s="1" t="s">
        <v>15</v>
      </c>
      <c r="F410" s="1">
        <f t="shared" si="20"/>
        <v>562.5</v>
      </c>
      <c r="G410" s="12">
        <f t="shared" si="21"/>
        <v>57.422222222222224</v>
      </c>
    </row>
    <row r="411" spans="1:7" ht="13">
      <c r="A411" s="4" t="s">
        <v>114</v>
      </c>
      <c r="B411" s="1">
        <v>19.600000000000001</v>
      </c>
      <c r="C411" s="1">
        <v>1131</v>
      </c>
      <c r="D411" s="1" t="s">
        <v>47</v>
      </c>
      <c r="E411" s="1" t="s">
        <v>23</v>
      </c>
      <c r="F411" s="1">
        <f t="shared" si="20"/>
        <v>1960.0000000000002</v>
      </c>
      <c r="G411" s="12">
        <f t="shared" si="21"/>
        <v>57.704081632653057</v>
      </c>
    </row>
    <row r="412" spans="1:7" ht="13">
      <c r="A412" s="4" t="s">
        <v>114</v>
      </c>
      <c r="B412" s="1">
        <v>3.48</v>
      </c>
      <c r="C412" s="1">
        <v>235</v>
      </c>
      <c r="D412" s="1" t="s">
        <v>11</v>
      </c>
      <c r="E412" s="1" t="s">
        <v>15</v>
      </c>
      <c r="F412" s="1">
        <f t="shared" si="20"/>
        <v>348</v>
      </c>
      <c r="G412" s="12">
        <f t="shared" si="21"/>
        <v>67.52873563218391</v>
      </c>
    </row>
    <row r="413" spans="1:7" ht="13">
      <c r="A413" s="4" t="s">
        <v>114</v>
      </c>
      <c r="B413" s="1">
        <v>7.56</v>
      </c>
      <c r="C413" s="1">
        <v>491</v>
      </c>
      <c r="D413" s="1" t="s">
        <v>11</v>
      </c>
      <c r="E413" s="1" t="s">
        <v>12</v>
      </c>
      <c r="F413" s="1">
        <f t="shared" si="20"/>
        <v>756</v>
      </c>
      <c r="G413" s="12">
        <f t="shared" si="21"/>
        <v>64.94708994708995</v>
      </c>
    </row>
    <row r="414" spans="1:7" ht="13">
      <c r="A414" s="4" t="s">
        <v>114</v>
      </c>
      <c r="B414" s="1">
        <v>5.46</v>
      </c>
      <c r="C414" s="1">
        <v>360</v>
      </c>
      <c r="D414" s="1" t="s">
        <v>43</v>
      </c>
      <c r="E414" s="1" t="s">
        <v>15</v>
      </c>
      <c r="F414" s="1">
        <f t="shared" si="20"/>
        <v>546</v>
      </c>
      <c r="G414" s="12">
        <f t="shared" si="21"/>
        <v>65.934065934065941</v>
      </c>
    </row>
    <row r="415" spans="1:7" ht="13">
      <c r="A415" s="4" t="s">
        <v>114</v>
      </c>
      <c r="B415" s="1">
        <v>4.3</v>
      </c>
      <c r="C415" s="1">
        <v>263</v>
      </c>
      <c r="D415" s="1" t="s">
        <v>33</v>
      </c>
      <c r="E415" s="1" t="s">
        <v>16</v>
      </c>
      <c r="F415" s="1">
        <f t="shared" si="20"/>
        <v>430</v>
      </c>
      <c r="G415" s="12">
        <f t="shared" si="21"/>
        <v>61.162790697674424</v>
      </c>
    </row>
    <row r="416" spans="1:7" ht="13">
      <c r="A416" s="4" t="s">
        <v>114</v>
      </c>
      <c r="B416" s="1">
        <v>5.6</v>
      </c>
      <c r="C416" s="1">
        <v>271</v>
      </c>
      <c r="D416" s="1" t="s">
        <v>11</v>
      </c>
      <c r="E416" s="1" t="s">
        <v>21</v>
      </c>
      <c r="F416" s="1">
        <f t="shared" si="20"/>
        <v>560</v>
      </c>
      <c r="G416" s="12">
        <f t="shared" si="21"/>
        <v>48.392857142857146</v>
      </c>
    </row>
    <row r="417" spans="1:7" ht="13">
      <c r="A417" s="4" t="s">
        <v>114</v>
      </c>
      <c r="B417" s="1">
        <v>7.4</v>
      </c>
      <c r="C417" s="1">
        <v>430</v>
      </c>
      <c r="D417" s="1" t="s">
        <v>11</v>
      </c>
      <c r="E417" s="1" t="s">
        <v>17</v>
      </c>
      <c r="F417" s="1">
        <f t="shared" si="20"/>
        <v>740</v>
      </c>
      <c r="G417" s="12">
        <f t="shared" si="21"/>
        <v>58.108108108108105</v>
      </c>
    </row>
    <row r="418" spans="1:7" ht="13">
      <c r="A418" s="4" t="s">
        <v>114</v>
      </c>
      <c r="B418" s="1">
        <v>8.8000000000000007</v>
      </c>
      <c r="C418" s="1">
        <v>555</v>
      </c>
      <c r="D418" s="1" t="s">
        <v>11</v>
      </c>
      <c r="E418" s="1" t="s">
        <v>17</v>
      </c>
      <c r="F418" s="1">
        <f t="shared" si="20"/>
        <v>880.00000000000011</v>
      </c>
      <c r="G418" s="12">
        <f t="shared" si="21"/>
        <v>63.068181818181813</v>
      </c>
    </row>
    <row r="419" spans="1:7" ht="13">
      <c r="A419" s="4" t="s">
        <v>114</v>
      </c>
      <c r="B419" s="1">
        <v>3</v>
      </c>
      <c r="C419" s="1">
        <v>190.5</v>
      </c>
      <c r="D419" s="1" t="s">
        <v>11</v>
      </c>
      <c r="E419" s="1" t="s">
        <v>15</v>
      </c>
      <c r="F419" s="1">
        <f t="shared" si="20"/>
        <v>300</v>
      </c>
      <c r="G419" s="12">
        <f t="shared" si="21"/>
        <v>63.5</v>
      </c>
    </row>
    <row r="420" spans="1:7" ht="13">
      <c r="A420" s="4" t="s">
        <v>114</v>
      </c>
      <c r="B420" s="1">
        <v>7.74</v>
      </c>
      <c r="C420" s="1">
        <v>520.70000000000005</v>
      </c>
      <c r="D420" s="1" t="s">
        <v>11</v>
      </c>
      <c r="E420" s="1" t="s">
        <v>29</v>
      </c>
      <c r="F420" s="1">
        <f t="shared" si="20"/>
        <v>774</v>
      </c>
      <c r="G420" s="12">
        <f t="shared" si="21"/>
        <v>67.273901808785538</v>
      </c>
    </row>
    <row r="421" spans="1:7" ht="13">
      <c r="A421" s="4" t="s">
        <v>114</v>
      </c>
      <c r="B421" s="1">
        <v>4.8</v>
      </c>
      <c r="C421" s="1">
        <v>244</v>
      </c>
      <c r="D421" s="1" t="s">
        <v>33</v>
      </c>
      <c r="E421" s="1" t="s">
        <v>15</v>
      </c>
      <c r="F421" s="1">
        <f t="shared" si="20"/>
        <v>480</v>
      </c>
      <c r="G421" s="12">
        <f t="shared" si="21"/>
        <v>50.833333333333336</v>
      </c>
    </row>
    <row r="422" spans="1:7" ht="13">
      <c r="A422" s="4" t="s">
        <v>114</v>
      </c>
      <c r="B422" s="1">
        <v>7.78</v>
      </c>
      <c r="C422" s="1">
        <v>477</v>
      </c>
      <c r="D422" s="1" t="s">
        <v>47</v>
      </c>
      <c r="E422" s="1" t="s">
        <v>23</v>
      </c>
      <c r="F422" s="1">
        <f t="shared" si="20"/>
        <v>778</v>
      </c>
      <c r="G422" s="12">
        <f t="shared" si="21"/>
        <v>61.311053984575835</v>
      </c>
    </row>
    <row r="423" spans="1:7" ht="13">
      <c r="A423" s="4" t="s">
        <v>114</v>
      </c>
      <c r="B423" s="1">
        <v>8.5</v>
      </c>
      <c r="C423" s="1">
        <v>507</v>
      </c>
      <c r="D423" s="1" t="s">
        <v>43</v>
      </c>
      <c r="E423" s="1" t="s">
        <v>20</v>
      </c>
      <c r="F423" s="1">
        <f t="shared" si="20"/>
        <v>850</v>
      </c>
      <c r="G423" s="12">
        <f t="shared" si="21"/>
        <v>59.647058823529413</v>
      </c>
    </row>
    <row r="424" spans="1:7" ht="13">
      <c r="A424" s="4" t="s">
        <v>114</v>
      </c>
      <c r="B424" s="1">
        <v>6.25</v>
      </c>
      <c r="C424" s="1">
        <v>3.92</v>
      </c>
      <c r="D424" s="1" t="s">
        <v>11</v>
      </c>
      <c r="E424" s="1" t="s">
        <v>30</v>
      </c>
      <c r="F424" s="1">
        <f t="shared" si="20"/>
        <v>625</v>
      </c>
      <c r="G424" s="12">
        <f t="shared" si="21"/>
        <v>0.62719999999999998</v>
      </c>
    </row>
    <row r="425" spans="1:7" ht="13">
      <c r="A425" s="4" t="s">
        <v>114</v>
      </c>
      <c r="B425" s="1">
        <v>5.46</v>
      </c>
      <c r="C425" s="1">
        <v>292</v>
      </c>
      <c r="D425" s="1" t="s">
        <v>45</v>
      </c>
      <c r="E425" s="1" t="s">
        <v>14</v>
      </c>
      <c r="F425" s="1">
        <f t="shared" si="20"/>
        <v>546</v>
      </c>
      <c r="G425" s="12">
        <f t="shared" si="21"/>
        <v>53.479853479853482</v>
      </c>
    </row>
    <row r="426" spans="1:7" ht="13">
      <c r="A426" s="4" t="s">
        <v>114</v>
      </c>
      <c r="B426" s="1">
        <v>3.2</v>
      </c>
      <c r="C426" s="1">
        <v>186</v>
      </c>
      <c r="D426" s="1" t="s">
        <v>35</v>
      </c>
      <c r="E426" s="1" t="s">
        <v>16</v>
      </c>
      <c r="F426" s="1">
        <f t="shared" si="20"/>
        <v>320</v>
      </c>
      <c r="G426" s="12">
        <f t="shared" si="21"/>
        <v>58.125</v>
      </c>
    </row>
    <row r="427" spans="1:7" ht="13">
      <c r="A427" s="4" t="s">
        <v>114</v>
      </c>
      <c r="B427" s="1">
        <v>7.2</v>
      </c>
      <c r="C427" s="1">
        <v>540</v>
      </c>
      <c r="D427" s="1" t="s">
        <v>39</v>
      </c>
      <c r="E427" s="1" t="s">
        <v>26</v>
      </c>
      <c r="F427" s="1">
        <f t="shared" si="20"/>
        <v>720</v>
      </c>
      <c r="G427" s="12">
        <f t="shared" si="21"/>
        <v>75</v>
      </c>
    </row>
    <row r="428" spans="1:7" ht="13">
      <c r="A428" s="4" t="s">
        <v>114</v>
      </c>
      <c r="B428" s="1">
        <v>6.1</v>
      </c>
      <c r="C428" s="1">
        <v>440</v>
      </c>
      <c r="D428" s="1" t="s">
        <v>11</v>
      </c>
      <c r="E428" s="1" t="s">
        <v>24</v>
      </c>
      <c r="F428" s="1">
        <f t="shared" si="20"/>
        <v>610</v>
      </c>
      <c r="G428" s="12">
        <f t="shared" si="21"/>
        <v>72.131147540983605</v>
      </c>
    </row>
    <row r="429" spans="1:7" ht="13">
      <c r="A429" s="4" t="s">
        <v>114</v>
      </c>
      <c r="B429" s="1">
        <v>4.3499999999999996</v>
      </c>
      <c r="C429" s="1">
        <v>313</v>
      </c>
      <c r="D429" s="1" t="s">
        <v>11</v>
      </c>
      <c r="E429" s="1" t="s">
        <v>16</v>
      </c>
      <c r="F429" s="1">
        <f t="shared" si="20"/>
        <v>434.99999999999994</v>
      </c>
      <c r="G429" s="12">
        <f t="shared" si="21"/>
        <v>71.954022988505756</v>
      </c>
    </row>
    <row r="430" spans="1:7" ht="13">
      <c r="A430" s="4" t="s">
        <v>114</v>
      </c>
      <c r="B430" s="1">
        <v>7.3</v>
      </c>
      <c r="C430" s="1">
        <v>478</v>
      </c>
      <c r="D430" s="1" t="s">
        <v>58</v>
      </c>
      <c r="E430" s="1" t="s">
        <v>25</v>
      </c>
      <c r="F430" s="1">
        <f t="shared" si="20"/>
        <v>730</v>
      </c>
      <c r="G430" s="12">
        <f t="shared" si="21"/>
        <v>65.479452054794521</v>
      </c>
    </row>
    <row r="431" spans="1:7" ht="13">
      <c r="A431" s="4" t="s">
        <v>114</v>
      </c>
      <c r="B431" s="1">
        <v>8.6999999999999993</v>
      </c>
      <c r="C431" s="1">
        <v>573</v>
      </c>
      <c r="D431" s="1" t="s">
        <v>39</v>
      </c>
      <c r="E431" s="1" t="s">
        <v>15</v>
      </c>
      <c r="F431" s="1">
        <f t="shared" si="20"/>
        <v>869.99999999999989</v>
      </c>
      <c r="G431" s="12">
        <f t="shared" si="21"/>
        <v>65.862068965517253</v>
      </c>
    </row>
    <row r="432" spans="1:7" ht="13">
      <c r="A432" s="4" t="s">
        <v>114</v>
      </c>
      <c r="B432" s="1">
        <v>1.65</v>
      </c>
      <c r="C432" s="1">
        <v>71.52</v>
      </c>
      <c r="D432" s="1" t="s">
        <v>11</v>
      </c>
      <c r="E432" s="1" t="s">
        <v>25</v>
      </c>
      <c r="F432" s="1">
        <f t="shared" si="20"/>
        <v>165</v>
      </c>
      <c r="G432" s="12">
        <f t="shared" si="21"/>
        <v>43.345454545454544</v>
      </c>
    </row>
    <row r="433" spans="1:7" ht="13">
      <c r="A433" s="4" t="s">
        <v>114</v>
      </c>
      <c r="B433" s="1">
        <v>7.56</v>
      </c>
      <c r="C433" s="1">
        <v>558</v>
      </c>
      <c r="D433" s="1" t="s">
        <v>11</v>
      </c>
      <c r="E433" s="1" t="s">
        <v>7</v>
      </c>
      <c r="F433" s="1">
        <f t="shared" si="20"/>
        <v>756</v>
      </c>
      <c r="G433" s="12">
        <f t="shared" si="21"/>
        <v>73.80952380952381</v>
      </c>
    </row>
    <row r="434" spans="1:7" ht="13">
      <c r="A434" s="4" t="s">
        <v>114</v>
      </c>
      <c r="B434" s="1">
        <v>4.75</v>
      </c>
      <c r="C434" s="1">
        <v>451.2</v>
      </c>
      <c r="D434" s="1" t="s">
        <v>11</v>
      </c>
      <c r="E434" s="1" t="s">
        <v>8</v>
      </c>
      <c r="F434" s="1">
        <f t="shared" si="20"/>
        <v>475</v>
      </c>
      <c r="G434" s="12">
        <f t="shared" si="21"/>
        <v>94.989473684210523</v>
      </c>
    </row>
    <row r="435" spans="1:7" ht="13">
      <c r="A435" s="4" t="s">
        <v>114</v>
      </c>
      <c r="B435" s="1">
        <v>7.4</v>
      </c>
      <c r="C435" s="1">
        <v>507</v>
      </c>
      <c r="D435" s="1" t="s">
        <v>53</v>
      </c>
      <c r="E435" s="1" t="s">
        <v>17</v>
      </c>
      <c r="F435" s="1">
        <f t="shared" si="20"/>
        <v>740</v>
      </c>
      <c r="G435" s="12">
        <f t="shared" si="21"/>
        <v>68.513513513513516</v>
      </c>
    </row>
    <row r="436" spans="1:7" ht="13">
      <c r="A436" s="4" t="s">
        <v>114</v>
      </c>
      <c r="B436" s="1">
        <v>6.4</v>
      </c>
      <c r="C436" s="1">
        <v>330</v>
      </c>
      <c r="D436" s="1" t="s">
        <v>33</v>
      </c>
      <c r="E436" s="1" t="s">
        <v>15</v>
      </c>
      <c r="F436" s="1">
        <f t="shared" si="20"/>
        <v>640</v>
      </c>
      <c r="G436" s="12">
        <f t="shared" si="21"/>
        <v>51.5625</v>
      </c>
    </row>
    <row r="437" spans="1:7" ht="13">
      <c r="A437" s="4" t="s">
        <v>114</v>
      </c>
      <c r="B437" s="1">
        <v>5.22</v>
      </c>
      <c r="C437" s="1">
        <v>300</v>
      </c>
      <c r="D437" s="1" t="s">
        <v>48</v>
      </c>
      <c r="E437" s="1" t="s">
        <v>22</v>
      </c>
      <c r="F437" s="1">
        <f t="shared" si="20"/>
        <v>522</v>
      </c>
      <c r="G437" s="12">
        <f t="shared" si="21"/>
        <v>57.471264367816097</v>
      </c>
    </row>
    <row r="438" spans="1:7" ht="13">
      <c r="A438" s="4" t="s">
        <v>114</v>
      </c>
      <c r="B438" s="1">
        <v>7.56</v>
      </c>
      <c r="C438" s="1">
        <v>619</v>
      </c>
      <c r="D438" s="1" t="s">
        <v>11</v>
      </c>
      <c r="E438" s="1" t="s">
        <v>9</v>
      </c>
      <c r="F438" s="1">
        <f t="shared" si="20"/>
        <v>756</v>
      </c>
      <c r="G438" s="12">
        <f t="shared" si="21"/>
        <v>81.878306878306887</v>
      </c>
    </row>
    <row r="439" spans="1:7" ht="13">
      <c r="A439" s="4" t="s">
        <v>114</v>
      </c>
      <c r="B439" s="1">
        <v>5.88</v>
      </c>
      <c r="C439" s="1">
        <v>337</v>
      </c>
      <c r="D439" s="1" t="s">
        <v>38</v>
      </c>
      <c r="E439" s="1" t="s">
        <v>22</v>
      </c>
      <c r="F439" s="1">
        <f t="shared" si="20"/>
        <v>588</v>
      </c>
      <c r="G439" s="12">
        <f t="shared" si="21"/>
        <v>57.312925170068027</v>
      </c>
    </row>
    <row r="440" spans="1:7" ht="13">
      <c r="A440" s="4" t="s">
        <v>114</v>
      </c>
      <c r="B440" s="1">
        <v>8.6</v>
      </c>
      <c r="C440" s="1">
        <v>528</v>
      </c>
      <c r="D440" s="1" t="s">
        <v>11</v>
      </c>
      <c r="E440" s="1" t="s">
        <v>16</v>
      </c>
      <c r="F440" s="1">
        <f t="shared" si="20"/>
        <v>860</v>
      </c>
      <c r="G440" s="12">
        <f t="shared" si="21"/>
        <v>61.395348837209305</v>
      </c>
    </row>
    <row r="441" spans="1:7" ht="13">
      <c r="A441" s="4" t="s">
        <v>114</v>
      </c>
      <c r="B441" s="1">
        <v>5.39</v>
      </c>
      <c r="C441" s="1">
        <v>463</v>
      </c>
      <c r="D441" s="1" t="s">
        <v>11</v>
      </c>
      <c r="E441" s="1" t="s">
        <v>26</v>
      </c>
      <c r="F441" s="1">
        <f t="shared" si="20"/>
        <v>539</v>
      </c>
      <c r="G441" s="12">
        <f t="shared" si="21"/>
        <v>85.899814471243047</v>
      </c>
    </row>
    <row r="442" spans="1:7" ht="13">
      <c r="A442" s="4" t="s">
        <v>114</v>
      </c>
      <c r="B442" s="1">
        <v>6.56</v>
      </c>
      <c r="C442" s="1">
        <v>487</v>
      </c>
      <c r="D442" s="1" t="s">
        <v>34</v>
      </c>
      <c r="E442" s="1" t="s">
        <v>18</v>
      </c>
      <c r="F442" s="1">
        <f t="shared" si="20"/>
        <v>656</v>
      </c>
      <c r="G442" s="12">
        <f t="shared" si="21"/>
        <v>74.237804878048792</v>
      </c>
    </row>
    <row r="443" spans="1:7" ht="13">
      <c r="A443" s="4" t="s">
        <v>114</v>
      </c>
      <c r="B443" s="1">
        <v>4.5</v>
      </c>
      <c r="C443" s="1">
        <v>278</v>
      </c>
      <c r="D443" s="1" t="s">
        <v>38</v>
      </c>
      <c r="E443" s="1" t="s">
        <v>15</v>
      </c>
      <c r="F443" s="1">
        <f t="shared" si="20"/>
        <v>450</v>
      </c>
      <c r="G443" s="12">
        <f t="shared" si="21"/>
        <v>61.777777777777779</v>
      </c>
    </row>
    <row r="444" spans="1:7" ht="13">
      <c r="A444" s="4" t="s">
        <v>114</v>
      </c>
      <c r="B444" s="1">
        <v>7.74</v>
      </c>
      <c r="C444" s="1">
        <v>569</v>
      </c>
      <c r="D444" s="1" t="s">
        <v>11</v>
      </c>
      <c r="E444" s="1" t="s">
        <v>12</v>
      </c>
      <c r="F444" s="1">
        <f t="shared" si="20"/>
        <v>774</v>
      </c>
      <c r="G444" s="12">
        <f t="shared" si="21"/>
        <v>73.514211886304906</v>
      </c>
    </row>
    <row r="445" spans="1:7" ht="13">
      <c r="A445" s="4" t="s">
        <v>114</v>
      </c>
      <c r="B445" s="1">
        <v>6.8</v>
      </c>
      <c r="C445" s="1">
        <v>383</v>
      </c>
      <c r="D445" s="1" t="s">
        <v>71</v>
      </c>
      <c r="E445" s="1" t="s">
        <v>22</v>
      </c>
      <c r="F445" s="1">
        <f t="shared" si="20"/>
        <v>680</v>
      </c>
      <c r="G445" s="12">
        <f t="shared" si="21"/>
        <v>56.32352941176471</v>
      </c>
    </row>
    <row r="446" spans="1:7" ht="13">
      <c r="A446" s="4" t="s">
        <v>114</v>
      </c>
      <c r="B446" s="1">
        <v>4.3499999999999996</v>
      </c>
      <c r="C446" s="1">
        <v>226</v>
      </c>
      <c r="D446" s="1" t="s">
        <v>11</v>
      </c>
      <c r="E446" s="1" t="s">
        <v>15</v>
      </c>
      <c r="F446" s="1">
        <f t="shared" si="20"/>
        <v>434.99999999999994</v>
      </c>
      <c r="G446" s="12">
        <f t="shared" si="21"/>
        <v>51.954022988505749</v>
      </c>
    </row>
    <row r="447" spans="1:7" ht="13">
      <c r="A447" s="4" t="s">
        <v>114</v>
      </c>
      <c r="B447" s="1">
        <v>6.56</v>
      </c>
      <c r="C447" s="1">
        <v>448</v>
      </c>
      <c r="D447" s="1" t="s">
        <v>11</v>
      </c>
      <c r="E447" s="1" t="s">
        <v>18</v>
      </c>
      <c r="F447" s="1">
        <f t="shared" si="20"/>
        <v>656</v>
      </c>
      <c r="G447" s="12">
        <f t="shared" si="21"/>
        <v>68.292682926829272</v>
      </c>
    </row>
    <row r="448" spans="1:7" ht="13">
      <c r="A448" s="4" t="s">
        <v>114</v>
      </c>
      <c r="B448" s="1">
        <v>4.3</v>
      </c>
      <c r="C448" s="1">
        <v>239</v>
      </c>
      <c r="D448" s="1" t="s">
        <v>33</v>
      </c>
      <c r="E448" s="1" t="s">
        <v>19</v>
      </c>
      <c r="F448" s="1">
        <f t="shared" si="20"/>
        <v>430</v>
      </c>
      <c r="G448" s="12">
        <f t="shared" si="21"/>
        <v>55.581395348837212</v>
      </c>
    </row>
    <row r="449" spans="1:7" ht="13">
      <c r="A449" s="4" t="s">
        <v>114</v>
      </c>
      <c r="B449" s="1">
        <v>8.6</v>
      </c>
      <c r="C449" s="1">
        <v>638</v>
      </c>
      <c r="D449" s="1" t="s">
        <v>11</v>
      </c>
      <c r="E449" s="1" t="s">
        <v>20</v>
      </c>
      <c r="F449" s="1">
        <f t="shared" si="20"/>
        <v>860</v>
      </c>
      <c r="G449" s="12">
        <f t="shared" si="21"/>
        <v>74.186046511627907</v>
      </c>
    </row>
    <row r="450" spans="1:7" ht="13">
      <c r="A450" s="4" t="s">
        <v>114</v>
      </c>
      <c r="B450" s="1">
        <v>7.4</v>
      </c>
      <c r="C450" s="1">
        <v>361</v>
      </c>
      <c r="D450" s="1" t="s">
        <v>45</v>
      </c>
      <c r="E450" s="1" t="s">
        <v>7</v>
      </c>
      <c r="F450" s="1">
        <f t="shared" si="20"/>
        <v>740</v>
      </c>
      <c r="G450" s="12">
        <f t="shared" si="21"/>
        <v>48.783783783783782</v>
      </c>
    </row>
    <row r="451" spans="1:7" ht="13">
      <c r="A451" s="4" t="s">
        <v>114</v>
      </c>
      <c r="B451" s="1">
        <v>6.1</v>
      </c>
      <c r="C451" s="1">
        <v>451</v>
      </c>
      <c r="D451" s="1" t="s">
        <v>11</v>
      </c>
      <c r="E451" s="1" t="s">
        <v>10</v>
      </c>
      <c r="F451" s="1">
        <f t="shared" ref="F451:F514" si="22">B451*100</f>
        <v>610</v>
      </c>
      <c r="G451" s="12">
        <f t="shared" ref="G451:G514" si="23">C451/B451</f>
        <v>73.934426229508205</v>
      </c>
    </row>
    <row r="452" spans="1:7" ht="13">
      <c r="A452" s="4" t="s">
        <v>114</v>
      </c>
      <c r="B452" s="1">
        <v>6.75</v>
      </c>
      <c r="C452" s="1">
        <v>410</v>
      </c>
      <c r="D452" s="1" t="s">
        <v>11</v>
      </c>
      <c r="E452" s="1" t="s">
        <v>26</v>
      </c>
      <c r="F452" s="1">
        <f t="shared" si="22"/>
        <v>675</v>
      </c>
      <c r="G452" s="12">
        <f t="shared" si="23"/>
        <v>60.74074074074074</v>
      </c>
    </row>
    <row r="453" spans="1:7" ht="13">
      <c r="A453" s="4" t="s">
        <v>114</v>
      </c>
      <c r="B453" s="1">
        <v>6.2</v>
      </c>
      <c r="C453" s="1">
        <v>436</v>
      </c>
      <c r="D453" s="1" t="s">
        <v>11</v>
      </c>
      <c r="E453" s="1" t="s">
        <v>12</v>
      </c>
      <c r="F453" s="1">
        <f t="shared" si="22"/>
        <v>620</v>
      </c>
      <c r="G453" s="12">
        <f t="shared" si="23"/>
        <v>70.322580645161295</v>
      </c>
    </row>
    <row r="454" spans="1:7" ht="13">
      <c r="A454" s="4" t="s">
        <v>114</v>
      </c>
      <c r="B454" s="1">
        <v>5.52</v>
      </c>
      <c r="C454" s="1">
        <v>428</v>
      </c>
      <c r="D454" s="1" t="s">
        <v>11</v>
      </c>
      <c r="E454" s="1" t="s">
        <v>26</v>
      </c>
      <c r="F454" s="1">
        <f t="shared" si="22"/>
        <v>552</v>
      </c>
      <c r="G454" s="12">
        <f t="shared" si="23"/>
        <v>77.536231884057983</v>
      </c>
    </row>
    <row r="455" spans="1:7" ht="13">
      <c r="A455" s="4" t="s">
        <v>114</v>
      </c>
      <c r="B455" s="1">
        <v>6.88</v>
      </c>
      <c r="C455" s="1">
        <v>479</v>
      </c>
      <c r="D455" s="1" t="s">
        <v>39</v>
      </c>
      <c r="E455" s="1" t="s">
        <v>17</v>
      </c>
      <c r="F455" s="1">
        <f t="shared" si="22"/>
        <v>688</v>
      </c>
      <c r="G455" s="12">
        <f t="shared" si="23"/>
        <v>69.622093023255815</v>
      </c>
    </row>
    <row r="456" spans="1:7" ht="13">
      <c r="A456" s="4" t="s">
        <v>114</v>
      </c>
      <c r="B456" s="1">
        <v>7.2</v>
      </c>
      <c r="C456" s="1">
        <v>489</v>
      </c>
      <c r="D456" s="1" t="s">
        <v>11</v>
      </c>
      <c r="E456" s="1" t="s">
        <v>28</v>
      </c>
      <c r="F456" s="1">
        <f t="shared" si="22"/>
        <v>720</v>
      </c>
      <c r="G456" s="12">
        <f t="shared" si="23"/>
        <v>67.916666666666671</v>
      </c>
    </row>
    <row r="457" spans="1:7" ht="13">
      <c r="A457" s="4" t="s">
        <v>114</v>
      </c>
      <c r="B457" s="1">
        <v>7.6</v>
      </c>
      <c r="C457" s="1">
        <v>475</v>
      </c>
      <c r="D457" s="1" t="s">
        <v>33</v>
      </c>
      <c r="E457" s="1" t="s">
        <v>17</v>
      </c>
      <c r="F457" s="1">
        <f t="shared" si="22"/>
        <v>760</v>
      </c>
      <c r="G457" s="12">
        <f t="shared" si="23"/>
        <v>62.5</v>
      </c>
    </row>
    <row r="458" spans="1:7" ht="13">
      <c r="A458" s="4" t="s">
        <v>114</v>
      </c>
      <c r="B458" s="1">
        <v>4.3499999999999996</v>
      </c>
      <c r="C458" s="1">
        <v>350</v>
      </c>
      <c r="D458" s="1" t="s">
        <v>39</v>
      </c>
      <c r="E458" s="1" t="s">
        <v>17</v>
      </c>
      <c r="F458" s="1">
        <f t="shared" si="22"/>
        <v>434.99999999999994</v>
      </c>
      <c r="G458" s="12">
        <f t="shared" si="23"/>
        <v>80.459770114942529</v>
      </c>
    </row>
    <row r="459" spans="1:7" ht="13">
      <c r="A459" s="4" t="s">
        <v>114</v>
      </c>
      <c r="B459" s="1">
        <v>6</v>
      </c>
      <c r="C459" s="1">
        <v>382</v>
      </c>
      <c r="D459" s="1" t="s">
        <v>11</v>
      </c>
      <c r="E459" s="1" t="s">
        <v>30</v>
      </c>
      <c r="F459" s="1">
        <f t="shared" si="22"/>
        <v>600</v>
      </c>
      <c r="G459" s="12">
        <f t="shared" si="23"/>
        <v>63.666666666666664</v>
      </c>
    </row>
    <row r="460" spans="1:7" ht="13">
      <c r="A460" s="4" t="s">
        <v>114</v>
      </c>
      <c r="B460" s="1">
        <v>6.88</v>
      </c>
      <c r="C460" s="1">
        <v>528</v>
      </c>
      <c r="D460" s="1" t="s">
        <v>11</v>
      </c>
      <c r="E460" s="1" t="s">
        <v>8</v>
      </c>
      <c r="F460" s="1">
        <f t="shared" si="22"/>
        <v>688</v>
      </c>
      <c r="G460" s="12">
        <f t="shared" si="23"/>
        <v>76.744186046511629</v>
      </c>
    </row>
    <row r="461" spans="1:7" ht="13">
      <c r="A461" s="4" t="s">
        <v>114</v>
      </c>
      <c r="B461" s="1">
        <v>6.96</v>
      </c>
      <c r="C461" s="1">
        <v>376</v>
      </c>
      <c r="D461" s="1" t="s">
        <v>33</v>
      </c>
      <c r="E461" s="1" t="s">
        <v>12</v>
      </c>
      <c r="F461" s="1">
        <f t="shared" si="22"/>
        <v>696</v>
      </c>
      <c r="G461" s="12">
        <f t="shared" si="23"/>
        <v>54.022988505747129</v>
      </c>
    </row>
    <row r="462" spans="1:7" ht="13">
      <c r="A462" s="4" t="s">
        <v>114</v>
      </c>
      <c r="B462" s="1">
        <v>7.4</v>
      </c>
      <c r="C462" s="1">
        <v>419</v>
      </c>
      <c r="D462" s="1" t="s">
        <v>38</v>
      </c>
      <c r="E462" s="1" t="s">
        <v>10</v>
      </c>
      <c r="F462" s="1">
        <f t="shared" si="22"/>
        <v>740</v>
      </c>
      <c r="G462" s="12">
        <f t="shared" si="23"/>
        <v>56.621621621621621</v>
      </c>
    </row>
    <row r="463" spans="1:7" ht="13">
      <c r="A463" s="4" t="s">
        <v>114</v>
      </c>
      <c r="B463" s="1">
        <v>4.9000000000000004</v>
      </c>
      <c r="C463" s="1">
        <v>287</v>
      </c>
      <c r="D463" s="1" t="s">
        <v>38</v>
      </c>
      <c r="E463" s="1" t="s">
        <v>14</v>
      </c>
      <c r="F463" s="1">
        <f t="shared" si="22"/>
        <v>490.00000000000006</v>
      </c>
      <c r="G463" s="12">
        <f t="shared" si="23"/>
        <v>58.571428571428569</v>
      </c>
    </row>
    <row r="464" spans="1:7" ht="13">
      <c r="A464" s="4" t="s">
        <v>114</v>
      </c>
      <c r="B464" s="1">
        <v>6.8</v>
      </c>
      <c r="C464" s="1">
        <v>438</v>
      </c>
      <c r="D464" s="1" t="s">
        <v>11</v>
      </c>
      <c r="E464" s="1" t="s">
        <v>26</v>
      </c>
      <c r="F464" s="1">
        <f t="shared" si="22"/>
        <v>680</v>
      </c>
      <c r="G464" s="12">
        <f t="shared" si="23"/>
        <v>64.411764705882348</v>
      </c>
    </row>
    <row r="465" spans="1:7" ht="13">
      <c r="A465" s="4" t="s">
        <v>114</v>
      </c>
      <c r="B465" s="1">
        <v>3.2</v>
      </c>
      <c r="C465" s="1">
        <v>201</v>
      </c>
      <c r="D465" s="1" t="s">
        <v>39</v>
      </c>
      <c r="E465" s="1" t="s">
        <v>17</v>
      </c>
      <c r="F465" s="1">
        <f t="shared" si="22"/>
        <v>320</v>
      </c>
      <c r="G465" s="12">
        <f t="shared" si="23"/>
        <v>62.8125</v>
      </c>
    </row>
    <row r="466" spans="1:7" ht="13">
      <c r="A466" s="4" t="s">
        <v>114</v>
      </c>
      <c r="B466" s="1">
        <v>7</v>
      </c>
      <c r="C466" s="1">
        <v>391</v>
      </c>
      <c r="D466" s="1" t="s">
        <v>33</v>
      </c>
      <c r="E466" s="1" t="s">
        <v>15</v>
      </c>
      <c r="F466" s="1">
        <f t="shared" si="22"/>
        <v>700</v>
      </c>
      <c r="G466" s="12">
        <f t="shared" si="23"/>
        <v>55.857142857142854</v>
      </c>
    </row>
    <row r="467" spans="1:7" ht="13">
      <c r="A467" s="4" t="s">
        <v>114</v>
      </c>
      <c r="B467" s="1">
        <v>6.88</v>
      </c>
      <c r="C467" s="1">
        <v>373</v>
      </c>
      <c r="D467" s="1" t="s">
        <v>53</v>
      </c>
      <c r="E467" s="1" t="s">
        <v>16</v>
      </c>
      <c r="F467" s="1">
        <f t="shared" si="22"/>
        <v>688</v>
      </c>
      <c r="G467" s="12">
        <f t="shared" si="23"/>
        <v>54.215116279069768</v>
      </c>
    </row>
    <row r="468" spans="1:7" ht="13">
      <c r="A468" s="4" t="s">
        <v>114</v>
      </c>
      <c r="B468" s="1">
        <v>6.88</v>
      </c>
      <c r="C468" s="1">
        <v>398</v>
      </c>
      <c r="D468" s="1" t="s">
        <v>33</v>
      </c>
      <c r="E468" s="1" t="s">
        <v>10</v>
      </c>
      <c r="F468" s="1">
        <f t="shared" si="22"/>
        <v>688</v>
      </c>
      <c r="G468" s="12">
        <f t="shared" si="23"/>
        <v>57.848837209302324</v>
      </c>
    </row>
    <row r="469" spans="1:7" ht="13">
      <c r="A469" s="4" t="s">
        <v>114</v>
      </c>
      <c r="B469" s="1">
        <v>6.8849999999999998</v>
      </c>
      <c r="C469" s="1">
        <v>383</v>
      </c>
      <c r="D469" s="1" t="s">
        <v>44</v>
      </c>
      <c r="E469" s="1" t="s">
        <v>22</v>
      </c>
      <c r="F469" s="1">
        <f t="shared" si="22"/>
        <v>688.5</v>
      </c>
      <c r="G469" s="12">
        <f t="shared" si="23"/>
        <v>55.62817719680465</v>
      </c>
    </row>
    <row r="470" spans="1:7" ht="13">
      <c r="A470" s="4" t="s">
        <v>114</v>
      </c>
      <c r="B470" s="1">
        <v>6</v>
      </c>
      <c r="C470" s="1">
        <v>313</v>
      </c>
      <c r="D470" s="1" t="s">
        <v>55</v>
      </c>
      <c r="E470" s="1" t="s">
        <v>15</v>
      </c>
      <c r="F470" s="1">
        <f t="shared" si="22"/>
        <v>600</v>
      </c>
      <c r="G470" s="12">
        <f t="shared" si="23"/>
        <v>52.166666666666664</v>
      </c>
    </row>
    <row r="471" spans="1:7" ht="13">
      <c r="A471" s="4" t="s">
        <v>114</v>
      </c>
      <c r="B471" s="1">
        <v>6</v>
      </c>
      <c r="C471" s="1">
        <v>460</v>
      </c>
      <c r="D471" s="1" t="s">
        <v>11</v>
      </c>
      <c r="E471" s="1" t="s">
        <v>22</v>
      </c>
      <c r="F471" s="1">
        <f t="shared" si="22"/>
        <v>600</v>
      </c>
      <c r="G471" s="12">
        <f t="shared" si="23"/>
        <v>76.666666666666671</v>
      </c>
    </row>
    <row r="472" spans="1:7" ht="13">
      <c r="A472" s="4" t="s">
        <v>114</v>
      </c>
      <c r="B472" s="1">
        <v>4</v>
      </c>
      <c r="C472" s="1">
        <v>170</v>
      </c>
      <c r="D472" s="1" t="s">
        <v>33</v>
      </c>
      <c r="E472" s="1" t="s">
        <v>15</v>
      </c>
      <c r="F472" s="1">
        <f t="shared" si="22"/>
        <v>400</v>
      </c>
      <c r="G472" s="12">
        <f t="shared" si="23"/>
        <v>42.5</v>
      </c>
    </row>
    <row r="473" spans="1:7" ht="13">
      <c r="A473" s="4" t="s">
        <v>114</v>
      </c>
      <c r="B473" s="1">
        <v>5.92</v>
      </c>
      <c r="C473" s="1">
        <v>432</v>
      </c>
      <c r="D473" s="1" t="s">
        <v>38</v>
      </c>
      <c r="E473" s="1" t="s">
        <v>31</v>
      </c>
      <c r="F473" s="1">
        <f t="shared" si="22"/>
        <v>592</v>
      </c>
      <c r="G473" s="12">
        <f t="shared" si="23"/>
        <v>72.972972972972968</v>
      </c>
    </row>
    <row r="474" spans="1:7" ht="13">
      <c r="A474" s="4" t="s">
        <v>114</v>
      </c>
      <c r="B474" s="1">
        <v>5.4</v>
      </c>
      <c r="C474" s="1">
        <v>359</v>
      </c>
      <c r="D474" s="1" t="s">
        <v>35</v>
      </c>
      <c r="E474" s="1" t="s">
        <v>8</v>
      </c>
      <c r="F474" s="1">
        <f t="shared" si="22"/>
        <v>540</v>
      </c>
      <c r="G474" s="12">
        <f t="shared" si="23"/>
        <v>66.481481481481481</v>
      </c>
    </row>
    <row r="475" spans="1:7" ht="13">
      <c r="A475" s="4" t="s">
        <v>114</v>
      </c>
      <c r="B475" s="1">
        <v>4</v>
      </c>
      <c r="C475" s="1">
        <v>274</v>
      </c>
      <c r="D475" s="1" t="s">
        <v>11</v>
      </c>
      <c r="E475" s="1" t="s">
        <v>24</v>
      </c>
      <c r="F475" s="1">
        <f t="shared" si="22"/>
        <v>400</v>
      </c>
      <c r="G475" s="12">
        <f t="shared" si="23"/>
        <v>68.5</v>
      </c>
    </row>
    <row r="476" spans="1:7" ht="13">
      <c r="A476" s="4" t="s">
        <v>114</v>
      </c>
      <c r="B476" s="1">
        <v>4.92</v>
      </c>
      <c r="C476" s="1">
        <v>367</v>
      </c>
      <c r="D476" s="1" t="s">
        <v>11</v>
      </c>
      <c r="E476" s="1" t="s">
        <v>17</v>
      </c>
      <c r="F476" s="1">
        <f t="shared" si="22"/>
        <v>492</v>
      </c>
      <c r="G476" s="12">
        <f t="shared" si="23"/>
        <v>74.59349593495935</v>
      </c>
    </row>
    <row r="477" spans="1:7" ht="13">
      <c r="A477" s="4" t="s">
        <v>114</v>
      </c>
      <c r="B477" s="1">
        <v>4</v>
      </c>
      <c r="C477" s="1">
        <v>222</v>
      </c>
      <c r="D477" s="1" t="s">
        <v>33</v>
      </c>
      <c r="E477" s="1" t="s">
        <v>22</v>
      </c>
      <c r="F477" s="1">
        <f t="shared" si="22"/>
        <v>400</v>
      </c>
      <c r="G477" s="12">
        <f t="shared" si="23"/>
        <v>55.5</v>
      </c>
    </row>
    <row r="478" spans="1:7" ht="13">
      <c r="A478" s="4" t="s">
        <v>114</v>
      </c>
      <c r="B478" s="1">
        <v>8.6999999999999993</v>
      </c>
      <c r="C478" s="1">
        <v>558</v>
      </c>
      <c r="D478" s="1" t="s">
        <v>11</v>
      </c>
      <c r="E478" s="1" t="s">
        <v>8</v>
      </c>
      <c r="F478" s="1">
        <f t="shared" si="22"/>
        <v>869.99999999999989</v>
      </c>
      <c r="G478" s="12">
        <f t="shared" si="23"/>
        <v>64.137931034482762</v>
      </c>
    </row>
    <row r="479" spans="1:7" ht="13">
      <c r="A479" s="4" t="s">
        <v>114</v>
      </c>
      <c r="B479" s="1">
        <v>8.1</v>
      </c>
      <c r="C479" s="1">
        <v>569</v>
      </c>
      <c r="D479" s="1" t="s">
        <v>33</v>
      </c>
      <c r="E479" s="1" t="s">
        <v>12</v>
      </c>
      <c r="F479" s="1">
        <f t="shared" si="22"/>
        <v>810</v>
      </c>
      <c r="G479" s="12">
        <f t="shared" si="23"/>
        <v>70.246913580246911</v>
      </c>
    </row>
    <row r="480" spans="1:7" ht="13">
      <c r="A480" s="4" t="s">
        <v>114</v>
      </c>
      <c r="B480" s="1">
        <v>4.3499999999999996</v>
      </c>
      <c r="C480" s="1">
        <v>400</v>
      </c>
      <c r="D480" s="1" t="s">
        <v>43</v>
      </c>
      <c r="E480" s="1" t="s">
        <v>9</v>
      </c>
      <c r="F480" s="1">
        <f t="shared" si="22"/>
        <v>434.99999999999994</v>
      </c>
      <c r="G480" s="12">
        <f t="shared" si="23"/>
        <v>91.954022988505756</v>
      </c>
    </row>
    <row r="481" spans="1:7" ht="13">
      <c r="A481" s="4" t="s">
        <v>114</v>
      </c>
      <c r="B481" s="1">
        <v>6.1</v>
      </c>
      <c r="C481" s="1">
        <v>359</v>
      </c>
      <c r="D481" s="1" t="s">
        <v>48</v>
      </c>
      <c r="E481" s="1" t="s">
        <v>23</v>
      </c>
      <c r="F481" s="1">
        <f t="shared" si="22"/>
        <v>610</v>
      </c>
      <c r="G481" s="12">
        <f t="shared" si="23"/>
        <v>58.852459016393446</v>
      </c>
    </row>
    <row r="482" spans="1:7" ht="13">
      <c r="A482" s="4" t="s">
        <v>114</v>
      </c>
      <c r="B482" s="1">
        <v>5.5</v>
      </c>
      <c r="C482" s="1">
        <v>363</v>
      </c>
      <c r="D482" s="1" t="s">
        <v>42</v>
      </c>
      <c r="E482" s="1" t="s">
        <v>17</v>
      </c>
      <c r="F482" s="1">
        <f t="shared" si="22"/>
        <v>550</v>
      </c>
      <c r="G482" s="12">
        <f t="shared" si="23"/>
        <v>66</v>
      </c>
    </row>
    <row r="483" spans="1:7" ht="13">
      <c r="A483" s="4" t="s">
        <v>114</v>
      </c>
      <c r="B483" s="1">
        <v>4</v>
      </c>
      <c r="C483" s="1">
        <v>192</v>
      </c>
      <c r="D483" s="1" t="s">
        <v>50</v>
      </c>
      <c r="E483" s="1" t="s">
        <v>15</v>
      </c>
      <c r="F483" s="1">
        <f t="shared" si="22"/>
        <v>400</v>
      </c>
      <c r="G483" s="12">
        <f t="shared" si="23"/>
        <v>48</v>
      </c>
    </row>
    <row r="484" spans="1:7" ht="13">
      <c r="A484" s="4" t="s">
        <v>114</v>
      </c>
      <c r="B484" s="1">
        <v>5.8</v>
      </c>
      <c r="C484" s="1">
        <v>428</v>
      </c>
      <c r="D484" s="1" t="s">
        <v>11</v>
      </c>
      <c r="E484" s="1" t="s">
        <v>16</v>
      </c>
      <c r="F484" s="1">
        <f t="shared" si="22"/>
        <v>580</v>
      </c>
      <c r="G484" s="12">
        <f t="shared" si="23"/>
        <v>73.793103448275858</v>
      </c>
    </row>
    <row r="485" spans="1:7" ht="13">
      <c r="A485" s="4" t="s">
        <v>114</v>
      </c>
      <c r="B485" s="1">
        <v>6.5</v>
      </c>
      <c r="C485" s="1">
        <v>443</v>
      </c>
      <c r="D485" s="1" t="s">
        <v>72</v>
      </c>
      <c r="E485" s="1" t="s">
        <v>8</v>
      </c>
      <c r="F485" s="1">
        <f t="shared" si="22"/>
        <v>650</v>
      </c>
      <c r="G485" s="12">
        <f t="shared" si="23"/>
        <v>68.15384615384616</v>
      </c>
    </row>
    <row r="486" spans="1:7" ht="13">
      <c r="A486" s="4" t="s">
        <v>114</v>
      </c>
      <c r="B486" s="1">
        <v>6</v>
      </c>
      <c r="C486" s="1">
        <v>405</v>
      </c>
      <c r="D486" s="1" t="s">
        <v>42</v>
      </c>
      <c r="E486" s="1" t="s">
        <v>26</v>
      </c>
      <c r="F486" s="1">
        <f t="shared" si="22"/>
        <v>600</v>
      </c>
      <c r="G486" s="12">
        <f t="shared" si="23"/>
        <v>67.5</v>
      </c>
    </row>
    <row r="487" spans="1:7" ht="13">
      <c r="A487" s="4" t="s">
        <v>114</v>
      </c>
      <c r="B487" s="1">
        <v>6.88</v>
      </c>
      <c r="C487" s="1">
        <v>350</v>
      </c>
      <c r="D487" s="1" t="s">
        <v>73</v>
      </c>
      <c r="E487" s="1" t="s">
        <v>32</v>
      </c>
      <c r="F487" s="1">
        <f t="shared" si="22"/>
        <v>688</v>
      </c>
      <c r="G487" s="12">
        <f t="shared" si="23"/>
        <v>50.872093023255815</v>
      </c>
    </row>
    <row r="488" spans="1:7" ht="13">
      <c r="A488" s="4" t="s">
        <v>114</v>
      </c>
      <c r="B488" s="1">
        <v>7.1</v>
      </c>
      <c r="C488" s="1">
        <v>493</v>
      </c>
      <c r="D488" s="1" t="s">
        <v>47</v>
      </c>
      <c r="E488" s="1" t="s">
        <v>25</v>
      </c>
      <c r="F488" s="1">
        <f t="shared" si="22"/>
        <v>710</v>
      </c>
      <c r="G488" s="12">
        <f t="shared" si="23"/>
        <v>69.436619718309856</v>
      </c>
    </row>
    <row r="489" spans="1:7" ht="13">
      <c r="A489" s="4" t="s">
        <v>114</v>
      </c>
      <c r="B489" s="1">
        <v>7.74</v>
      </c>
      <c r="C489" s="1">
        <v>501</v>
      </c>
      <c r="D489" s="1" t="s">
        <v>44</v>
      </c>
      <c r="E489" s="1" t="s">
        <v>9</v>
      </c>
      <c r="F489" s="1">
        <f t="shared" si="22"/>
        <v>774</v>
      </c>
      <c r="G489" s="12">
        <f t="shared" si="23"/>
        <v>64.728682170542641</v>
      </c>
    </row>
    <row r="490" spans="1:7" ht="13">
      <c r="A490" s="4" t="s">
        <v>114</v>
      </c>
      <c r="B490" s="1">
        <v>7.8</v>
      </c>
      <c r="C490" s="1">
        <v>494</v>
      </c>
      <c r="D490" s="1" t="s">
        <v>44</v>
      </c>
      <c r="E490" s="1" t="s">
        <v>12</v>
      </c>
      <c r="F490" s="1">
        <f t="shared" si="22"/>
        <v>780</v>
      </c>
      <c r="G490" s="12">
        <f t="shared" si="23"/>
        <v>63.333333333333336</v>
      </c>
    </row>
    <row r="491" spans="1:7" ht="13">
      <c r="A491" s="4" t="s">
        <v>114</v>
      </c>
      <c r="B491" s="1">
        <v>6.8</v>
      </c>
      <c r="C491" s="1">
        <v>503</v>
      </c>
      <c r="D491" s="1" t="s">
        <v>11</v>
      </c>
      <c r="E491" s="1" t="s">
        <v>23</v>
      </c>
      <c r="F491" s="1">
        <f t="shared" si="22"/>
        <v>680</v>
      </c>
      <c r="G491" s="12">
        <f t="shared" si="23"/>
        <v>73.970588235294116</v>
      </c>
    </row>
    <row r="492" spans="1:7" ht="13">
      <c r="A492" s="4" t="s">
        <v>114</v>
      </c>
      <c r="B492" s="1">
        <v>14</v>
      </c>
      <c r="C492" s="1">
        <v>353</v>
      </c>
      <c r="D492" s="1" t="s">
        <v>33</v>
      </c>
      <c r="E492" s="1" t="s">
        <v>30</v>
      </c>
      <c r="F492" s="1">
        <f t="shared" si="22"/>
        <v>1400</v>
      </c>
      <c r="G492" s="12">
        <f t="shared" si="23"/>
        <v>25.214285714285715</v>
      </c>
    </row>
    <row r="493" spans="1:7" ht="13">
      <c r="A493" s="4" t="s">
        <v>114</v>
      </c>
      <c r="B493" s="1">
        <v>7</v>
      </c>
      <c r="C493" s="1">
        <v>423</v>
      </c>
      <c r="D493" s="1" t="s">
        <v>11</v>
      </c>
      <c r="E493" s="1" t="s">
        <v>8</v>
      </c>
      <c r="F493" s="1">
        <f t="shared" si="22"/>
        <v>700</v>
      </c>
      <c r="G493" s="12">
        <f t="shared" si="23"/>
        <v>60.428571428571431</v>
      </c>
    </row>
    <row r="494" spans="1:7" ht="13">
      <c r="A494" s="4" t="s">
        <v>114</v>
      </c>
      <c r="B494" s="1">
        <v>6.72</v>
      </c>
      <c r="C494" s="1">
        <v>483</v>
      </c>
      <c r="D494" s="1" t="s">
        <v>11</v>
      </c>
      <c r="E494" s="1" t="s">
        <v>17</v>
      </c>
      <c r="F494" s="1">
        <f t="shared" si="22"/>
        <v>672</v>
      </c>
      <c r="G494" s="12">
        <f t="shared" si="23"/>
        <v>71.875</v>
      </c>
    </row>
    <row r="495" spans="1:7" ht="13">
      <c r="A495" s="4" t="s">
        <v>114</v>
      </c>
      <c r="B495" s="1">
        <v>7.29</v>
      </c>
      <c r="C495" s="1">
        <v>435</v>
      </c>
      <c r="D495" s="1" t="s">
        <v>11</v>
      </c>
      <c r="E495" s="1" t="s">
        <v>27</v>
      </c>
      <c r="F495" s="1">
        <f t="shared" si="22"/>
        <v>729</v>
      </c>
      <c r="G495" s="12">
        <f t="shared" si="23"/>
        <v>59.670781893004111</v>
      </c>
    </row>
    <row r="496" spans="1:7" ht="13">
      <c r="A496" s="4" t="s">
        <v>114</v>
      </c>
      <c r="B496" s="1">
        <v>8.1</v>
      </c>
      <c r="C496" s="1">
        <v>435</v>
      </c>
      <c r="D496" s="1" t="s">
        <v>33</v>
      </c>
      <c r="E496" s="1" t="s">
        <v>17</v>
      </c>
      <c r="F496" s="1">
        <f t="shared" si="22"/>
        <v>810</v>
      </c>
      <c r="G496" s="12">
        <f t="shared" si="23"/>
        <v>53.703703703703709</v>
      </c>
    </row>
    <row r="497" spans="1:7" ht="13">
      <c r="A497" s="4" t="s">
        <v>114</v>
      </c>
      <c r="B497" s="1">
        <v>7.9</v>
      </c>
      <c r="C497" s="1">
        <v>550</v>
      </c>
      <c r="D497" s="1" t="s">
        <v>35</v>
      </c>
      <c r="E497" s="1" t="s">
        <v>8</v>
      </c>
      <c r="F497" s="1">
        <f t="shared" si="22"/>
        <v>790</v>
      </c>
      <c r="G497" s="12">
        <f t="shared" si="23"/>
        <v>69.620253164556956</v>
      </c>
    </row>
    <row r="498" spans="1:7" ht="13">
      <c r="A498" s="4" t="s">
        <v>114</v>
      </c>
      <c r="B498" s="1">
        <v>4.5</v>
      </c>
      <c r="C498" s="1">
        <v>235</v>
      </c>
      <c r="D498" s="1" t="s">
        <v>33</v>
      </c>
      <c r="E498" s="1" t="s">
        <v>8</v>
      </c>
      <c r="F498" s="1">
        <f t="shared" si="22"/>
        <v>450</v>
      </c>
      <c r="G498" s="12">
        <f t="shared" si="23"/>
        <v>52.222222222222221</v>
      </c>
    </row>
    <row r="499" spans="1:7" ht="13">
      <c r="A499" s="4" t="s">
        <v>114</v>
      </c>
      <c r="B499" s="1">
        <v>5</v>
      </c>
      <c r="C499" s="1">
        <v>294</v>
      </c>
      <c r="D499" s="1" t="s">
        <v>33</v>
      </c>
      <c r="E499" s="1" t="s">
        <v>15</v>
      </c>
      <c r="F499" s="1">
        <f t="shared" si="22"/>
        <v>500</v>
      </c>
      <c r="G499" s="12">
        <f t="shared" si="23"/>
        <v>58.8</v>
      </c>
    </row>
    <row r="500" spans="1:7" ht="13">
      <c r="A500" s="4" t="s">
        <v>114</v>
      </c>
      <c r="B500" s="1">
        <v>7</v>
      </c>
      <c r="C500" s="1">
        <v>434</v>
      </c>
      <c r="D500" s="1" t="s">
        <v>11</v>
      </c>
      <c r="E500" s="1" t="s">
        <v>10</v>
      </c>
      <c r="F500" s="1">
        <f t="shared" si="22"/>
        <v>700</v>
      </c>
      <c r="G500" s="12">
        <f t="shared" si="23"/>
        <v>62</v>
      </c>
    </row>
    <row r="501" spans="1:7" ht="13">
      <c r="A501" s="4" t="s">
        <v>114</v>
      </c>
      <c r="B501" s="1">
        <v>4.8</v>
      </c>
      <c r="C501" s="1">
        <v>256</v>
      </c>
      <c r="D501" s="1" t="s">
        <v>42</v>
      </c>
      <c r="E501" s="1" t="s">
        <v>12</v>
      </c>
      <c r="F501" s="1">
        <f t="shared" si="22"/>
        <v>480</v>
      </c>
      <c r="G501" s="12">
        <f t="shared" si="23"/>
        <v>53.333333333333336</v>
      </c>
    </row>
    <row r="502" spans="1:7" ht="13">
      <c r="A502" s="4" t="s">
        <v>114</v>
      </c>
      <c r="B502" s="1">
        <v>3.9</v>
      </c>
      <c r="C502" s="1">
        <v>279</v>
      </c>
      <c r="D502" s="1" t="s">
        <v>11</v>
      </c>
      <c r="E502" s="1" t="s">
        <v>19</v>
      </c>
      <c r="F502" s="1">
        <f t="shared" si="22"/>
        <v>390</v>
      </c>
      <c r="G502" s="12">
        <f t="shared" si="23"/>
        <v>71.538461538461533</v>
      </c>
    </row>
    <row r="503" spans="1:7" ht="13">
      <c r="A503" s="4" t="s">
        <v>114</v>
      </c>
      <c r="B503" s="1">
        <v>5.8</v>
      </c>
      <c r="C503" s="1">
        <v>331</v>
      </c>
      <c r="D503" s="1" t="s">
        <v>74</v>
      </c>
      <c r="E503" s="1" t="s">
        <v>10</v>
      </c>
      <c r="F503" s="1">
        <f t="shared" si="22"/>
        <v>580</v>
      </c>
      <c r="G503" s="12">
        <f t="shared" si="23"/>
        <v>57.068965517241381</v>
      </c>
    </row>
    <row r="504" spans="1:7" ht="13">
      <c r="A504" s="4" t="s">
        <v>114</v>
      </c>
      <c r="B504" s="1">
        <v>4</v>
      </c>
      <c r="C504" s="1">
        <v>262</v>
      </c>
      <c r="D504" s="1" t="s">
        <v>47</v>
      </c>
      <c r="E504" s="1" t="s">
        <v>31</v>
      </c>
      <c r="F504" s="1">
        <f t="shared" si="22"/>
        <v>400</v>
      </c>
      <c r="G504" s="12">
        <f t="shared" si="23"/>
        <v>65.5</v>
      </c>
    </row>
    <row r="505" spans="1:7" ht="13">
      <c r="A505" s="4" t="s">
        <v>114</v>
      </c>
      <c r="B505" s="1">
        <v>6.3</v>
      </c>
      <c r="C505" s="1">
        <v>401</v>
      </c>
      <c r="D505" s="1" t="s">
        <v>39</v>
      </c>
      <c r="E505" s="1" t="s">
        <v>23</v>
      </c>
      <c r="F505" s="1">
        <f t="shared" si="22"/>
        <v>630</v>
      </c>
      <c r="G505" s="12">
        <f t="shared" si="23"/>
        <v>63.650793650793652</v>
      </c>
    </row>
    <row r="506" spans="1:7" ht="13">
      <c r="A506" s="4" t="s">
        <v>114</v>
      </c>
      <c r="B506" s="1">
        <v>6</v>
      </c>
      <c r="C506" s="1">
        <v>303</v>
      </c>
      <c r="D506" s="1" t="s">
        <v>67</v>
      </c>
      <c r="E506" s="1" t="s">
        <v>19</v>
      </c>
      <c r="F506" s="1">
        <f t="shared" si="22"/>
        <v>600</v>
      </c>
      <c r="G506" s="12">
        <f t="shared" si="23"/>
        <v>50.5</v>
      </c>
    </row>
    <row r="507" spans="1:7" ht="13">
      <c r="A507" s="4" t="s">
        <v>114</v>
      </c>
      <c r="B507" s="1">
        <v>6.23</v>
      </c>
      <c r="C507" s="1">
        <v>492</v>
      </c>
      <c r="D507" s="1" t="s">
        <v>11</v>
      </c>
      <c r="E507" s="1" t="s">
        <v>17</v>
      </c>
      <c r="F507" s="1">
        <f t="shared" si="22"/>
        <v>623</v>
      </c>
      <c r="G507" s="12">
        <f t="shared" si="23"/>
        <v>78.972712680577843</v>
      </c>
    </row>
    <row r="508" spans="1:7" ht="13">
      <c r="A508" s="4" t="s">
        <v>114</v>
      </c>
      <c r="B508" s="1">
        <v>9.8000000000000007</v>
      </c>
      <c r="C508" s="1">
        <v>512</v>
      </c>
      <c r="D508" s="1" t="s">
        <v>33</v>
      </c>
      <c r="E508" s="1" t="s">
        <v>22</v>
      </c>
      <c r="F508" s="1">
        <f t="shared" si="22"/>
        <v>980.00000000000011</v>
      </c>
      <c r="G508" s="12">
        <f t="shared" si="23"/>
        <v>52.244897959183668</v>
      </c>
    </row>
    <row r="509" spans="1:7" ht="13">
      <c r="A509" s="4" t="s">
        <v>114</v>
      </c>
      <c r="B509" s="1">
        <v>6.2</v>
      </c>
      <c r="C509" s="1">
        <v>429</v>
      </c>
      <c r="D509" s="1" t="s">
        <v>11</v>
      </c>
      <c r="E509" s="1" t="s">
        <v>22</v>
      </c>
      <c r="F509" s="1">
        <f t="shared" si="22"/>
        <v>620</v>
      </c>
      <c r="G509" s="12">
        <f t="shared" si="23"/>
        <v>69.193548387096769</v>
      </c>
    </row>
    <row r="510" spans="1:7" ht="13">
      <c r="A510" s="4" t="s">
        <v>114</v>
      </c>
      <c r="B510" s="1">
        <v>5.2</v>
      </c>
      <c r="C510" s="1">
        <v>328</v>
      </c>
      <c r="D510" s="1" t="s">
        <v>39</v>
      </c>
      <c r="E510" s="1" t="s">
        <v>18</v>
      </c>
      <c r="F510" s="1">
        <f t="shared" si="22"/>
        <v>520</v>
      </c>
      <c r="G510" s="12">
        <f t="shared" si="23"/>
        <v>63.076923076923073</v>
      </c>
    </row>
    <row r="511" spans="1:7" ht="13">
      <c r="A511" s="4" t="s">
        <v>114</v>
      </c>
      <c r="B511" s="1">
        <v>3.44</v>
      </c>
      <c r="C511" s="1">
        <v>277</v>
      </c>
      <c r="D511" s="1" t="s">
        <v>43</v>
      </c>
      <c r="E511" s="1" t="s">
        <v>8</v>
      </c>
      <c r="F511" s="1">
        <f t="shared" si="22"/>
        <v>344</v>
      </c>
      <c r="G511" s="12">
        <f t="shared" si="23"/>
        <v>80.523255813953483</v>
      </c>
    </row>
    <row r="512" spans="1:7" ht="13">
      <c r="A512" s="4" t="s">
        <v>114</v>
      </c>
      <c r="B512" s="1">
        <v>7.74</v>
      </c>
      <c r="C512" s="1">
        <v>606.79999999999995</v>
      </c>
      <c r="D512" s="1" t="s">
        <v>11</v>
      </c>
      <c r="E512" s="1" t="s">
        <v>20</v>
      </c>
      <c r="F512" s="1">
        <f t="shared" si="22"/>
        <v>774</v>
      </c>
      <c r="G512" s="12">
        <f t="shared" si="23"/>
        <v>78.397932816537462</v>
      </c>
    </row>
    <row r="513" spans="1:7" ht="13">
      <c r="A513" s="4" t="s">
        <v>114</v>
      </c>
      <c r="B513" s="1">
        <v>9.5</v>
      </c>
      <c r="C513" s="1">
        <v>490</v>
      </c>
      <c r="D513" s="1" t="s">
        <v>33</v>
      </c>
      <c r="E513" s="1" t="s">
        <v>18</v>
      </c>
      <c r="F513" s="1">
        <f t="shared" si="22"/>
        <v>950</v>
      </c>
      <c r="G513" s="12">
        <f t="shared" si="23"/>
        <v>51.578947368421055</v>
      </c>
    </row>
    <row r="514" spans="1:7" ht="13">
      <c r="A514" s="4" t="s">
        <v>114</v>
      </c>
      <c r="B514" s="1">
        <v>6.09</v>
      </c>
      <c r="C514" s="1">
        <v>418.32</v>
      </c>
      <c r="D514" s="1" t="s">
        <v>43</v>
      </c>
      <c r="E514" s="1" t="s">
        <v>8</v>
      </c>
      <c r="F514" s="1">
        <f t="shared" si="22"/>
        <v>609</v>
      </c>
      <c r="G514" s="12">
        <f t="shared" si="23"/>
        <v>68.689655172413794</v>
      </c>
    </row>
    <row r="515" spans="1:7" ht="13">
      <c r="A515" s="4" t="s">
        <v>114</v>
      </c>
      <c r="B515" s="1">
        <v>7.2</v>
      </c>
      <c r="C515" s="1">
        <v>498</v>
      </c>
      <c r="D515" s="1" t="s">
        <v>47</v>
      </c>
      <c r="E515" s="1" t="s">
        <v>17</v>
      </c>
      <c r="F515" s="1">
        <f t="shared" ref="F515:F578" si="24">B515*100</f>
        <v>720</v>
      </c>
      <c r="G515" s="12">
        <f t="shared" ref="G515:G578" si="25">C515/B515</f>
        <v>69.166666666666671</v>
      </c>
    </row>
    <row r="516" spans="1:7" ht="13">
      <c r="A516" s="4" t="s">
        <v>114</v>
      </c>
      <c r="B516" s="1">
        <v>7.8</v>
      </c>
      <c r="C516" s="1">
        <v>420</v>
      </c>
      <c r="D516" s="1" t="s">
        <v>33</v>
      </c>
      <c r="E516" s="1" t="s">
        <v>30</v>
      </c>
      <c r="F516" s="1">
        <f t="shared" si="24"/>
        <v>780</v>
      </c>
      <c r="G516" s="12">
        <f t="shared" si="25"/>
        <v>53.846153846153847</v>
      </c>
    </row>
    <row r="517" spans="1:7" ht="13">
      <c r="A517" s="4" t="s">
        <v>114</v>
      </c>
      <c r="B517" s="1">
        <v>8.4</v>
      </c>
      <c r="C517" s="1">
        <v>484</v>
      </c>
      <c r="D517" s="1" t="s">
        <v>33</v>
      </c>
      <c r="E517" s="1" t="s">
        <v>25</v>
      </c>
      <c r="F517" s="1">
        <f t="shared" si="24"/>
        <v>840</v>
      </c>
      <c r="G517" s="12">
        <f t="shared" si="25"/>
        <v>57.619047619047613</v>
      </c>
    </row>
    <row r="518" spans="1:7" ht="13">
      <c r="A518" s="4" t="s">
        <v>114</v>
      </c>
      <c r="B518" s="1">
        <v>3</v>
      </c>
      <c r="C518" s="1">
        <v>239.05</v>
      </c>
      <c r="D518" s="1" t="s">
        <v>11</v>
      </c>
      <c r="E518" s="1" t="s">
        <v>25</v>
      </c>
      <c r="F518" s="1">
        <f t="shared" si="24"/>
        <v>300</v>
      </c>
      <c r="G518" s="12">
        <f t="shared" si="25"/>
        <v>79.683333333333337</v>
      </c>
    </row>
    <row r="519" spans="1:7" ht="13">
      <c r="A519" s="4" t="s">
        <v>114</v>
      </c>
      <c r="B519" s="1">
        <v>3.8</v>
      </c>
      <c r="C519" s="1">
        <v>238</v>
      </c>
      <c r="D519" s="1" t="s">
        <v>11</v>
      </c>
      <c r="E519" s="1" t="s">
        <v>31</v>
      </c>
      <c r="F519" s="1">
        <f t="shared" si="24"/>
        <v>380</v>
      </c>
      <c r="G519" s="12">
        <f t="shared" si="25"/>
        <v>62.631578947368425</v>
      </c>
    </row>
    <row r="520" spans="1:7" ht="13">
      <c r="A520" s="4" t="s">
        <v>114</v>
      </c>
      <c r="B520" s="1">
        <v>6.5</v>
      </c>
      <c r="C520" s="1">
        <v>540</v>
      </c>
      <c r="D520" s="1" t="s">
        <v>11</v>
      </c>
      <c r="E520" s="1" t="s">
        <v>17</v>
      </c>
      <c r="F520" s="1">
        <f t="shared" si="24"/>
        <v>650</v>
      </c>
      <c r="G520" s="12">
        <f t="shared" si="25"/>
        <v>83.07692307692308</v>
      </c>
    </row>
    <row r="521" spans="1:7" ht="13">
      <c r="A521" s="4" t="s">
        <v>114</v>
      </c>
      <c r="B521" s="1">
        <v>6.44</v>
      </c>
      <c r="C521" s="1">
        <v>447</v>
      </c>
      <c r="D521" s="1" t="s">
        <v>42</v>
      </c>
      <c r="E521" s="1" t="s">
        <v>22</v>
      </c>
      <c r="F521" s="1">
        <f t="shared" si="24"/>
        <v>644</v>
      </c>
      <c r="G521" s="12">
        <f t="shared" si="25"/>
        <v>69.409937888198755</v>
      </c>
    </row>
    <row r="522" spans="1:7" ht="13">
      <c r="A522" s="4" t="s">
        <v>114</v>
      </c>
      <c r="B522" s="1">
        <v>5.12</v>
      </c>
      <c r="C522" s="1">
        <v>321.2</v>
      </c>
      <c r="D522" s="1" t="s">
        <v>39</v>
      </c>
      <c r="E522" s="1" t="s">
        <v>15</v>
      </c>
      <c r="F522" s="1">
        <f t="shared" si="24"/>
        <v>512</v>
      </c>
      <c r="G522" s="12">
        <f t="shared" si="25"/>
        <v>62.734375</v>
      </c>
    </row>
    <row r="523" spans="1:7" ht="13">
      <c r="A523" s="4" t="s">
        <v>114</v>
      </c>
      <c r="B523" s="1">
        <v>6</v>
      </c>
      <c r="C523" s="1">
        <v>459.23</v>
      </c>
      <c r="D523" s="1" t="s">
        <v>11</v>
      </c>
      <c r="E523" s="1" t="s">
        <v>23</v>
      </c>
      <c r="F523" s="1">
        <f t="shared" si="24"/>
        <v>600</v>
      </c>
      <c r="G523" s="12">
        <f t="shared" si="25"/>
        <v>76.538333333333341</v>
      </c>
    </row>
    <row r="524" spans="1:7" ht="13">
      <c r="A524" s="4" t="s">
        <v>114</v>
      </c>
      <c r="B524" s="1">
        <v>7.4</v>
      </c>
      <c r="C524" s="1">
        <v>431</v>
      </c>
      <c r="D524" s="1" t="s">
        <v>33</v>
      </c>
      <c r="E524" s="1" t="s">
        <v>7</v>
      </c>
      <c r="F524" s="1">
        <f t="shared" si="24"/>
        <v>740</v>
      </c>
      <c r="G524" s="12">
        <f t="shared" si="25"/>
        <v>58.243243243243242</v>
      </c>
    </row>
    <row r="525" spans="1:7" ht="13">
      <c r="A525" s="4" t="s">
        <v>114</v>
      </c>
      <c r="B525" s="1">
        <v>8.8000000000000007</v>
      </c>
      <c r="C525" s="1">
        <v>550</v>
      </c>
      <c r="D525" s="1" t="s">
        <v>47</v>
      </c>
      <c r="E525" s="1" t="s">
        <v>30</v>
      </c>
      <c r="F525" s="1">
        <f t="shared" si="24"/>
        <v>880.00000000000011</v>
      </c>
      <c r="G525" s="12">
        <f t="shared" si="25"/>
        <v>62.499999999999993</v>
      </c>
    </row>
    <row r="526" spans="1:7" ht="13">
      <c r="A526" s="4" t="s">
        <v>114</v>
      </c>
      <c r="B526" s="1">
        <v>3.9</v>
      </c>
      <c r="C526" s="1">
        <v>240</v>
      </c>
      <c r="D526" s="1" t="s">
        <v>11</v>
      </c>
      <c r="E526" s="1" t="s">
        <v>15</v>
      </c>
      <c r="F526" s="1">
        <f t="shared" si="24"/>
        <v>390</v>
      </c>
      <c r="G526" s="12">
        <f t="shared" si="25"/>
        <v>61.53846153846154</v>
      </c>
    </row>
    <row r="527" spans="1:7" ht="13">
      <c r="A527" s="4" t="s">
        <v>114</v>
      </c>
      <c r="B527" s="1">
        <v>7.9</v>
      </c>
      <c r="C527" s="1">
        <v>466</v>
      </c>
      <c r="D527" s="1" t="s">
        <v>11</v>
      </c>
      <c r="E527" s="1" t="s">
        <v>27</v>
      </c>
      <c r="F527" s="1">
        <f t="shared" si="24"/>
        <v>790</v>
      </c>
      <c r="G527" s="12">
        <f t="shared" si="25"/>
        <v>58.987341772151893</v>
      </c>
    </row>
    <row r="528" spans="1:7" ht="13">
      <c r="A528" s="4" t="s">
        <v>114</v>
      </c>
      <c r="B528" s="1">
        <v>5</v>
      </c>
      <c r="C528" s="1">
        <v>359</v>
      </c>
      <c r="D528" s="1" t="s">
        <v>43</v>
      </c>
      <c r="E528" s="1" t="s">
        <v>17</v>
      </c>
      <c r="F528" s="1">
        <f t="shared" si="24"/>
        <v>500</v>
      </c>
      <c r="G528" s="12">
        <f t="shared" si="25"/>
        <v>71.8</v>
      </c>
    </row>
    <row r="529" spans="1:7" ht="13">
      <c r="A529" s="4" t="s">
        <v>114</v>
      </c>
      <c r="B529" s="1">
        <v>7.4</v>
      </c>
      <c r="C529" s="1">
        <v>469</v>
      </c>
      <c r="D529" s="1" t="s">
        <v>11</v>
      </c>
      <c r="E529" s="1" t="s">
        <v>17</v>
      </c>
      <c r="F529" s="1">
        <f t="shared" si="24"/>
        <v>740</v>
      </c>
      <c r="G529" s="12">
        <f t="shared" si="25"/>
        <v>63.378378378378372</v>
      </c>
    </row>
    <row r="530" spans="1:7" ht="13">
      <c r="A530" s="4" t="s">
        <v>114</v>
      </c>
      <c r="B530" s="1">
        <v>6</v>
      </c>
      <c r="C530" s="1">
        <v>387</v>
      </c>
      <c r="D530" s="1" t="s">
        <v>47</v>
      </c>
      <c r="E530" s="1" t="s">
        <v>29</v>
      </c>
      <c r="F530" s="1">
        <f t="shared" si="24"/>
        <v>600</v>
      </c>
      <c r="G530" s="12">
        <f t="shared" si="25"/>
        <v>64.5</v>
      </c>
    </row>
    <row r="531" spans="1:7" ht="13">
      <c r="A531" s="4" t="s">
        <v>114</v>
      </c>
      <c r="B531" s="1">
        <v>8.6</v>
      </c>
      <c r="C531" s="1">
        <v>562</v>
      </c>
      <c r="D531" s="1" t="s">
        <v>11</v>
      </c>
      <c r="E531" s="1" t="s">
        <v>68</v>
      </c>
      <c r="F531" s="1">
        <f t="shared" si="24"/>
        <v>860</v>
      </c>
      <c r="G531" s="12">
        <f t="shared" si="25"/>
        <v>65.348837209302332</v>
      </c>
    </row>
    <row r="532" spans="1:7" ht="13">
      <c r="A532" s="4" t="s">
        <v>114</v>
      </c>
      <c r="B532" s="1">
        <v>6.2</v>
      </c>
      <c r="C532" s="1">
        <v>282</v>
      </c>
      <c r="D532" s="1" t="s">
        <v>33</v>
      </c>
      <c r="E532" s="1" t="s">
        <v>15</v>
      </c>
      <c r="F532" s="1">
        <f t="shared" si="24"/>
        <v>620</v>
      </c>
      <c r="G532" s="12">
        <f t="shared" si="25"/>
        <v>45.483870967741936</v>
      </c>
    </row>
    <row r="533" spans="1:7" ht="13">
      <c r="A533" s="4" t="s">
        <v>114</v>
      </c>
      <c r="B533" s="1">
        <v>7.3</v>
      </c>
      <c r="C533" s="1">
        <v>555</v>
      </c>
      <c r="D533" s="1" t="s">
        <v>38</v>
      </c>
      <c r="E533" s="1" t="s">
        <v>9</v>
      </c>
      <c r="F533" s="1">
        <f t="shared" si="24"/>
        <v>730</v>
      </c>
      <c r="G533" s="12">
        <f t="shared" si="25"/>
        <v>76.027397260273972</v>
      </c>
    </row>
    <row r="534" spans="1:7" ht="13">
      <c r="A534" s="4" t="s">
        <v>114</v>
      </c>
      <c r="B534" s="1">
        <v>7.74</v>
      </c>
      <c r="C534" s="1">
        <v>410</v>
      </c>
      <c r="D534" s="1" t="s">
        <v>52</v>
      </c>
      <c r="E534" s="1" t="s">
        <v>7</v>
      </c>
      <c r="F534" s="1">
        <f t="shared" si="24"/>
        <v>774</v>
      </c>
      <c r="G534" s="12">
        <f t="shared" si="25"/>
        <v>52.97157622739018</v>
      </c>
    </row>
    <row r="535" spans="1:7" ht="13">
      <c r="A535" s="4" t="s">
        <v>114</v>
      </c>
      <c r="B535" s="1">
        <v>7.2</v>
      </c>
      <c r="C535" s="1">
        <v>551</v>
      </c>
      <c r="D535" s="1" t="s">
        <v>42</v>
      </c>
      <c r="E535" s="1" t="s">
        <v>26</v>
      </c>
      <c r="F535" s="1">
        <f t="shared" si="24"/>
        <v>720</v>
      </c>
      <c r="G535" s="12">
        <f t="shared" si="25"/>
        <v>76.527777777777771</v>
      </c>
    </row>
    <row r="536" spans="1:7" ht="13">
      <c r="A536" s="4" t="s">
        <v>114</v>
      </c>
      <c r="B536" s="1">
        <v>9.5</v>
      </c>
      <c r="C536" s="1">
        <v>517</v>
      </c>
      <c r="D536" s="1" t="s">
        <v>11</v>
      </c>
      <c r="E536" s="1" t="s">
        <v>31</v>
      </c>
      <c r="F536" s="1">
        <f t="shared" si="24"/>
        <v>950</v>
      </c>
      <c r="G536" s="12">
        <f t="shared" si="25"/>
        <v>54.421052631578945</v>
      </c>
    </row>
    <row r="537" spans="1:7" ht="13">
      <c r="A537" s="4" t="s">
        <v>114</v>
      </c>
      <c r="B537" s="1">
        <v>7.4</v>
      </c>
      <c r="C537" s="1">
        <v>430</v>
      </c>
      <c r="D537" s="1" t="s">
        <v>44</v>
      </c>
      <c r="E537" s="1" t="s">
        <v>30</v>
      </c>
      <c r="F537" s="1">
        <f t="shared" si="24"/>
        <v>740</v>
      </c>
      <c r="G537" s="12">
        <f t="shared" si="25"/>
        <v>58.108108108108105</v>
      </c>
    </row>
    <row r="538" spans="1:7" ht="13">
      <c r="A538" s="4" t="s">
        <v>114</v>
      </c>
      <c r="B538" s="1">
        <v>5.46</v>
      </c>
      <c r="C538" s="1">
        <v>402</v>
      </c>
      <c r="D538" s="1" t="s">
        <v>47</v>
      </c>
      <c r="E538" s="1" t="s">
        <v>10</v>
      </c>
      <c r="F538" s="1">
        <f t="shared" si="24"/>
        <v>546</v>
      </c>
      <c r="G538" s="12">
        <f t="shared" si="25"/>
        <v>73.626373626373621</v>
      </c>
    </row>
    <row r="539" spans="1:7" ht="13">
      <c r="A539" s="4" t="s">
        <v>114</v>
      </c>
      <c r="B539" s="1">
        <v>5.2</v>
      </c>
      <c r="C539" s="1">
        <v>249</v>
      </c>
      <c r="D539" s="1" t="s">
        <v>33</v>
      </c>
      <c r="E539" s="1" t="s">
        <v>7</v>
      </c>
      <c r="F539" s="1">
        <f t="shared" si="24"/>
        <v>520</v>
      </c>
      <c r="G539" s="12">
        <f t="shared" si="25"/>
        <v>47.88461538461538</v>
      </c>
    </row>
    <row r="540" spans="1:7" ht="13">
      <c r="A540" s="4" t="s">
        <v>114</v>
      </c>
      <c r="B540" s="1">
        <v>7.3</v>
      </c>
      <c r="C540" s="1">
        <v>454</v>
      </c>
      <c r="D540" s="1" t="s">
        <v>11</v>
      </c>
      <c r="E540" s="1" t="s">
        <v>12</v>
      </c>
      <c r="F540" s="1">
        <f t="shared" si="24"/>
        <v>730</v>
      </c>
      <c r="G540" s="12">
        <f t="shared" si="25"/>
        <v>62.19178082191781</v>
      </c>
    </row>
    <row r="541" spans="1:7" ht="13">
      <c r="A541" s="4" t="s">
        <v>114</v>
      </c>
      <c r="B541" s="1">
        <v>5.6</v>
      </c>
      <c r="C541" s="1">
        <v>335</v>
      </c>
      <c r="D541" s="1" t="s">
        <v>33</v>
      </c>
      <c r="E541" s="1" t="s">
        <v>22</v>
      </c>
      <c r="F541" s="1">
        <f t="shared" si="24"/>
        <v>560</v>
      </c>
      <c r="G541" s="12">
        <f t="shared" si="25"/>
        <v>59.821428571428577</v>
      </c>
    </row>
    <row r="542" spans="1:7" ht="13">
      <c r="A542" s="4" t="s">
        <v>114</v>
      </c>
      <c r="B542" s="1">
        <v>8.64</v>
      </c>
      <c r="C542" s="1">
        <v>592</v>
      </c>
      <c r="D542" s="1" t="s">
        <v>11</v>
      </c>
      <c r="E542" s="1" t="s">
        <v>9</v>
      </c>
      <c r="F542" s="1">
        <f t="shared" si="24"/>
        <v>864</v>
      </c>
      <c r="G542" s="12">
        <f t="shared" si="25"/>
        <v>68.518518518518519</v>
      </c>
    </row>
    <row r="543" spans="1:7" ht="13">
      <c r="A543" s="4" t="s">
        <v>114</v>
      </c>
      <c r="B543" s="1">
        <v>10.4</v>
      </c>
      <c r="C543" s="1">
        <v>562</v>
      </c>
      <c r="D543" s="1" t="s">
        <v>33</v>
      </c>
      <c r="E543" s="1" t="s">
        <v>19</v>
      </c>
      <c r="F543" s="1">
        <f t="shared" si="24"/>
        <v>1040</v>
      </c>
      <c r="G543" s="12">
        <f t="shared" si="25"/>
        <v>54.03846153846154</v>
      </c>
    </row>
    <row r="544" spans="1:7" ht="13">
      <c r="A544" s="4" t="s">
        <v>114</v>
      </c>
      <c r="B544" s="1">
        <v>6.88</v>
      </c>
      <c r="C544" s="1">
        <v>427.42</v>
      </c>
      <c r="D544" s="1" t="s">
        <v>58</v>
      </c>
      <c r="E544" s="1" t="s">
        <v>7</v>
      </c>
      <c r="F544" s="1">
        <f t="shared" si="24"/>
        <v>688</v>
      </c>
      <c r="G544" s="12">
        <f t="shared" si="25"/>
        <v>62.125</v>
      </c>
    </row>
    <row r="545" spans="1:7" ht="13">
      <c r="A545" s="4" t="s">
        <v>114</v>
      </c>
      <c r="B545" s="1">
        <v>6.1</v>
      </c>
      <c r="C545" s="1">
        <v>379</v>
      </c>
      <c r="D545" s="1" t="s">
        <v>33</v>
      </c>
      <c r="E545" s="1" t="s">
        <v>15</v>
      </c>
      <c r="F545" s="1">
        <f t="shared" si="24"/>
        <v>610</v>
      </c>
      <c r="G545" s="12">
        <f t="shared" si="25"/>
        <v>62.131147540983612</v>
      </c>
    </row>
    <row r="546" spans="1:7" ht="13">
      <c r="A546" s="4" t="s">
        <v>114</v>
      </c>
      <c r="B546" s="1">
        <v>4.3</v>
      </c>
      <c r="C546" s="1">
        <v>188</v>
      </c>
      <c r="D546" s="1" t="s">
        <v>75</v>
      </c>
      <c r="E546" s="1" t="s">
        <v>26</v>
      </c>
      <c r="F546" s="1">
        <f t="shared" si="24"/>
        <v>430</v>
      </c>
      <c r="G546" s="12">
        <f t="shared" si="25"/>
        <v>43.720930232558139</v>
      </c>
    </row>
    <row r="547" spans="1:7" ht="13">
      <c r="A547" s="4" t="s">
        <v>114</v>
      </c>
      <c r="B547" s="1">
        <v>6.7</v>
      </c>
      <c r="C547" s="1">
        <v>573</v>
      </c>
      <c r="D547" s="1" t="s">
        <v>11</v>
      </c>
      <c r="E547" s="1" t="s">
        <v>8</v>
      </c>
      <c r="F547" s="1">
        <f t="shared" si="24"/>
        <v>670</v>
      </c>
      <c r="G547" s="12">
        <f t="shared" si="25"/>
        <v>85.522388059701484</v>
      </c>
    </row>
    <row r="548" spans="1:7" ht="13">
      <c r="A548" s="4" t="s">
        <v>114</v>
      </c>
      <c r="B548" s="1">
        <v>2.5</v>
      </c>
      <c r="C548" s="1">
        <v>175</v>
      </c>
      <c r="D548" s="1" t="s">
        <v>11</v>
      </c>
      <c r="E548" s="1" t="s">
        <v>24</v>
      </c>
      <c r="F548" s="1">
        <f t="shared" si="24"/>
        <v>250</v>
      </c>
      <c r="G548" s="12">
        <f t="shared" si="25"/>
        <v>70</v>
      </c>
    </row>
    <row r="549" spans="1:7" ht="13">
      <c r="A549" s="4" t="s">
        <v>114</v>
      </c>
      <c r="B549" s="1">
        <v>4.4000000000000004</v>
      </c>
      <c r="C549" s="1">
        <v>313</v>
      </c>
      <c r="D549" s="1" t="s">
        <v>11</v>
      </c>
      <c r="E549" s="1" t="s">
        <v>15</v>
      </c>
      <c r="F549" s="1">
        <f t="shared" si="24"/>
        <v>440.00000000000006</v>
      </c>
      <c r="G549" s="12">
        <f t="shared" si="25"/>
        <v>71.136363636363626</v>
      </c>
    </row>
    <row r="550" spans="1:7" ht="13">
      <c r="A550" s="4" t="s">
        <v>114</v>
      </c>
      <c r="B550" s="1">
        <v>4.3</v>
      </c>
      <c r="C550" s="1">
        <v>309</v>
      </c>
      <c r="D550" s="1" t="s">
        <v>11</v>
      </c>
      <c r="E550" s="1" t="s">
        <v>22</v>
      </c>
      <c r="F550" s="1">
        <f t="shared" si="24"/>
        <v>430</v>
      </c>
      <c r="G550" s="12">
        <f t="shared" si="25"/>
        <v>71.860465116279073</v>
      </c>
    </row>
    <row r="551" spans="1:7" ht="13">
      <c r="A551" s="4" t="s">
        <v>114</v>
      </c>
      <c r="B551" s="1">
        <v>6.24</v>
      </c>
      <c r="C551" s="1">
        <v>234</v>
      </c>
      <c r="D551" s="1" t="s">
        <v>11</v>
      </c>
      <c r="E551" s="1" t="s">
        <v>17</v>
      </c>
      <c r="F551" s="1">
        <f t="shared" si="24"/>
        <v>624</v>
      </c>
      <c r="G551" s="12">
        <f t="shared" si="25"/>
        <v>37.5</v>
      </c>
    </row>
    <row r="552" spans="1:7" ht="13">
      <c r="A552" s="4" t="s">
        <v>114</v>
      </c>
      <c r="B552" s="1">
        <v>8.1999999999999993</v>
      </c>
      <c r="C552" s="1">
        <v>525</v>
      </c>
      <c r="D552" s="1" t="s">
        <v>11</v>
      </c>
      <c r="E552" s="1" t="s">
        <v>17</v>
      </c>
      <c r="F552" s="1">
        <f t="shared" si="24"/>
        <v>819.99999999999989</v>
      </c>
      <c r="G552" s="12">
        <f t="shared" si="25"/>
        <v>64.024390243902445</v>
      </c>
    </row>
    <row r="553" spans="1:7" ht="13">
      <c r="A553" s="4" t="s">
        <v>114</v>
      </c>
      <c r="B553" s="1">
        <v>6</v>
      </c>
      <c r="C553" s="1">
        <v>523</v>
      </c>
      <c r="D553" s="1" t="s">
        <v>35</v>
      </c>
      <c r="E553" s="1" t="s">
        <v>32</v>
      </c>
      <c r="F553" s="1">
        <f t="shared" si="24"/>
        <v>600</v>
      </c>
      <c r="G553" s="12">
        <f t="shared" si="25"/>
        <v>87.166666666666671</v>
      </c>
    </row>
    <row r="554" spans="1:7" ht="13">
      <c r="A554" s="4" t="s">
        <v>114</v>
      </c>
      <c r="B554" s="1">
        <v>5.16</v>
      </c>
      <c r="C554" s="1">
        <v>302</v>
      </c>
      <c r="D554" s="1" t="s">
        <v>42</v>
      </c>
      <c r="E554" s="1" t="s">
        <v>22</v>
      </c>
      <c r="F554" s="1">
        <f t="shared" si="24"/>
        <v>516</v>
      </c>
      <c r="G554" s="12">
        <f t="shared" si="25"/>
        <v>58.527131782945737</v>
      </c>
    </row>
    <row r="555" spans="1:7" ht="13">
      <c r="A555" s="4" t="s">
        <v>114</v>
      </c>
      <c r="B555" s="1">
        <v>5</v>
      </c>
      <c r="C555" s="1">
        <v>297</v>
      </c>
      <c r="D555" s="1" t="s">
        <v>35</v>
      </c>
      <c r="E555" s="1" t="s">
        <v>15</v>
      </c>
      <c r="F555" s="1">
        <f t="shared" si="24"/>
        <v>500</v>
      </c>
      <c r="G555" s="12">
        <f t="shared" si="25"/>
        <v>59.4</v>
      </c>
    </row>
    <row r="556" spans="1:7" ht="13">
      <c r="A556" s="4" t="s">
        <v>114</v>
      </c>
      <c r="B556" s="1">
        <v>8.3000000000000007</v>
      </c>
      <c r="C556" s="1">
        <v>615</v>
      </c>
      <c r="D556" s="1" t="s">
        <v>11</v>
      </c>
      <c r="E556" s="1" t="s">
        <v>17</v>
      </c>
      <c r="F556" s="1">
        <f t="shared" si="24"/>
        <v>830.00000000000011</v>
      </c>
      <c r="G556" s="12">
        <f t="shared" si="25"/>
        <v>74.096385542168662</v>
      </c>
    </row>
    <row r="557" spans="1:7" ht="13">
      <c r="A557" s="4" t="s">
        <v>114</v>
      </c>
      <c r="B557" s="1">
        <v>5.5</v>
      </c>
      <c r="C557" s="1">
        <v>376</v>
      </c>
      <c r="D557" s="1" t="s">
        <v>11</v>
      </c>
      <c r="E557" s="1" t="s">
        <v>15</v>
      </c>
      <c r="F557" s="1">
        <f t="shared" si="24"/>
        <v>550</v>
      </c>
      <c r="G557" s="12">
        <f t="shared" si="25"/>
        <v>68.36363636363636</v>
      </c>
    </row>
    <row r="558" spans="1:7" ht="13">
      <c r="A558" s="4" t="s">
        <v>114</v>
      </c>
      <c r="B558" s="1">
        <v>5.81</v>
      </c>
      <c r="C558" s="1">
        <v>431</v>
      </c>
      <c r="D558" s="1" t="s">
        <v>38</v>
      </c>
      <c r="E558" s="1" t="s">
        <v>8</v>
      </c>
      <c r="F558" s="1">
        <f t="shared" si="24"/>
        <v>581</v>
      </c>
      <c r="G558" s="12">
        <f t="shared" si="25"/>
        <v>74.182444061962144</v>
      </c>
    </row>
    <row r="559" spans="1:7" ht="13">
      <c r="A559" s="4" t="s">
        <v>114</v>
      </c>
      <c r="B559" s="1">
        <v>7.9</v>
      </c>
      <c r="C559" s="1">
        <v>463</v>
      </c>
      <c r="D559" s="1" t="s">
        <v>33</v>
      </c>
      <c r="E559" s="1" t="s">
        <v>26</v>
      </c>
      <c r="F559" s="1">
        <f t="shared" si="24"/>
        <v>790</v>
      </c>
      <c r="G559" s="12">
        <f t="shared" si="25"/>
        <v>58.607594936708857</v>
      </c>
    </row>
    <row r="560" spans="1:7" ht="13">
      <c r="A560" s="4" t="s">
        <v>114</v>
      </c>
      <c r="B560" s="1">
        <v>4.8</v>
      </c>
      <c r="C560" s="1">
        <v>326</v>
      </c>
      <c r="D560" s="1" t="s">
        <v>38</v>
      </c>
      <c r="E560" s="1" t="s">
        <v>21</v>
      </c>
      <c r="F560" s="1">
        <f t="shared" si="24"/>
        <v>480</v>
      </c>
      <c r="G560" s="12">
        <f t="shared" si="25"/>
        <v>67.916666666666671</v>
      </c>
    </row>
    <row r="561" spans="1:7" ht="13">
      <c r="A561" s="4" t="s">
        <v>114</v>
      </c>
      <c r="B561" s="1">
        <v>6.7</v>
      </c>
      <c r="C561" s="1">
        <v>453</v>
      </c>
      <c r="D561" s="1" t="s">
        <v>11</v>
      </c>
      <c r="E561" s="1" t="s">
        <v>16</v>
      </c>
      <c r="F561" s="1">
        <f t="shared" si="24"/>
        <v>670</v>
      </c>
      <c r="G561" s="12">
        <f t="shared" si="25"/>
        <v>67.611940298507463</v>
      </c>
    </row>
    <row r="562" spans="1:7" ht="13">
      <c r="A562" s="4" t="s">
        <v>114</v>
      </c>
      <c r="B562" s="1">
        <v>6.0750000000000002</v>
      </c>
      <c r="C562" s="1">
        <v>345</v>
      </c>
      <c r="D562" s="1" t="s">
        <v>33</v>
      </c>
      <c r="E562" s="1" t="s">
        <v>9</v>
      </c>
      <c r="F562" s="1">
        <f t="shared" si="24"/>
        <v>607.5</v>
      </c>
      <c r="G562" s="12">
        <f t="shared" si="25"/>
        <v>56.79012345679012</v>
      </c>
    </row>
    <row r="563" spans="1:7" ht="13">
      <c r="A563" s="4" t="s">
        <v>114</v>
      </c>
      <c r="B563" s="1">
        <v>8.1999999999999993</v>
      </c>
      <c r="C563" s="1">
        <v>524</v>
      </c>
      <c r="D563" s="1" t="s">
        <v>11</v>
      </c>
      <c r="E563" s="1" t="s">
        <v>16</v>
      </c>
      <c r="F563" s="1">
        <f t="shared" si="24"/>
        <v>819.99999999999989</v>
      </c>
      <c r="G563" s="12">
        <f t="shared" si="25"/>
        <v>63.902439024390247</v>
      </c>
    </row>
    <row r="564" spans="1:7" ht="13">
      <c r="A564" s="4" t="s">
        <v>114</v>
      </c>
      <c r="B564" s="1">
        <v>7.74</v>
      </c>
      <c r="C564" s="1">
        <v>466</v>
      </c>
      <c r="D564" s="1" t="s">
        <v>36</v>
      </c>
      <c r="E564" s="1" t="s">
        <v>9</v>
      </c>
      <c r="F564" s="1">
        <f t="shared" si="24"/>
        <v>774</v>
      </c>
      <c r="G564" s="12">
        <f t="shared" si="25"/>
        <v>60.206718346253226</v>
      </c>
    </row>
    <row r="565" spans="1:7" ht="13">
      <c r="A565" s="4" t="s">
        <v>114</v>
      </c>
      <c r="B565" s="1">
        <v>8.9250000000000007</v>
      </c>
      <c r="C565" s="1">
        <v>609</v>
      </c>
      <c r="D565" s="1" t="s">
        <v>11</v>
      </c>
      <c r="E565" s="1" t="s">
        <v>8</v>
      </c>
      <c r="F565" s="1">
        <f t="shared" si="24"/>
        <v>892.50000000000011</v>
      </c>
      <c r="G565" s="12">
        <f t="shared" si="25"/>
        <v>68.235294117647058</v>
      </c>
    </row>
    <row r="566" spans="1:7" ht="13">
      <c r="A566" s="4" t="s">
        <v>114</v>
      </c>
      <c r="B566" s="1">
        <v>4.9000000000000004</v>
      </c>
      <c r="C566" s="1">
        <v>305</v>
      </c>
      <c r="D566" s="1" t="s">
        <v>33</v>
      </c>
      <c r="E566" s="1" t="s">
        <v>18</v>
      </c>
      <c r="F566" s="1">
        <f t="shared" si="24"/>
        <v>490.00000000000006</v>
      </c>
      <c r="G566" s="12">
        <f t="shared" si="25"/>
        <v>62.244897959183668</v>
      </c>
    </row>
    <row r="567" spans="1:7" ht="13">
      <c r="A567" s="4" t="s">
        <v>114</v>
      </c>
      <c r="B567" s="1">
        <v>10</v>
      </c>
      <c r="C567" s="1">
        <v>560</v>
      </c>
      <c r="D567" s="1" t="s">
        <v>11</v>
      </c>
      <c r="E567" s="1" t="s">
        <v>22</v>
      </c>
      <c r="F567" s="1">
        <f t="shared" si="24"/>
        <v>1000</v>
      </c>
      <c r="G567" s="12">
        <f t="shared" si="25"/>
        <v>56</v>
      </c>
    </row>
    <row r="568" spans="1:7" ht="13">
      <c r="A568" s="4" t="s">
        <v>114</v>
      </c>
      <c r="B568" s="1">
        <v>8.1</v>
      </c>
      <c r="C568" s="1">
        <v>553</v>
      </c>
      <c r="D568" s="1" t="s">
        <v>35</v>
      </c>
      <c r="E568" s="1" t="s">
        <v>7</v>
      </c>
      <c r="F568" s="1">
        <f t="shared" si="24"/>
        <v>810</v>
      </c>
      <c r="G568" s="12">
        <f t="shared" si="25"/>
        <v>68.271604938271608</v>
      </c>
    </row>
    <row r="569" spans="1:7" ht="13">
      <c r="A569" s="4" t="s">
        <v>114</v>
      </c>
      <c r="B569" s="1">
        <v>7.74</v>
      </c>
      <c r="C569" s="1">
        <v>438</v>
      </c>
      <c r="D569" s="1" t="s">
        <v>33</v>
      </c>
      <c r="E569" s="1" t="s">
        <v>16</v>
      </c>
      <c r="F569" s="1">
        <f t="shared" si="24"/>
        <v>774</v>
      </c>
      <c r="G569" s="12">
        <f t="shared" si="25"/>
        <v>56.589147286821706</v>
      </c>
    </row>
    <row r="570" spans="1:7" ht="13">
      <c r="A570" s="4" t="s">
        <v>114</v>
      </c>
      <c r="B570" s="1">
        <v>8.4</v>
      </c>
      <c r="C570" s="1">
        <v>598</v>
      </c>
      <c r="D570" s="1" t="s">
        <v>11</v>
      </c>
      <c r="E570" s="1" t="s">
        <v>8</v>
      </c>
      <c r="F570" s="1">
        <f t="shared" si="24"/>
        <v>840</v>
      </c>
      <c r="G570" s="12">
        <f t="shared" si="25"/>
        <v>71.19047619047619</v>
      </c>
    </row>
    <row r="571" spans="1:7" ht="13">
      <c r="A571" s="4" t="s">
        <v>114</v>
      </c>
      <c r="B571" s="1">
        <v>6.96</v>
      </c>
      <c r="C571" s="1">
        <v>434</v>
      </c>
      <c r="D571" s="1" t="s">
        <v>11</v>
      </c>
      <c r="E571" s="1" t="s">
        <v>20</v>
      </c>
      <c r="F571" s="1">
        <f t="shared" si="24"/>
        <v>696</v>
      </c>
      <c r="G571" s="12">
        <f t="shared" si="25"/>
        <v>62.356321839080458</v>
      </c>
    </row>
    <row r="572" spans="1:7" ht="13">
      <c r="A572" s="4" t="s">
        <v>114</v>
      </c>
      <c r="B572" s="1">
        <v>7</v>
      </c>
      <c r="C572" s="1">
        <v>416</v>
      </c>
      <c r="D572" s="1" t="s">
        <v>36</v>
      </c>
      <c r="E572" s="1" t="s">
        <v>15</v>
      </c>
      <c r="F572" s="1">
        <f t="shared" si="24"/>
        <v>700</v>
      </c>
      <c r="G572" s="12">
        <f t="shared" si="25"/>
        <v>59.428571428571431</v>
      </c>
    </row>
    <row r="573" spans="1:7" ht="13">
      <c r="A573" s="4" t="s">
        <v>114</v>
      </c>
      <c r="B573" s="1">
        <v>6.72</v>
      </c>
      <c r="C573" s="1">
        <v>384</v>
      </c>
      <c r="D573" s="1" t="s">
        <v>33</v>
      </c>
      <c r="E573" s="1" t="s">
        <v>20</v>
      </c>
      <c r="F573" s="1">
        <f t="shared" si="24"/>
        <v>672</v>
      </c>
      <c r="G573" s="12">
        <f t="shared" si="25"/>
        <v>57.142857142857146</v>
      </c>
    </row>
    <row r="574" spans="1:7" ht="13">
      <c r="A574" s="4" t="s">
        <v>114</v>
      </c>
      <c r="B574" s="1">
        <v>4.2</v>
      </c>
      <c r="C574" s="1">
        <v>310</v>
      </c>
      <c r="D574" s="1" t="s">
        <v>11</v>
      </c>
      <c r="E574" s="1" t="s">
        <v>7</v>
      </c>
      <c r="F574" s="1">
        <f t="shared" si="24"/>
        <v>420</v>
      </c>
      <c r="G574" s="12">
        <f t="shared" si="25"/>
        <v>73.80952380952381</v>
      </c>
    </row>
    <row r="575" spans="1:7" ht="13">
      <c r="A575" s="4" t="s">
        <v>114</v>
      </c>
      <c r="B575" s="1">
        <v>4.8</v>
      </c>
      <c r="C575" s="1">
        <v>345</v>
      </c>
      <c r="D575" s="1" t="s">
        <v>11</v>
      </c>
      <c r="E575" s="1" t="s">
        <v>21</v>
      </c>
      <c r="F575" s="1">
        <f t="shared" si="24"/>
        <v>480</v>
      </c>
      <c r="G575" s="12">
        <f t="shared" si="25"/>
        <v>71.875</v>
      </c>
    </row>
    <row r="576" spans="1:7" ht="13">
      <c r="A576" s="4" t="s">
        <v>114</v>
      </c>
      <c r="B576" s="1">
        <v>6.5</v>
      </c>
      <c r="C576" s="1">
        <v>447</v>
      </c>
      <c r="D576" s="1" t="s">
        <v>11</v>
      </c>
      <c r="E576" s="1" t="s">
        <v>17</v>
      </c>
      <c r="F576" s="1">
        <f t="shared" si="24"/>
        <v>650</v>
      </c>
      <c r="G576" s="12">
        <f t="shared" si="25"/>
        <v>68.769230769230774</v>
      </c>
    </row>
    <row r="577" spans="1:7" ht="13">
      <c r="A577" s="4" t="s">
        <v>114</v>
      </c>
      <c r="B577" s="1">
        <v>7.94</v>
      </c>
      <c r="C577" s="1">
        <v>545</v>
      </c>
      <c r="D577" s="1" t="s">
        <v>42</v>
      </c>
      <c r="E577" s="1" t="s">
        <v>17</v>
      </c>
      <c r="F577" s="1">
        <f t="shared" si="24"/>
        <v>794</v>
      </c>
      <c r="G577" s="12">
        <f t="shared" si="25"/>
        <v>68.639798488664979</v>
      </c>
    </row>
    <row r="578" spans="1:7" ht="13">
      <c r="A578" s="4" t="s">
        <v>114</v>
      </c>
      <c r="B578" s="1">
        <v>5.4</v>
      </c>
      <c r="C578" s="1">
        <v>292</v>
      </c>
      <c r="D578" s="1" t="s">
        <v>33</v>
      </c>
      <c r="E578" s="1" t="s">
        <v>23</v>
      </c>
      <c r="F578" s="1">
        <f t="shared" si="24"/>
        <v>540</v>
      </c>
      <c r="G578" s="12">
        <f t="shared" si="25"/>
        <v>54.074074074074069</v>
      </c>
    </row>
    <row r="579" spans="1:7" ht="13">
      <c r="A579" s="4" t="s">
        <v>114</v>
      </c>
      <c r="B579" s="1">
        <v>6</v>
      </c>
      <c r="C579" s="1">
        <v>461</v>
      </c>
      <c r="D579" s="1" t="s">
        <v>11</v>
      </c>
      <c r="E579" s="1" t="s">
        <v>17</v>
      </c>
      <c r="F579" s="1">
        <f t="shared" ref="F579:F642" si="26">B579*100</f>
        <v>600</v>
      </c>
      <c r="G579" s="12">
        <f t="shared" ref="G579:G642" si="27">C579/B579</f>
        <v>76.833333333333329</v>
      </c>
    </row>
    <row r="580" spans="1:7" ht="13">
      <c r="A580" s="4" t="s">
        <v>114</v>
      </c>
      <c r="B580" s="1">
        <v>4.3499999999999996</v>
      </c>
      <c r="C580" s="1">
        <v>279</v>
      </c>
      <c r="D580" s="1" t="s">
        <v>11</v>
      </c>
      <c r="E580" s="1" t="s">
        <v>15</v>
      </c>
      <c r="F580" s="1">
        <f t="shared" si="26"/>
        <v>434.99999999999994</v>
      </c>
      <c r="G580" s="12">
        <f t="shared" si="27"/>
        <v>64.137931034482762</v>
      </c>
    </row>
    <row r="581" spans="1:7" ht="13">
      <c r="A581" s="4" t="s">
        <v>114</v>
      </c>
      <c r="B581" s="1">
        <v>8.1</v>
      </c>
      <c r="C581" s="1">
        <v>647</v>
      </c>
      <c r="D581" s="1" t="s">
        <v>42</v>
      </c>
      <c r="E581" s="1" t="s">
        <v>10</v>
      </c>
      <c r="F581" s="1">
        <f t="shared" si="26"/>
        <v>810</v>
      </c>
      <c r="G581" s="12">
        <f t="shared" si="27"/>
        <v>79.876543209876544</v>
      </c>
    </row>
    <row r="582" spans="1:7" ht="13">
      <c r="A582" s="4" t="s">
        <v>114</v>
      </c>
      <c r="B582" s="1">
        <v>6</v>
      </c>
      <c r="C582" s="1">
        <v>446</v>
      </c>
      <c r="D582" s="1" t="s">
        <v>11</v>
      </c>
      <c r="E582" s="1" t="s">
        <v>27</v>
      </c>
      <c r="F582" s="1">
        <f t="shared" si="26"/>
        <v>600</v>
      </c>
      <c r="G582" s="12">
        <f t="shared" si="27"/>
        <v>74.333333333333329</v>
      </c>
    </row>
    <row r="583" spans="1:7" ht="13">
      <c r="A583" s="4" t="s">
        <v>114</v>
      </c>
      <c r="B583" s="1">
        <v>7.74</v>
      </c>
      <c r="C583" s="1">
        <v>399</v>
      </c>
      <c r="D583" s="1" t="s">
        <v>33</v>
      </c>
      <c r="E583" s="1" t="s">
        <v>16</v>
      </c>
      <c r="F583" s="1">
        <f t="shared" si="26"/>
        <v>774</v>
      </c>
      <c r="G583" s="12">
        <f t="shared" si="27"/>
        <v>51.55038759689922</v>
      </c>
    </row>
    <row r="584" spans="1:7" ht="13">
      <c r="A584" s="4" t="s">
        <v>114</v>
      </c>
      <c r="B584" s="1">
        <v>5</v>
      </c>
      <c r="C584" s="1">
        <v>371</v>
      </c>
      <c r="D584" s="1" t="s">
        <v>33</v>
      </c>
      <c r="E584" s="1" t="s">
        <v>32</v>
      </c>
      <c r="F584" s="1">
        <f t="shared" si="26"/>
        <v>500</v>
      </c>
      <c r="G584" s="12">
        <f t="shared" si="27"/>
        <v>74.2</v>
      </c>
    </row>
    <row r="585" spans="1:7" ht="13">
      <c r="A585" s="4" t="s">
        <v>114</v>
      </c>
      <c r="B585" s="1">
        <v>4.0999999999999996</v>
      </c>
      <c r="C585" s="1">
        <v>278</v>
      </c>
      <c r="D585" s="1" t="s">
        <v>55</v>
      </c>
      <c r="E585" s="1" t="s">
        <v>30</v>
      </c>
      <c r="F585" s="1">
        <f t="shared" si="26"/>
        <v>409.99999999999994</v>
      </c>
      <c r="G585" s="12">
        <f t="shared" si="27"/>
        <v>67.804878048780495</v>
      </c>
    </row>
    <row r="586" spans="1:7" ht="13">
      <c r="A586" s="4" t="s">
        <v>114</v>
      </c>
      <c r="B586" s="1">
        <v>6.9</v>
      </c>
      <c r="C586" s="1">
        <v>412</v>
      </c>
      <c r="D586" s="1" t="s">
        <v>39</v>
      </c>
      <c r="E586" s="1" t="s">
        <v>17</v>
      </c>
      <c r="F586" s="1">
        <f t="shared" si="26"/>
        <v>690</v>
      </c>
      <c r="G586" s="12">
        <f t="shared" si="27"/>
        <v>59.710144927536227</v>
      </c>
    </row>
    <row r="587" spans="1:7" ht="13">
      <c r="A587" s="4" t="s">
        <v>114</v>
      </c>
      <c r="B587" s="1">
        <v>6.9</v>
      </c>
      <c r="C587" s="1">
        <v>429</v>
      </c>
      <c r="D587" s="1" t="s">
        <v>39</v>
      </c>
      <c r="E587" s="1" t="s">
        <v>15</v>
      </c>
      <c r="F587" s="1">
        <f t="shared" si="26"/>
        <v>690</v>
      </c>
      <c r="G587" s="12">
        <f t="shared" si="27"/>
        <v>62.173913043478258</v>
      </c>
    </row>
    <row r="588" spans="1:7" ht="13">
      <c r="A588" s="4" t="s">
        <v>114</v>
      </c>
      <c r="B588" s="1">
        <v>6.4</v>
      </c>
      <c r="C588" s="1">
        <v>489</v>
      </c>
      <c r="D588" s="1" t="s">
        <v>42</v>
      </c>
      <c r="E588" s="1" t="s">
        <v>8</v>
      </c>
      <c r="F588" s="1">
        <f t="shared" si="26"/>
        <v>640</v>
      </c>
      <c r="G588" s="12">
        <f t="shared" si="27"/>
        <v>76.40625</v>
      </c>
    </row>
    <row r="589" spans="1:7" ht="13">
      <c r="A589" s="4" t="s">
        <v>114</v>
      </c>
      <c r="B589" s="1">
        <v>6</v>
      </c>
      <c r="C589" s="1">
        <v>329</v>
      </c>
      <c r="D589" s="1" t="s">
        <v>33</v>
      </c>
      <c r="E589" s="1" t="s">
        <v>16</v>
      </c>
      <c r="F589" s="1">
        <f t="shared" si="26"/>
        <v>600</v>
      </c>
      <c r="G589" s="12">
        <f t="shared" si="27"/>
        <v>54.833333333333336</v>
      </c>
    </row>
    <row r="590" spans="1:7" ht="13">
      <c r="A590" s="4" t="s">
        <v>114</v>
      </c>
      <c r="B590" s="1">
        <v>7.56</v>
      </c>
      <c r="C590" s="1">
        <v>530</v>
      </c>
      <c r="D590" s="1" t="s">
        <v>11</v>
      </c>
      <c r="E590" s="1" t="s">
        <v>25</v>
      </c>
      <c r="F590" s="1">
        <f t="shared" si="26"/>
        <v>756</v>
      </c>
      <c r="G590" s="12">
        <f t="shared" si="27"/>
        <v>70.105820105820115</v>
      </c>
    </row>
    <row r="591" spans="1:7" ht="13">
      <c r="A591" s="4" t="s">
        <v>114</v>
      </c>
      <c r="B591" s="1">
        <v>8</v>
      </c>
      <c r="C591" s="1">
        <v>427</v>
      </c>
      <c r="D591" s="1" t="s">
        <v>37</v>
      </c>
      <c r="E591" s="1" t="s">
        <v>26</v>
      </c>
      <c r="F591" s="1">
        <f t="shared" si="26"/>
        <v>800</v>
      </c>
      <c r="G591" s="12">
        <f t="shared" si="27"/>
        <v>53.375</v>
      </c>
    </row>
    <row r="592" spans="1:7" ht="13">
      <c r="A592" s="4" t="s">
        <v>114</v>
      </c>
      <c r="B592" s="1">
        <v>9.42</v>
      </c>
      <c r="C592" s="1">
        <v>561</v>
      </c>
      <c r="D592" s="1" t="s">
        <v>43</v>
      </c>
      <c r="E592" s="1" t="s">
        <v>14</v>
      </c>
      <c r="F592" s="1">
        <f t="shared" si="26"/>
        <v>942</v>
      </c>
      <c r="G592" s="12">
        <f t="shared" si="27"/>
        <v>59.554140127388536</v>
      </c>
    </row>
    <row r="593" spans="1:7" ht="13">
      <c r="A593" s="4" t="s">
        <v>114</v>
      </c>
      <c r="B593" s="1">
        <v>6.4</v>
      </c>
      <c r="C593" s="1">
        <v>516</v>
      </c>
      <c r="D593" s="1" t="s">
        <v>11</v>
      </c>
      <c r="E593" s="1" t="s">
        <v>26</v>
      </c>
      <c r="F593" s="1">
        <f t="shared" si="26"/>
        <v>640</v>
      </c>
      <c r="G593" s="12">
        <f t="shared" si="27"/>
        <v>80.625</v>
      </c>
    </row>
    <row r="594" spans="1:7" ht="13">
      <c r="A594" s="4" t="s">
        <v>114</v>
      </c>
      <c r="B594" s="1">
        <v>6.8</v>
      </c>
      <c r="C594" s="1">
        <v>512</v>
      </c>
      <c r="D594" s="1" t="s">
        <v>11</v>
      </c>
      <c r="E594" s="1" t="s">
        <v>18</v>
      </c>
      <c r="F594" s="1">
        <f t="shared" si="26"/>
        <v>680</v>
      </c>
      <c r="G594" s="12">
        <f t="shared" si="27"/>
        <v>75.294117647058826</v>
      </c>
    </row>
    <row r="595" spans="1:7" ht="13">
      <c r="A595" s="4" t="s">
        <v>114</v>
      </c>
      <c r="B595" s="1">
        <v>6.4</v>
      </c>
      <c r="C595" s="1">
        <v>326</v>
      </c>
      <c r="D595" s="1" t="s">
        <v>58</v>
      </c>
      <c r="E595" s="1" t="s">
        <v>15</v>
      </c>
      <c r="F595" s="1">
        <f t="shared" si="26"/>
        <v>640</v>
      </c>
      <c r="G595" s="12">
        <f t="shared" si="27"/>
        <v>50.9375</v>
      </c>
    </row>
    <row r="596" spans="1:7" ht="13">
      <c r="A596" s="4" t="s">
        <v>114</v>
      </c>
      <c r="B596" s="1">
        <v>6</v>
      </c>
      <c r="C596" s="1">
        <v>444</v>
      </c>
      <c r="D596" s="1" t="s">
        <v>39</v>
      </c>
      <c r="E596" s="1" t="s">
        <v>9</v>
      </c>
      <c r="F596" s="1">
        <f t="shared" si="26"/>
        <v>600</v>
      </c>
      <c r="G596" s="12">
        <f t="shared" si="27"/>
        <v>74</v>
      </c>
    </row>
    <row r="597" spans="1:7" ht="13">
      <c r="A597" s="4" t="s">
        <v>114</v>
      </c>
      <c r="B597" s="1">
        <v>6.1</v>
      </c>
      <c r="C597" s="1">
        <v>339</v>
      </c>
      <c r="D597" s="1" t="s">
        <v>33</v>
      </c>
      <c r="E597" s="1" t="s">
        <v>26</v>
      </c>
      <c r="F597" s="1">
        <f t="shared" si="26"/>
        <v>610</v>
      </c>
      <c r="G597" s="12">
        <f t="shared" si="27"/>
        <v>55.57377049180328</v>
      </c>
    </row>
    <row r="598" spans="1:7" ht="13">
      <c r="A598" s="4" t="s">
        <v>114</v>
      </c>
      <c r="B598" s="1">
        <v>8.3000000000000007</v>
      </c>
      <c r="C598" s="1">
        <v>555</v>
      </c>
      <c r="D598" s="1" t="s">
        <v>11</v>
      </c>
      <c r="E598" s="1" t="s">
        <v>20</v>
      </c>
      <c r="F598" s="1">
        <f t="shared" si="26"/>
        <v>830.00000000000011</v>
      </c>
      <c r="G598" s="12">
        <f t="shared" si="27"/>
        <v>66.867469879518069</v>
      </c>
    </row>
    <row r="599" spans="1:7" ht="13">
      <c r="A599" s="4" t="s">
        <v>114</v>
      </c>
      <c r="B599" s="1">
        <v>6</v>
      </c>
      <c r="C599" s="1">
        <v>425</v>
      </c>
      <c r="D599" s="1" t="s">
        <v>43</v>
      </c>
      <c r="E599" s="1" t="s">
        <v>7</v>
      </c>
      <c r="F599" s="1">
        <f t="shared" si="26"/>
        <v>600</v>
      </c>
      <c r="G599" s="12">
        <f t="shared" si="27"/>
        <v>70.833333333333329</v>
      </c>
    </row>
    <row r="600" spans="1:7" ht="13">
      <c r="A600" s="4" t="s">
        <v>114</v>
      </c>
      <c r="B600" s="1">
        <v>4.8</v>
      </c>
      <c r="C600" s="1">
        <v>304</v>
      </c>
      <c r="D600" s="1" t="s">
        <v>39</v>
      </c>
      <c r="E600" s="1" t="s">
        <v>16</v>
      </c>
      <c r="F600" s="1">
        <f t="shared" si="26"/>
        <v>480</v>
      </c>
      <c r="G600" s="12">
        <f t="shared" si="27"/>
        <v>63.333333333333336</v>
      </c>
    </row>
    <row r="601" spans="1:7" ht="13">
      <c r="A601" s="4" t="s">
        <v>114</v>
      </c>
      <c r="B601" s="1">
        <v>5.0999999999999996</v>
      </c>
      <c r="C601" s="1">
        <v>250</v>
      </c>
      <c r="D601" s="1" t="s">
        <v>33</v>
      </c>
      <c r="E601" s="1" t="s">
        <v>15</v>
      </c>
      <c r="F601" s="1">
        <f t="shared" si="26"/>
        <v>509.99999999999994</v>
      </c>
      <c r="G601" s="12">
        <f t="shared" si="27"/>
        <v>49.019607843137258</v>
      </c>
    </row>
    <row r="602" spans="1:7" ht="13">
      <c r="A602" s="4" t="s">
        <v>114</v>
      </c>
      <c r="B602" s="1">
        <v>4</v>
      </c>
      <c r="C602" s="1">
        <v>284</v>
      </c>
      <c r="D602" s="1" t="s">
        <v>38</v>
      </c>
      <c r="E602" s="1" t="s">
        <v>24</v>
      </c>
      <c r="F602" s="1">
        <f t="shared" si="26"/>
        <v>400</v>
      </c>
      <c r="G602" s="12">
        <f t="shared" si="27"/>
        <v>71</v>
      </c>
    </row>
    <row r="603" spans="1:7" ht="13">
      <c r="A603" s="4" t="s">
        <v>114</v>
      </c>
      <c r="B603" s="1">
        <v>6</v>
      </c>
      <c r="C603" s="1">
        <v>473</v>
      </c>
      <c r="D603" s="1" t="s">
        <v>11</v>
      </c>
      <c r="E603" s="1" t="s">
        <v>17</v>
      </c>
      <c r="F603" s="1">
        <f t="shared" si="26"/>
        <v>600</v>
      </c>
      <c r="G603" s="12">
        <f t="shared" si="27"/>
        <v>78.833333333333329</v>
      </c>
    </row>
    <row r="604" spans="1:7" ht="13">
      <c r="A604" s="4" t="s">
        <v>114</v>
      </c>
      <c r="B604" s="1">
        <v>8.1999999999999993</v>
      </c>
      <c r="C604" s="1">
        <v>485</v>
      </c>
      <c r="D604" s="1" t="s">
        <v>11</v>
      </c>
      <c r="E604" s="1" t="s">
        <v>12</v>
      </c>
      <c r="F604" s="1">
        <f t="shared" si="26"/>
        <v>819.99999999999989</v>
      </c>
      <c r="G604" s="12">
        <f t="shared" si="27"/>
        <v>59.146341463414636</v>
      </c>
    </row>
    <row r="605" spans="1:7" ht="13">
      <c r="A605" s="4" t="s">
        <v>114</v>
      </c>
      <c r="B605" s="1">
        <v>6.53</v>
      </c>
      <c r="C605" s="1">
        <v>488</v>
      </c>
      <c r="D605" s="1" t="s">
        <v>11</v>
      </c>
      <c r="E605" s="1" t="s">
        <v>17</v>
      </c>
      <c r="F605" s="1">
        <f t="shared" si="26"/>
        <v>653</v>
      </c>
      <c r="G605" s="12">
        <f t="shared" si="27"/>
        <v>74.732006125574273</v>
      </c>
    </row>
    <row r="606" spans="1:7" ht="13">
      <c r="A606" s="4" t="s">
        <v>114</v>
      </c>
      <c r="B606" s="1">
        <v>5.6</v>
      </c>
      <c r="C606" s="1">
        <v>221</v>
      </c>
      <c r="D606" s="1" t="s">
        <v>43</v>
      </c>
      <c r="E606" s="1" t="s">
        <v>29</v>
      </c>
      <c r="F606" s="1">
        <f t="shared" si="26"/>
        <v>560</v>
      </c>
      <c r="G606" s="12">
        <f t="shared" si="27"/>
        <v>39.464285714285715</v>
      </c>
    </row>
    <row r="607" spans="1:7" ht="13">
      <c r="A607" s="4" t="s">
        <v>114</v>
      </c>
      <c r="B607" s="1">
        <v>6.4</v>
      </c>
      <c r="C607" s="1">
        <v>490</v>
      </c>
      <c r="D607" s="1" t="s">
        <v>38</v>
      </c>
      <c r="E607" s="1" t="s">
        <v>8</v>
      </c>
      <c r="F607" s="1">
        <f t="shared" si="26"/>
        <v>640</v>
      </c>
      <c r="G607" s="12">
        <f t="shared" si="27"/>
        <v>76.5625</v>
      </c>
    </row>
    <row r="608" spans="1:7" ht="13">
      <c r="A608" s="4" t="s">
        <v>114</v>
      </c>
      <c r="B608" s="1">
        <v>7.76</v>
      </c>
      <c r="C608" s="1">
        <v>497</v>
      </c>
      <c r="D608" s="1" t="s">
        <v>11</v>
      </c>
      <c r="E608" s="1" t="s">
        <v>16</v>
      </c>
      <c r="F608" s="1">
        <f t="shared" si="26"/>
        <v>776</v>
      </c>
      <c r="G608" s="12">
        <f t="shared" si="27"/>
        <v>64.046391752577321</v>
      </c>
    </row>
    <row r="609" spans="1:7" ht="13">
      <c r="A609" s="4" t="s">
        <v>114</v>
      </c>
      <c r="B609" s="1">
        <v>7.4</v>
      </c>
      <c r="C609" s="1">
        <v>297</v>
      </c>
      <c r="D609" s="1" t="s">
        <v>33</v>
      </c>
      <c r="E609" s="1" t="s">
        <v>23</v>
      </c>
      <c r="F609" s="1">
        <f t="shared" si="26"/>
        <v>740</v>
      </c>
      <c r="G609" s="12">
        <f t="shared" si="27"/>
        <v>40.13513513513513</v>
      </c>
    </row>
    <row r="610" spans="1:7" ht="13">
      <c r="A610" s="4" t="s">
        <v>114</v>
      </c>
      <c r="B610" s="1">
        <v>6</v>
      </c>
      <c r="C610" s="1">
        <v>377</v>
      </c>
      <c r="D610" s="1" t="s">
        <v>11</v>
      </c>
      <c r="E610" s="1" t="s">
        <v>12</v>
      </c>
      <c r="F610" s="1">
        <f t="shared" si="26"/>
        <v>600</v>
      </c>
      <c r="G610" s="12">
        <f t="shared" si="27"/>
        <v>62.833333333333336</v>
      </c>
    </row>
    <row r="611" spans="1:7" ht="13">
      <c r="A611" s="4" t="s">
        <v>114</v>
      </c>
      <c r="B611" s="1">
        <v>5.12</v>
      </c>
      <c r="C611" s="1">
        <v>382</v>
      </c>
      <c r="D611" s="1" t="s">
        <v>11</v>
      </c>
      <c r="E611" s="1" t="s">
        <v>16</v>
      </c>
      <c r="F611" s="1">
        <f t="shared" si="26"/>
        <v>512</v>
      </c>
      <c r="G611" s="12">
        <f t="shared" si="27"/>
        <v>74.609375</v>
      </c>
    </row>
    <row r="612" spans="1:7" ht="13">
      <c r="A612" s="4" t="s">
        <v>114</v>
      </c>
      <c r="B612" s="1">
        <v>6.72</v>
      </c>
      <c r="C612" s="1">
        <v>466</v>
      </c>
      <c r="D612" s="1" t="s">
        <v>11</v>
      </c>
      <c r="E612" s="1" t="s">
        <v>15</v>
      </c>
      <c r="F612" s="1">
        <f t="shared" si="26"/>
        <v>672</v>
      </c>
      <c r="G612" s="12">
        <f t="shared" si="27"/>
        <v>69.345238095238102</v>
      </c>
    </row>
    <row r="613" spans="1:7" ht="13">
      <c r="A613" s="4" t="s">
        <v>114</v>
      </c>
      <c r="B613" s="1">
        <v>7.39</v>
      </c>
      <c r="C613" s="1">
        <v>476</v>
      </c>
      <c r="D613" s="1" t="s">
        <v>52</v>
      </c>
      <c r="E613" s="1" t="s">
        <v>25</v>
      </c>
      <c r="F613" s="1">
        <f t="shared" si="26"/>
        <v>739</v>
      </c>
      <c r="G613" s="12">
        <f t="shared" si="27"/>
        <v>64.411366711772672</v>
      </c>
    </row>
    <row r="614" spans="1:7" ht="13">
      <c r="A614" s="4" t="s">
        <v>114</v>
      </c>
      <c r="B614" s="1">
        <v>6</v>
      </c>
      <c r="C614" s="1">
        <v>378</v>
      </c>
      <c r="D614" s="1" t="s">
        <v>35</v>
      </c>
      <c r="E614" s="1" t="s">
        <v>23</v>
      </c>
      <c r="F614" s="1">
        <f t="shared" si="26"/>
        <v>600</v>
      </c>
      <c r="G614" s="12">
        <f t="shared" si="27"/>
        <v>63</v>
      </c>
    </row>
    <row r="615" spans="1:7" ht="13">
      <c r="A615" s="4" t="s">
        <v>114</v>
      </c>
      <c r="B615" s="1">
        <v>4.8</v>
      </c>
      <c r="C615" s="1">
        <v>326</v>
      </c>
      <c r="D615" s="1" t="s">
        <v>39</v>
      </c>
      <c r="E615" s="1" t="s">
        <v>10</v>
      </c>
      <c r="F615" s="1">
        <f t="shared" si="26"/>
        <v>480</v>
      </c>
      <c r="G615" s="12">
        <f t="shared" si="27"/>
        <v>67.916666666666671</v>
      </c>
    </row>
    <row r="616" spans="1:7" ht="13">
      <c r="A616" s="4" t="s">
        <v>114</v>
      </c>
      <c r="B616" s="1">
        <v>5.16</v>
      </c>
      <c r="C616" s="1">
        <v>334</v>
      </c>
      <c r="D616" s="1" t="s">
        <v>57</v>
      </c>
      <c r="E616" s="1" t="s">
        <v>30</v>
      </c>
      <c r="F616" s="1">
        <f t="shared" si="26"/>
        <v>516</v>
      </c>
      <c r="G616" s="12">
        <f t="shared" si="27"/>
        <v>64.728682170542641</v>
      </c>
    </row>
    <row r="617" spans="1:7" ht="13">
      <c r="A617" s="4" t="s">
        <v>114</v>
      </c>
      <c r="B617" s="1">
        <v>4.8</v>
      </c>
      <c r="C617" s="1">
        <v>326</v>
      </c>
      <c r="D617" s="1" t="s">
        <v>39</v>
      </c>
      <c r="E617" s="1" t="s">
        <v>10</v>
      </c>
      <c r="F617" s="1">
        <f t="shared" si="26"/>
        <v>480</v>
      </c>
      <c r="G617" s="12">
        <f t="shared" si="27"/>
        <v>67.916666666666671</v>
      </c>
    </row>
    <row r="618" spans="1:7" ht="13">
      <c r="A618" s="4" t="s">
        <v>114</v>
      </c>
      <c r="B618" s="1">
        <v>7.56</v>
      </c>
      <c r="C618" s="1">
        <v>427</v>
      </c>
      <c r="D618" s="1" t="s">
        <v>53</v>
      </c>
      <c r="E618" s="1" t="s">
        <v>31</v>
      </c>
      <c r="F618" s="1">
        <f t="shared" si="26"/>
        <v>756</v>
      </c>
      <c r="G618" s="12">
        <f t="shared" si="27"/>
        <v>56.481481481481481</v>
      </c>
    </row>
    <row r="619" spans="1:7" ht="13">
      <c r="A619" s="4" t="s">
        <v>114</v>
      </c>
      <c r="B619" s="1">
        <v>7.9</v>
      </c>
      <c r="C619" s="1">
        <v>486</v>
      </c>
      <c r="D619" s="1" t="s">
        <v>58</v>
      </c>
      <c r="E619" s="1" t="s">
        <v>10</v>
      </c>
      <c r="F619" s="1">
        <f t="shared" si="26"/>
        <v>790</v>
      </c>
      <c r="G619" s="12">
        <f t="shared" si="27"/>
        <v>61.518987341772146</v>
      </c>
    </row>
    <row r="620" spans="1:7" ht="13">
      <c r="A620" s="4" t="s">
        <v>114</v>
      </c>
      <c r="B620" s="1">
        <v>7.83</v>
      </c>
      <c r="C620" s="1">
        <v>551</v>
      </c>
      <c r="D620" s="1" t="s">
        <v>38</v>
      </c>
      <c r="E620" s="1" t="s">
        <v>8</v>
      </c>
      <c r="F620" s="1">
        <f t="shared" si="26"/>
        <v>783</v>
      </c>
      <c r="G620" s="12">
        <f t="shared" si="27"/>
        <v>70.370370370370367</v>
      </c>
    </row>
    <row r="621" spans="1:7" ht="13">
      <c r="A621" s="4" t="s">
        <v>114</v>
      </c>
      <c r="B621" s="1">
        <v>6.02</v>
      </c>
      <c r="C621" s="1">
        <v>342.28</v>
      </c>
      <c r="D621" s="1" t="s">
        <v>11</v>
      </c>
      <c r="E621" s="1" t="s">
        <v>27</v>
      </c>
      <c r="F621" s="1">
        <f t="shared" si="26"/>
        <v>602</v>
      </c>
      <c r="G621" s="12">
        <f t="shared" si="27"/>
        <v>56.857142857142854</v>
      </c>
    </row>
    <row r="622" spans="1:7" ht="13">
      <c r="A622" s="4" t="s">
        <v>114</v>
      </c>
      <c r="B622" s="1">
        <v>4.05</v>
      </c>
      <c r="C622" s="1">
        <v>267</v>
      </c>
      <c r="D622" s="1" t="s">
        <v>43</v>
      </c>
      <c r="E622" s="1" t="s">
        <v>8</v>
      </c>
      <c r="F622" s="1">
        <f t="shared" si="26"/>
        <v>405</v>
      </c>
      <c r="G622" s="12">
        <f t="shared" si="27"/>
        <v>65.925925925925924</v>
      </c>
    </row>
    <row r="623" spans="1:7" ht="13">
      <c r="A623" s="4" t="s">
        <v>114</v>
      </c>
      <c r="B623" s="1">
        <v>10.199999999999999</v>
      </c>
      <c r="C623" s="1">
        <v>552</v>
      </c>
      <c r="D623" s="1" t="s">
        <v>11</v>
      </c>
      <c r="E623" s="1" t="s">
        <v>7</v>
      </c>
      <c r="F623" s="1">
        <f t="shared" si="26"/>
        <v>1019.9999999999999</v>
      </c>
      <c r="G623" s="12">
        <f t="shared" si="27"/>
        <v>54.117647058823536</v>
      </c>
    </row>
    <row r="624" spans="1:7" ht="13">
      <c r="A624" s="4" t="s">
        <v>114</v>
      </c>
      <c r="B624" s="1">
        <v>7</v>
      </c>
      <c r="C624" s="1">
        <v>364</v>
      </c>
      <c r="D624" s="1" t="s">
        <v>11</v>
      </c>
      <c r="E624" s="1" t="s">
        <v>28</v>
      </c>
      <c r="F624" s="1">
        <f t="shared" si="26"/>
        <v>700</v>
      </c>
      <c r="G624" s="12">
        <f t="shared" si="27"/>
        <v>52</v>
      </c>
    </row>
    <row r="625" spans="1:7" ht="13">
      <c r="A625" s="4" t="s">
        <v>114</v>
      </c>
      <c r="B625" s="1">
        <v>8.5</v>
      </c>
      <c r="C625" s="1">
        <v>502</v>
      </c>
      <c r="D625" s="1" t="s">
        <v>39</v>
      </c>
      <c r="E625" s="1" t="s">
        <v>17</v>
      </c>
      <c r="F625" s="1">
        <f t="shared" si="26"/>
        <v>850</v>
      </c>
      <c r="G625" s="12">
        <f t="shared" si="27"/>
        <v>59.058823529411768</v>
      </c>
    </row>
    <row r="626" spans="1:7" ht="13">
      <c r="A626" s="4" t="s">
        <v>114</v>
      </c>
      <c r="B626" s="1">
        <v>4.5999999999999996</v>
      </c>
      <c r="C626" s="1">
        <v>324.8</v>
      </c>
      <c r="D626" s="1" t="s">
        <v>11</v>
      </c>
      <c r="E626" s="1" t="s">
        <v>9</v>
      </c>
      <c r="F626" s="1">
        <f t="shared" si="26"/>
        <v>459.99999999999994</v>
      </c>
      <c r="G626" s="12">
        <f t="shared" si="27"/>
        <v>70.608695652173921</v>
      </c>
    </row>
    <row r="627" spans="1:7" ht="13">
      <c r="A627" s="4" t="s">
        <v>114</v>
      </c>
      <c r="B627" s="1">
        <v>6.5</v>
      </c>
      <c r="C627" s="1">
        <v>451.98</v>
      </c>
      <c r="D627" s="1" t="s">
        <v>11</v>
      </c>
      <c r="E627" s="1" t="s">
        <v>8</v>
      </c>
      <c r="F627" s="1">
        <f t="shared" si="26"/>
        <v>650</v>
      </c>
      <c r="G627" s="12">
        <f t="shared" si="27"/>
        <v>69.535384615384615</v>
      </c>
    </row>
    <row r="628" spans="1:7" ht="13">
      <c r="A628" s="4" t="s">
        <v>114</v>
      </c>
      <c r="B628" s="1">
        <v>4.3</v>
      </c>
      <c r="C628" s="1">
        <v>252.54</v>
      </c>
      <c r="D628" s="1" t="s">
        <v>11</v>
      </c>
      <c r="E628" s="1" t="s">
        <v>15</v>
      </c>
      <c r="F628" s="1">
        <f t="shared" si="26"/>
        <v>430</v>
      </c>
      <c r="G628" s="12">
        <f t="shared" si="27"/>
        <v>58.730232558139534</v>
      </c>
    </row>
    <row r="629" spans="1:7" ht="13">
      <c r="A629" s="4" t="s">
        <v>114</v>
      </c>
      <c r="B629" s="1">
        <v>5.22</v>
      </c>
      <c r="C629" s="1">
        <v>303</v>
      </c>
      <c r="D629" s="1" t="s">
        <v>45</v>
      </c>
      <c r="E629" s="1" t="s">
        <v>15</v>
      </c>
      <c r="F629" s="1">
        <f t="shared" si="26"/>
        <v>522</v>
      </c>
      <c r="G629" s="12">
        <f t="shared" si="27"/>
        <v>58.045977011494259</v>
      </c>
    </row>
    <row r="630" spans="1:7" ht="13">
      <c r="A630" s="4" t="s">
        <v>114</v>
      </c>
      <c r="B630" s="1">
        <v>6</v>
      </c>
      <c r="C630" s="1">
        <v>437</v>
      </c>
      <c r="D630" s="1" t="s">
        <v>11</v>
      </c>
      <c r="E630" s="1" t="s">
        <v>26</v>
      </c>
      <c r="F630" s="1">
        <f t="shared" si="26"/>
        <v>600</v>
      </c>
      <c r="G630" s="12">
        <f t="shared" si="27"/>
        <v>72.833333333333329</v>
      </c>
    </row>
    <row r="631" spans="1:7" ht="13">
      <c r="A631" s="4" t="s">
        <v>114</v>
      </c>
      <c r="B631" s="1">
        <v>4.38</v>
      </c>
      <c r="C631" s="1">
        <v>282</v>
      </c>
      <c r="D631" s="1" t="s">
        <v>43</v>
      </c>
      <c r="E631" s="1" t="s">
        <v>24</v>
      </c>
      <c r="F631" s="1">
        <f t="shared" si="26"/>
        <v>438</v>
      </c>
      <c r="G631" s="12">
        <f t="shared" si="27"/>
        <v>64.38356164383562</v>
      </c>
    </row>
    <row r="632" spans="1:7" ht="13">
      <c r="A632" s="4" t="s">
        <v>114</v>
      </c>
      <c r="B632" s="1">
        <v>4.5</v>
      </c>
      <c r="C632" s="1">
        <v>274</v>
      </c>
      <c r="D632" s="1" t="s">
        <v>43</v>
      </c>
      <c r="E632" s="1" t="s">
        <v>15</v>
      </c>
      <c r="F632" s="1">
        <f t="shared" si="26"/>
        <v>450</v>
      </c>
      <c r="G632" s="12">
        <f t="shared" si="27"/>
        <v>60.888888888888886</v>
      </c>
    </row>
    <row r="633" spans="1:7" ht="13">
      <c r="A633" s="4" t="s">
        <v>114</v>
      </c>
      <c r="B633" s="1">
        <v>8.75</v>
      </c>
      <c r="C633" s="1">
        <v>613</v>
      </c>
      <c r="D633" s="1" t="s">
        <v>38</v>
      </c>
      <c r="E633" s="1" t="s">
        <v>31</v>
      </c>
      <c r="F633" s="1">
        <f t="shared" si="26"/>
        <v>875</v>
      </c>
      <c r="G633" s="12">
        <f t="shared" si="27"/>
        <v>70.057142857142864</v>
      </c>
    </row>
    <row r="634" spans="1:7" ht="13">
      <c r="A634" s="4" t="s">
        <v>114</v>
      </c>
      <c r="B634" s="1">
        <v>6.88</v>
      </c>
      <c r="C634" s="1">
        <v>490</v>
      </c>
      <c r="D634" s="1" t="s">
        <v>11</v>
      </c>
      <c r="E634" s="1" t="s">
        <v>8</v>
      </c>
      <c r="F634" s="1">
        <f t="shared" si="26"/>
        <v>688</v>
      </c>
      <c r="G634" s="12">
        <f t="shared" si="27"/>
        <v>71.220930232558146</v>
      </c>
    </row>
    <row r="635" spans="1:7" ht="13">
      <c r="A635" s="4" t="s">
        <v>114</v>
      </c>
      <c r="B635" s="1">
        <v>7.2</v>
      </c>
      <c r="C635" s="1">
        <v>322</v>
      </c>
      <c r="D635" s="1" t="s">
        <v>70</v>
      </c>
      <c r="E635" s="1" t="s">
        <v>26</v>
      </c>
      <c r="F635" s="1">
        <f t="shared" si="26"/>
        <v>720</v>
      </c>
      <c r="G635" s="12">
        <f t="shared" si="27"/>
        <v>44.722222222222221</v>
      </c>
    </row>
    <row r="636" spans="1:7" ht="13">
      <c r="A636" s="4" t="s">
        <v>114</v>
      </c>
      <c r="B636" s="1">
        <v>3.5</v>
      </c>
      <c r="C636" s="1">
        <v>214</v>
      </c>
      <c r="D636" s="1" t="s">
        <v>55</v>
      </c>
      <c r="E636" s="1" t="s">
        <v>15</v>
      </c>
      <c r="F636" s="1">
        <f t="shared" si="26"/>
        <v>350</v>
      </c>
      <c r="G636" s="12">
        <f t="shared" si="27"/>
        <v>61.142857142857146</v>
      </c>
    </row>
    <row r="637" spans="1:7" ht="13">
      <c r="A637" s="4" t="s">
        <v>114</v>
      </c>
      <c r="B637" s="1">
        <v>7.7</v>
      </c>
      <c r="C637" s="1">
        <v>420</v>
      </c>
      <c r="D637" s="1" t="s">
        <v>33</v>
      </c>
      <c r="E637" s="1" t="s">
        <v>10</v>
      </c>
      <c r="F637" s="1">
        <f t="shared" si="26"/>
        <v>770</v>
      </c>
      <c r="G637" s="12">
        <f t="shared" si="27"/>
        <v>54.545454545454547</v>
      </c>
    </row>
    <row r="638" spans="1:7" ht="13">
      <c r="A638" s="4" t="s">
        <v>114</v>
      </c>
      <c r="B638" s="1">
        <v>5.22</v>
      </c>
      <c r="C638" s="1">
        <v>253</v>
      </c>
      <c r="D638" s="1" t="s">
        <v>76</v>
      </c>
      <c r="E638" s="1" t="s">
        <v>22</v>
      </c>
      <c r="F638" s="1">
        <f t="shared" si="26"/>
        <v>522</v>
      </c>
      <c r="G638" s="12">
        <f t="shared" si="27"/>
        <v>48.467432950191572</v>
      </c>
    </row>
    <row r="639" spans="1:7" ht="13">
      <c r="A639" s="4" t="s">
        <v>114</v>
      </c>
      <c r="B639" s="1">
        <v>1</v>
      </c>
      <c r="C639" s="1">
        <v>90</v>
      </c>
      <c r="D639" s="1" t="s">
        <v>11</v>
      </c>
      <c r="E639" s="1" t="s">
        <v>26</v>
      </c>
      <c r="F639" s="1">
        <f t="shared" si="26"/>
        <v>100</v>
      </c>
      <c r="G639" s="12">
        <f t="shared" si="27"/>
        <v>90</v>
      </c>
    </row>
    <row r="640" spans="1:7" ht="13">
      <c r="A640" s="4" t="s">
        <v>114</v>
      </c>
      <c r="B640" s="1">
        <v>5.67</v>
      </c>
      <c r="C640" s="1">
        <v>288</v>
      </c>
      <c r="D640" s="1" t="s">
        <v>77</v>
      </c>
      <c r="E640" s="1" t="s">
        <v>8</v>
      </c>
      <c r="F640" s="1">
        <f t="shared" si="26"/>
        <v>567</v>
      </c>
      <c r="G640" s="12">
        <f t="shared" si="27"/>
        <v>50.793650793650791</v>
      </c>
    </row>
    <row r="641" spans="1:7" ht="13">
      <c r="A641" s="4" t="s">
        <v>114</v>
      </c>
      <c r="B641" s="1">
        <v>4.3</v>
      </c>
      <c r="C641" s="1">
        <v>310</v>
      </c>
      <c r="D641" s="1" t="s">
        <v>43</v>
      </c>
      <c r="E641" s="1" t="s">
        <v>20</v>
      </c>
      <c r="F641" s="1">
        <f t="shared" si="26"/>
        <v>430</v>
      </c>
      <c r="G641" s="12">
        <f t="shared" si="27"/>
        <v>72.093023255813961</v>
      </c>
    </row>
    <row r="642" spans="1:7" ht="13">
      <c r="A642" s="4" t="s">
        <v>114</v>
      </c>
      <c r="B642" s="1">
        <v>3.4</v>
      </c>
      <c r="C642" s="1">
        <v>213</v>
      </c>
      <c r="D642" s="1" t="s">
        <v>11</v>
      </c>
      <c r="E642" s="1" t="s">
        <v>22</v>
      </c>
      <c r="F642" s="1">
        <f t="shared" si="26"/>
        <v>340</v>
      </c>
      <c r="G642" s="12">
        <f t="shared" si="27"/>
        <v>62.647058823529413</v>
      </c>
    </row>
    <row r="643" spans="1:7" ht="13">
      <c r="A643" s="4" t="s">
        <v>114</v>
      </c>
      <c r="B643" s="1">
        <v>5.4</v>
      </c>
      <c r="C643" s="1">
        <v>416</v>
      </c>
      <c r="D643" s="1" t="s">
        <v>55</v>
      </c>
      <c r="E643" s="1" t="s">
        <v>26</v>
      </c>
      <c r="F643" s="1">
        <f t="shared" ref="F643:F706" si="28">B643*100</f>
        <v>540</v>
      </c>
      <c r="G643" s="12">
        <f t="shared" ref="G643:G706" si="29">C643/B643</f>
        <v>77.037037037037038</v>
      </c>
    </row>
    <row r="644" spans="1:7" ht="13">
      <c r="A644" s="4" t="s">
        <v>114</v>
      </c>
      <c r="B644" s="1">
        <v>4.2</v>
      </c>
      <c r="C644" s="1">
        <v>257</v>
      </c>
      <c r="D644" s="1" t="s">
        <v>40</v>
      </c>
      <c r="E644" s="1" t="s">
        <v>20</v>
      </c>
      <c r="F644" s="1">
        <f t="shared" si="28"/>
        <v>420</v>
      </c>
      <c r="G644" s="12">
        <f t="shared" si="29"/>
        <v>61.19047619047619</v>
      </c>
    </row>
    <row r="645" spans="1:7" ht="13">
      <c r="A645" s="4" t="s">
        <v>114</v>
      </c>
      <c r="B645" s="1">
        <v>6.96</v>
      </c>
      <c r="C645" s="1">
        <v>396</v>
      </c>
      <c r="D645" s="1" t="s">
        <v>78</v>
      </c>
      <c r="E645" s="1" t="s">
        <v>15</v>
      </c>
      <c r="F645" s="1">
        <f t="shared" si="28"/>
        <v>696</v>
      </c>
      <c r="G645" s="12">
        <f t="shared" si="29"/>
        <v>56.896551724137929</v>
      </c>
    </row>
    <row r="646" spans="1:7" ht="13">
      <c r="A646" s="4" t="s">
        <v>114</v>
      </c>
      <c r="B646" s="1">
        <v>4.5</v>
      </c>
      <c r="C646" s="1">
        <v>222</v>
      </c>
      <c r="D646" s="1" t="s">
        <v>33</v>
      </c>
      <c r="E646" s="1" t="s">
        <v>15</v>
      </c>
      <c r="F646" s="1">
        <f t="shared" si="28"/>
        <v>450</v>
      </c>
      <c r="G646" s="12">
        <f t="shared" si="29"/>
        <v>49.333333333333336</v>
      </c>
    </row>
    <row r="647" spans="1:7" ht="13">
      <c r="A647" s="4" t="s">
        <v>114</v>
      </c>
      <c r="B647" s="1">
        <v>5.6</v>
      </c>
      <c r="C647" s="1">
        <v>344</v>
      </c>
      <c r="D647" s="1" t="s">
        <v>11</v>
      </c>
      <c r="E647" s="1" t="s">
        <v>15</v>
      </c>
      <c r="F647" s="1">
        <f t="shared" si="28"/>
        <v>560</v>
      </c>
      <c r="G647" s="12">
        <f t="shared" si="29"/>
        <v>61.428571428571431</v>
      </c>
    </row>
    <row r="648" spans="1:7" ht="13">
      <c r="A648" s="4" t="s">
        <v>114</v>
      </c>
      <c r="B648" s="1">
        <v>7.3</v>
      </c>
      <c r="C648" s="1">
        <v>426</v>
      </c>
      <c r="D648" s="1" t="s">
        <v>33</v>
      </c>
      <c r="E648" s="1" t="s">
        <v>8</v>
      </c>
      <c r="F648" s="1">
        <f t="shared" si="28"/>
        <v>730</v>
      </c>
      <c r="G648" s="12">
        <f t="shared" si="29"/>
        <v>58.356164383561648</v>
      </c>
    </row>
    <row r="649" spans="1:7" ht="13">
      <c r="A649" s="4" t="s">
        <v>114</v>
      </c>
      <c r="B649" s="1">
        <v>4.0999999999999996</v>
      </c>
      <c r="C649" s="1">
        <v>303</v>
      </c>
      <c r="D649" s="1" t="s">
        <v>35</v>
      </c>
      <c r="E649" s="1" t="s">
        <v>32</v>
      </c>
      <c r="F649" s="1">
        <f t="shared" si="28"/>
        <v>409.99999999999994</v>
      </c>
      <c r="G649" s="12">
        <f t="shared" si="29"/>
        <v>73.902439024390247</v>
      </c>
    </row>
    <row r="650" spans="1:7" ht="13">
      <c r="A650" s="4" t="s">
        <v>114</v>
      </c>
      <c r="B650" s="1">
        <v>4.5</v>
      </c>
      <c r="C650" s="1">
        <v>247</v>
      </c>
      <c r="D650" s="1" t="s">
        <v>33</v>
      </c>
      <c r="E650" s="1" t="s">
        <v>17</v>
      </c>
      <c r="F650" s="1">
        <f t="shared" si="28"/>
        <v>450</v>
      </c>
      <c r="G650" s="12">
        <f t="shared" si="29"/>
        <v>54.888888888888886</v>
      </c>
    </row>
    <row r="651" spans="1:7" ht="13">
      <c r="A651" s="4" t="s">
        <v>114</v>
      </c>
      <c r="B651" s="1">
        <v>6.72</v>
      </c>
      <c r="C651" s="1">
        <v>353</v>
      </c>
      <c r="D651" s="1" t="s">
        <v>33</v>
      </c>
      <c r="E651" s="1" t="s">
        <v>27</v>
      </c>
      <c r="F651" s="1">
        <f t="shared" si="28"/>
        <v>672</v>
      </c>
      <c r="G651" s="12">
        <f t="shared" si="29"/>
        <v>52.529761904761905</v>
      </c>
    </row>
    <row r="652" spans="1:7" ht="13">
      <c r="A652" s="4" t="s">
        <v>114</v>
      </c>
      <c r="B652" s="1">
        <v>3780</v>
      </c>
      <c r="C652" s="1">
        <v>152</v>
      </c>
      <c r="D652" s="1" t="s">
        <v>33</v>
      </c>
      <c r="E652" s="1" t="s">
        <v>15</v>
      </c>
      <c r="F652" s="1">
        <f t="shared" si="28"/>
        <v>378000</v>
      </c>
      <c r="G652" s="12">
        <f t="shared" si="29"/>
        <v>4.0211640211640212E-2</v>
      </c>
    </row>
    <row r="653" spans="1:7" ht="13">
      <c r="A653" s="4" t="s">
        <v>114</v>
      </c>
      <c r="B653" s="1">
        <v>6.45</v>
      </c>
      <c r="C653" s="1">
        <v>353</v>
      </c>
      <c r="D653" s="1" t="s">
        <v>53</v>
      </c>
      <c r="E653" s="1" t="s">
        <v>22</v>
      </c>
      <c r="F653" s="1">
        <f t="shared" si="28"/>
        <v>645</v>
      </c>
      <c r="G653" s="12">
        <f t="shared" si="29"/>
        <v>54.728682170542633</v>
      </c>
    </row>
    <row r="654" spans="1:7" ht="13">
      <c r="A654" s="4" t="s">
        <v>114</v>
      </c>
      <c r="B654" s="1">
        <v>5</v>
      </c>
      <c r="C654" s="1">
        <v>250</v>
      </c>
      <c r="D654" s="1" t="s">
        <v>33</v>
      </c>
      <c r="E654" s="1" t="s">
        <v>31</v>
      </c>
      <c r="F654" s="1">
        <f t="shared" si="28"/>
        <v>500</v>
      </c>
      <c r="G654" s="12">
        <f t="shared" si="29"/>
        <v>50</v>
      </c>
    </row>
    <row r="655" spans="1:7" ht="13">
      <c r="A655" s="4" t="s">
        <v>114</v>
      </c>
      <c r="B655" s="1">
        <v>5.0999999999999996</v>
      </c>
      <c r="C655" s="1">
        <v>345</v>
      </c>
      <c r="D655" s="1" t="s">
        <v>59</v>
      </c>
      <c r="E655" s="1" t="s">
        <v>18</v>
      </c>
      <c r="F655" s="1">
        <f t="shared" si="28"/>
        <v>509.99999999999994</v>
      </c>
      <c r="G655" s="12">
        <f t="shared" si="29"/>
        <v>67.64705882352942</v>
      </c>
    </row>
    <row r="656" spans="1:7" ht="13">
      <c r="A656" s="4" t="s">
        <v>114</v>
      </c>
      <c r="B656" s="1">
        <v>6.08</v>
      </c>
      <c r="C656" s="1">
        <v>318</v>
      </c>
      <c r="D656" s="1" t="s">
        <v>33</v>
      </c>
      <c r="E656" s="1" t="s">
        <v>28</v>
      </c>
      <c r="F656" s="1">
        <f t="shared" si="28"/>
        <v>608</v>
      </c>
      <c r="G656" s="12">
        <f t="shared" si="29"/>
        <v>52.30263157894737</v>
      </c>
    </row>
    <row r="657" spans="1:7" ht="13">
      <c r="A657" s="4" t="s">
        <v>114</v>
      </c>
      <c r="B657" s="1">
        <v>6</v>
      </c>
      <c r="C657" s="1">
        <v>434</v>
      </c>
      <c r="D657" s="1" t="s">
        <v>11</v>
      </c>
      <c r="E657" s="1" t="s">
        <v>22</v>
      </c>
      <c r="F657" s="1">
        <f t="shared" si="28"/>
        <v>600</v>
      </c>
      <c r="G657" s="12">
        <f t="shared" si="29"/>
        <v>72.333333333333329</v>
      </c>
    </row>
    <row r="658" spans="1:7" ht="13">
      <c r="A658" s="4" t="s">
        <v>114</v>
      </c>
      <c r="B658" s="1">
        <v>6.375</v>
      </c>
      <c r="C658" s="1">
        <v>449</v>
      </c>
      <c r="D658" s="1" t="s">
        <v>11</v>
      </c>
      <c r="E658" s="1" t="s">
        <v>12</v>
      </c>
      <c r="F658" s="1">
        <f t="shared" si="28"/>
        <v>637.5</v>
      </c>
      <c r="G658" s="12">
        <f t="shared" si="29"/>
        <v>70.431372549019613</v>
      </c>
    </row>
    <row r="659" spans="1:7" ht="13">
      <c r="A659" s="4" t="s">
        <v>114</v>
      </c>
      <c r="B659" s="1">
        <v>7.5</v>
      </c>
      <c r="C659" s="1">
        <v>439.8</v>
      </c>
      <c r="D659" s="1" t="s">
        <v>34</v>
      </c>
      <c r="E659" s="1" t="s">
        <v>22</v>
      </c>
      <c r="F659" s="1">
        <f t="shared" si="28"/>
        <v>750</v>
      </c>
      <c r="G659" s="12">
        <f t="shared" si="29"/>
        <v>58.64</v>
      </c>
    </row>
    <row r="660" spans="1:7" ht="13">
      <c r="A660" s="4" t="s">
        <v>114</v>
      </c>
      <c r="B660" s="1">
        <v>8.1999999999999993</v>
      </c>
      <c r="C660" s="1">
        <v>426</v>
      </c>
      <c r="D660" s="1" t="s">
        <v>53</v>
      </c>
      <c r="E660" s="1" t="s">
        <v>15</v>
      </c>
      <c r="F660" s="1">
        <f t="shared" si="28"/>
        <v>819.99999999999989</v>
      </c>
      <c r="G660" s="12">
        <f t="shared" si="29"/>
        <v>51.951219512195124</v>
      </c>
    </row>
    <row r="661" spans="1:7" ht="13">
      <c r="A661" s="4" t="s">
        <v>114</v>
      </c>
      <c r="B661" s="1">
        <v>4</v>
      </c>
      <c r="C661" s="1">
        <v>246</v>
      </c>
      <c r="D661" s="1" t="s">
        <v>11</v>
      </c>
      <c r="E661" s="1" t="s">
        <v>28</v>
      </c>
      <c r="F661" s="1">
        <f t="shared" si="28"/>
        <v>400</v>
      </c>
      <c r="G661" s="12">
        <f t="shared" si="29"/>
        <v>61.5</v>
      </c>
    </row>
    <row r="662" spans="1:7" ht="13">
      <c r="A662" s="4" t="s">
        <v>114</v>
      </c>
      <c r="B662" s="1">
        <v>8.1999999999999993</v>
      </c>
      <c r="C662" s="1">
        <v>434.8</v>
      </c>
      <c r="D662" s="1" t="s">
        <v>33</v>
      </c>
      <c r="E662" s="1" t="s">
        <v>16</v>
      </c>
      <c r="F662" s="1">
        <f t="shared" si="28"/>
        <v>819.99999999999989</v>
      </c>
      <c r="G662" s="12">
        <f t="shared" si="29"/>
        <v>53.024390243902445</v>
      </c>
    </row>
    <row r="663" spans="1:7" ht="13">
      <c r="A663" s="4" t="s">
        <v>114</v>
      </c>
      <c r="B663" s="1">
        <v>3.5</v>
      </c>
      <c r="C663" s="1">
        <v>220</v>
      </c>
      <c r="D663" s="1" t="s">
        <v>11</v>
      </c>
      <c r="E663" s="1" t="s">
        <v>16</v>
      </c>
      <c r="F663" s="1">
        <f t="shared" si="28"/>
        <v>350</v>
      </c>
      <c r="G663" s="12">
        <f t="shared" si="29"/>
        <v>62.857142857142854</v>
      </c>
    </row>
    <row r="664" spans="1:7" ht="13">
      <c r="A664" s="4" t="s">
        <v>114</v>
      </c>
      <c r="B664" s="1">
        <v>6</v>
      </c>
      <c r="C664" s="1">
        <v>423</v>
      </c>
      <c r="D664" s="1" t="s">
        <v>11</v>
      </c>
      <c r="E664" s="1" t="s">
        <v>16</v>
      </c>
      <c r="F664" s="1">
        <f t="shared" si="28"/>
        <v>600</v>
      </c>
      <c r="G664" s="12">
        <f t="shared" si="29"/>
        <v>70.5</v>
      </c>
    </row>
    <row r="665" spans="1:7" ht="13">
      <c r="A665" s="4" t="s">
        <v>114</v>
      </c>
      <c r="B665" s="1">
        <v>4</v>
      </c>
      <c r="C665" s="1">
        <v>222</v>
      </c>
      <c r="D665" s="1" t="s">
        <v>44</v>
      </c>
      <c r="E665" s="1" t="s">
        <v>21</v>
      </c>
      <c r="F665" s="1">
        <f t="shared" si="28"/>
        <v>400</v>
      </c>
      <c r="G665" s="12">
        <f t="shared" si="29"/>
        <v>55.5</v>
      </c>
    </row>
    <row r="666" spans="1:7" ht="13">
      <c r="A666" s="4" t="s">
        <v>114</v>
      </c>
      <c r="B666" s="1">
        <v>5.6</v>
      </c>
      <c r="C666" s="1">
        <v>363</v>
      </c>
      <c r="D666" s="1" t="s">
        <v>54</v>
      </c>
      <c r="E666" s="1" t="s">
        <v>22</v>
      </c>
      <c r="F666" s="1">
        <f t="shared" si="28"/>
        <v>560</v>
      </c>
      <c r="G666" s="12">
        <f t="shared" si="29"/>
        <v>64.821428571428569</v>
      </c>
    </row>
    <row r="667" spans="1:7" ht="13">
      <c r="A667" s="4" t="s">
        <v>114</v>
      </c>
      <c r="B667" s="1">
        <v>5.6</v>
      </c>
      <c r="C667" s="1">
        <v>340</v>
      </c>
      <c r="D667" s="1" t="s">
        <v>36</v>
      </c>
      <c r="E667" s="1" t="s">
        <v>9</v>
      </c>
      <c r="F667" s="1">
        <f t="shared" si="28"/>
        <v>560</v>
      </c>
      <c r="G667" s="12">
        <f t="shared" si="29"/>
        <v>60.714285714285715</v>
      </c>
    </row>
    <row r="668" spans="1:7" ht="13">
      <c r="A668" s="4" t="s">
        <v>114</v>
      </c>
      <c r="B668" s="1">
        <v>7.6</v>
      </c>
      <c r="C668" s="1">
        <v>361</v>
      </c>
      <c r="D668" s="1" t="s">
        <v>33</v>
      </c>
      <c r="E668" s="1" t="s">
        <v>17</v>
      </c>
      <c r="F668" s="1">
        <f t="shared" si="28"/>
        <v>760</v>
      </c>
      <c r="G668" s="12">
        <f t="shared" si="29"/>
        <v>47.5</v>
      </c>
    </row>
    <row r="669" spans="1:7" ht="13">
      <c r="A669" s="4" t="s">
        <v>114</v>
      </c>
      <c r="B669" s="1">
        <v>7.74</v>
      </c>
      <c r="C669" s="1">
        <v>555</v>
      </c>
      <c r="D669" s="1" t="s">
        <v>11</v>
      </c>
      <c r="E669" s="1" t="s">
        <v>30</v>
      </c>
      <c r="F669" s="1">
        <f t="shared" si="28"/>
        <v>774</v>
      </c>
      <c r="G669" s="12">
        <f t="shared" si="29"/>
        <v>71.705426356589143</v>
      </c>
    </row>
    <row r="670" spans="1:7" ht="13">
      <c r="A670" s="4" t="s">
        <v>114</v>
      </c>
      <c r="B670" s="1">
        <v>5</v>
      </c>
      <c r="C670" s="1">
        <v>324</v>
      </c>
      <c r="D670" s="1" t="s">
        <v>39</v>
      </c>
      <c r="E670" s="1" t="s">
        <v>18</v>
      </c>
      <c r="F670" s="1">
        <f t="shared" si="28"/>
        <v>500</v>
      </c>
      <c r="G670" s="12">
        <f t="shared" si="29"/>
        <v>64.8</v>
      </c>
    </row>
    <row r="671" spans="1:7" ht="13">
      <c r="A671" s="4" t="s">
        <v>114</v>
      </c>
      <c r="B671" s="1">
        <v>6</v>
      </c>
      <c r="C671" s="1">
        <v>577</v>
      </c>
      <c r="D671" s="1" t="s">
        <v>35</v>
      </c>
      <c r="E671" s="1" t="s">
        <v>32</v>
      </c>
      <c r="F671" s="1">
        <f t="shared" si="28"/>
        <v>600</v>
      </c>
      <c r="G671" s="12">
        <f t="shared" si="29"/>
        <v>96.166666666666671</v>
      </c>
    </row>
    <row r="672" spans="1:7" ht="13">
      <c r="A672" s="4" t="s">
        <v>114</v>
      </c>
      <c r="B672" s="1">
        <v>4.2</v>
      </c>
      <c r="C672" s="1">
        <v>287</v>
      </c>
      <c r="D672" s="1" t="s">
        <v>11</v>
      </c>
      <c r="E672" s="1" t="s">
        <v>15</v>
      </c>
      <c r="F672" s="1">
        <f t="shared" si="28"/>
        <v>420</v>
      </c>
      <c r="G672" s="12">
        <f t="shared" si="29"/>
        <v>68.333333333333329</v>
      </c>
    </row>
    <row r="673" spans="1:7" ht="13">
      <c r="A673" s="4" t="s">
        <v>114</v>
      </c>
      <c r="B673" s="1">
        <v>5</v>
      </c>
      <c r="C673" s="1">
        <v>307</v>
      </c>
      <c r="D673" s="1" t="s">
        <v>11</v>
      </c>
      <c r="E673" s="1" t="s">
        <v>14</v>
      </c>
      <c r="F673" s="1">
        <f t="shared" si="28"/>
        <v>500</v>
      </c>
      <c r="G673" s="12">
        <f t="shared" si="29"/>
        <v>61.4</v>
      </c>
    </row>
    <row r="674" spans="1:7" ht="13">
      <c r="A674" s="4" t="s">
        <v>114</v>
      </c>
      <c r="B674" s="1">
        <v>7.74</v>
      </c>
      <c r="C674" s="1">
        <v>482</v>
      </c>
      <c r="D674" s="1" t="s">
        <v>33</v>
      </c>
      <c r="E674" s="1" t="s">
        <v>9</v>
      </c>
      <c r="F674" s="1">
        <f t="shared" si="28"/>
        <v>774</v>
      </c>
      <c r="G674" s="12">
        <f t="shared" si="29"/>
        <v>62.273901808785531</v>
      </c>
    </row>
    <row r="675" spans="1:7" ht="13">
      <c r="A675" s="4" t="s">
        <v>114</v>
      </c>
      <c r="B675" s="1">
        <v>5.2</v>
      </c>
      <c r="C675" s="1">
        <v>308</v>
      </c>
      <c r="D675" s="1" t="s">
        <v>33</v>
      </c>
      <c r="E675" s="1" t="s">
        <v>15</v>
      </c>
      <c r="F675" s="1">
        <f t="shared" si="28"/>
        <v>520</v>
      </c>
      <c r="G675" s="12">
        <f t="shared" si="29"/>
        <v>59.230769230769226</v>
      </c>
    </row>
    <row r="676" spans="1:7" ht="13">
      <c r="A676" s="4" t="s">
        <v>114</v>
      </c>
      <c r="B676" s="1">
        <v>6</v>
      </c>
      <c r="C676" s="1">
        <v>320</v>
      </c>
      <c r="D676" s="1" t="s">
        <v>64</v>
      </c>
      <c r="E676" s="1" t="s">
        <v>49</v>
      </c>
      <c r="F676" s="1">
        <f t="shared" si="28"/>
        <v>600</v>
      </c>
      <c r="G676" s="12">
        <f t="shared" si="29"/>
        <v>53.333333333333336</v>
      </c>
    </row>
    <row r="677" spans="1:7" ht="13">
      <c r="A677" s="4" t="s">
        <v>114</v>
      </c>
      <c r="B677" s="1">
        <v>6.02</v>
      </c>
      <c r="C677" s="1">
        <v>336</v>
      </c>
      <c r="D677" s="1" t="s">
        <v>33</v>
      </c>
      <c r="E677" s="1" t="s">
        <v>9</v>
      </c>
      <c r="F677" s="1">
        <f t="shared" si="28"/>
        <v>602</v>
      </c>
      <c r="G677" s="12">
        <f t="shared" si="29"/>
        <v>55.8139534883721</v>
      </c>
    </row>
    <row r="678" spans="1:7" ht="13">
      <c r="A678" s="4" t="s">
        <v>114</v>
      </c>
      <c r="B678" s="1">
        <v>7.8</v>
      </c>
      <c r="C678" s="1">
        <v>386</v>
      </c>
      <c r="D678" s="1" t="s">
        <v>40</v>
      </c>
      <c r="E678" s="1" t="s">
        <v>15</v>
      </c>
      <c r="F678" s="1">
        <f t="shared" si="28"/>
        <v>780</v>
      </c>
      <c r="G678" s="12">
        <f t="shared" si="29"/>
        <v>49.487179487179489</v>
      </c>
    </row>
    <row r="679" spans="1:7" ht="13">
      <c r="A679" s="4" t="s">
        <v>114</v>
      </c>
      <c r="B679" s="1">
        <v>7.7</v>
      </c>
      <c r="C679" s="1">
        <v>576</v>
      </c>
      <c r="D679" s="1" t="s">
        <v>11</v>
      </c>
      <c r="E679" s="1" t="s">
        <v>21</v>
      </c>
      <c r="F679" s="1">
        <f t="shared" si="28"/>
        <v>770</v>
      </c>
      <c r="G679" s="12">
        <f t="shared" si="29"/>
        <v>74.805194805194802</v>
      </c>
    </row>
    <row r="680" spans="1:7" ht="13">
      <c r="A680" s="4" t="s">
        <v>114</v>
      </c>
      <c r="B680" s="1">
        <v>6.4</v>
      </c>
      <c r="C680" s="1">
        <v>438</v>
      </c>
      <c r="D680" s="1" t="s">
        <v>70</v>
      </c>
      <c r="E680" s="1" t="s">
        <v>23</v>
      </c>
      <c r="F680" s="1">
        <f t="shared" si="28"/>
        <v>640</v>
      </c>
      <c r="G680" s="12">
        <f t="shared" si="29"/>
        <v>68.4375</v>
      </c>
    </row>
    <row r="681" spans="1:7" ht="13">
      <c r="A681" s="4" t="s">
        <v>114</v>
      </c>
      <c r="B681" s="1">
        <v>3.48</v>
      </c>
      <c r="C681" s="1">
        <v>253</v>
      </c>
      <c r="D681" s="1" t="s">
        <v>11</v>
      </c>
      <c r="E681" s="1" t="s">
        <v>7</v>
      </c>
      <c r="F681" s="1">
        <f t="shared" si="28"/>
        <v>348</v>
      </c>
      <c r="G681" s="12">
        <f t="shared" si="29"/>
        <v>72.701149425287355</v>
      </c>
    </row>
    <row r="682" spans="1:7" ht="13">
      <c r="A682" s="4" t="s">
        <v>114</v>
      </c>
      <c r="B682" s="1">
        <v>6.4</v>
      </c>
      <c r="C682" s="1">
        <v>457</v>
      </c>
      <c r="D682" s="1" t="s">
        <v>38</v>
      </c>
      <c r="E682" s="1" t="s">
        <v>9</v>
      </c>
      <c r="F682" s="1">
        <f t="shared" si="28"/>
        <v>640</v>
      </c>
      <c r="G682" s="12">
        <f t="shared" si="29"/>
        <v>71.40625</v>
      </c>
    </row>
    <row r="683" spans="1:7" ht="13">
      <c r="A683" s="4" t="s">
        <v>114</v>
      </c>
      <c r="B683" s="1">
        <v>8</v>
      </c>
      <c r="C683" s="1">
        <v>483</v>
      </c>
      <c r="D683" s="1" t="s">
        <v>11</v>
      </c>
      <c r="E683" s="1" t="s">
        <v>28</v>
      </c>
      <c r="F683" s="1">
        <f t="shared" si="28"/>
        <v>800</v>
      </c>
      <c r="G683" s="12">
        <f t="shared" si="29"/>
        <v>60.375</v>
      </c>
    </row>
    <row r="684" spans="1:7" ht="13">
      <c r="A684" s="4" t="s">
        <v>114</v>
      </c>
      <c r="B684" s="1">
        <v>8.1199999999999992</v>
      </c>
      <c r="C684" s="1">
        <v>543</v>
      </c>
      <c r="D684" s="1" t="s">
        <v>11</v>
      </c>
      <c r="E684" s="1" t="s">
        <v>20</v>
      </c>
      <c r="F684" s="1">
        <f t="shared" si="28"/>
        <v>811.99999999999989</v>
      </c>
      <c r="G684" s="12">
        <f t="shared" si="29"/>
        <v>66.871921182266021</v>
      </c>
    </row>
    <row r="685" spans="1:7" ht="13">
      <c r="A685" s="4" t="s">
        <v>114</v>
      </c>
      <c r="B685" s="1">
        <v>6.8</v>
      </c>
      <c r="C685" s="1">
        <v>341</v>
      </c>
      <c r="D685" s="1" t="s">
        <v>33</v>
      </c>
      <c r="E685" s="1" t="s">
        <v>20</v>
      </c>
      <c r="F685" s="1">
        <f t="shared" si="28"/>
        <v>680</v>
      </c>
      <c r="G685" s="12">
        <f t="shared" si="29"/>
        <v>50.147058823529413</v>
      </c>
    </row>
    <row r="686" spans="1:7" ht="13">
      <c r="A686" s="4" t="s">
        <v>114</v>
      </c>
      <c r="B686" s="1">
        <v>6.96</v>
      </c>
      <c r="C686" s="1">
        <v>446</v>
      </c>
      <c r="D686" s="1" t="s">
        <v>11</v>
      </c>
      <c r="E686" s="1" t="s">
        <v>31</v>
      </c>
      <c r="F686" s="1">
        <f t="shared" si="28"/>
        <v>696</v>
      </c>
      <c r="G686" s="12">
        <f t="shared" si="29"/>
        <v>64.080459770114942</v>
      </c>
    </row>
    <row r="687" spans="1:7" ht="13">
      <c r="A687" s="4" t="s">
        <v>114</v>
      </c>
      <c r="B687" s="1">
        <v>8.6</v>
      </c>
      <c r="C687" s="1">
        <v>600</v>
      </c>
      <c r="D687" s="1" t="s">
        <v>11</v>
      </c>
      <c r="E687" s="1" t="s">
        <v>14</v>
      </c>
      <c r="F687" s="1">
        <f t="shared" si="28"/>
        <v>860</v>
      </c>
      <c r="G687" s="12">
        <f t="shared" si="29"/>
        <v>69.767441860465112</v>
      </c>
    </row>
    <row r="688" spans="1:7" ht="13">
      <c r="A688" s="4" t="s">
        <v>114</v>
      </c>
      <c r="B688" s="1">
        <v>5</v>
      </c>
      <c r="C688" s="1">
        <v>400</v>
      </c>
      <c r="D688" s="1" t="s">
        <v>11</v>
      </c>
      <c r="E688" s="1" t="s">
        <v>22</v>
      </c>
      <c r="F688" s="1">
        <f t="shared" si="28"/>
        <v>500</v>
      </c>
      <c r="G688" s="12">
        <f t="shared" si="29"/>
        <v>80</v>
      </c>
    </row>
    <row r="689" spans="1:7" ht="13">
      <c r="A689" s="4" t="s">
        <v>114</v>
      </c>
      <c r="B689" s="1">
        <v>4</v>
      </c>
      <c r="C689" s="1">
        <v>250</v>
      </c>
      <c r="D689" s="1" t="s">
        <v>11</v>
      </c>
      <c r="E689" s="1" t="s">
        <v>8</v>
      </c>
      <c r="F689" s="1">
        <f t="shared" si="28"/>
        <v>400</v>
      </c>
      <c r="G689" s="12">
        <f t="shared" si="29"/>
        <v>62.5</v>
      </c>
    </row>
    <row r="690" spans="1:7" ht="13">
      <c r="A690" s="4" t="s">
        <v>114</v>
      </c>
      <c r="B690" s="1">
        <v>3.7</v>
      </c>
      <c r="C690" s="1">
        <v>237</v>
      </c>
      <c r="D690" s="1" t="s">
        <v>47</v>
      </c>
      <c r="E690" s="1" t="s">
        <v>20</v>
      </c>
      <c r="F690" s="1">
        <f t="shared" si="28"/>
        <v>370</v>
      </c>
      <c r="G690" s="12">
        <f t="shared" si="29"/>
        <v>64.054054054054049</v>
      </c>
    </row>
    <row r="691" spans="1:7" ht="13">
      <c r="A691" s="4" t="s">
        <v>114</v>
      </c>
      <c r="B691" s="1">
        <v>9</v>
      </c>
      <c r="C691" s="1">
        <v>706</v>
      </c>
      <c r="D691" s="1" t="s">
        <v>11</v>
      </c>
      <c r="E691" s="1" t="s">
        <v>12</v>
      </c>
      <c r="F691" s="1">
        <f t="shared" si="28"/>
        <v>900</v>
      </c>
      <c r="G691" s="12">
        <f t="shared" si="29"/>
        <v>78.444444444444443</v>
      </c>
    </row>
    <row r="692" spans="1:7" ht="13">
      <c r="A692" s="4" t="s">
        <v>114</v>
      </c>
      <c r="B692" s="1">
        <v>7.3</v>
      </c>
      <c r="C692" s="1">
        <v>388</v>
      </c>
      <c r="D692" s="1" t="s">
        <v>38</v>
      </c>
      <c r="E692" s="1" t="s">
        <v>22</v>
      </c>
      <c r="F692" s="1">
        <f t="shared" si="28"/>
        <v>730</v>
      </c>
      <c r="G692" s="12">
        <f t="shared" si="29"/>
        <v>53.150684931506852</v>
      </c>
    </row>
    <row r="693" spans="1:7" ht="13">
      <c r="A693" s="4" t="s">
        <v>114</v>
      </c>
      <c r="B693" s="1">
        <v>3.87</v>
      </c>
      <c r="C693" s="1">
        <v>272</v>
      </c>
      <c r="D693" s="1" t="s">
        <v>11</v>
      </c>
      <c r="E693" s="1" t="s">
        <v>15</v>
      </c>
      <c r="F693" s="1">
        <f t="shared" si="28"/>
        <v>387</v>
      </c>
      <c r="G693" s="12">
        <f t="shared" si="29"/>
        <v>70.284237726098183</v>
      </c>
    </row>
    <row r="694" spans="1:7" ht="13">
      <c r="A694" s="4" t="s">
        <v>114</v>
      </c>
      <c r="B694" s="1">
        <v>4</v>
      </c>
      <c r="C694" s="1">
        <v>295</v>
      </c>
      <c r="D694" s="1" t="s">
        <v>79</v>
      </c>
      <c r="E694" s="1" t="s">
        <v>7</v>
      </c>
      <c r="F694" s="1">
        <f t="shared" si="28"/>
        <v>400</v>
      </c>
      <c r="G694" s="12">
        <f t="shared" si="29"/>
        <v>73.75</v>
      </c>
    </row>
    <row r="695" spans="1:7" ht="13">
      <c r="A695" s="4" t="s">
        <v>114</v>
      </c>
      <c r="B695" s="1">
        <v>8.6999999999999993</v>
      </c>
      <c r="C695" s="1">
        <v>484</v>
      </c>
      <c r="D695" s="1" t="s">
        <v>45</v>
      </c>
      <c r="E695" s="1" t="s">
        <v>20</v>
      </c>
      <c r="F695" s="1">
        <f t="shared" si="28"/>
        <v>869.99999999999989</v>
      </c>
      <c r="G695" s="12">
        <f t="shared" si="29"/>
        <v>55.632183908045981</v>
      </c>
    </row>
    <row r="696" spans="1:7" ht="13">
      <c r="A696" s="4" t="s">
        <v>114</v>
      </c>
      <c r="B696" s="1">
        <v>5.47</v>
      </c>
      <c r="C696" s="1">
        <v>420.49</v>
      </c>
      <c r="D696" s="1" t="s">
        <v>11</v>
      </c>
      <c r="E696" s="1" t="s">
        <v>10</v>
      </c>
      <c r="F696" s="1">
        <f t="shared" si="28"/>
        <v>547</v>
      </c>
      <c r="G696" s="12">
        <f t="shared" si="29"/>
        <v>76.872029250457047</v>
      </c>
    </row>
    <row r="697" spans="1:7" ht="13">
      <c r="A697" s="4" t="s">
        <v>114</v>
      </c>
      <c r="B697" s="1">
        <v>6</v>
      </c>
      <c r="C697" s="1">
        <v>297</v>
      </c>
      <c r="D697" s="1" t="s">
        <v>37</v>
      </c>
      <c r="E697" s="1" t="s">
        <v>15</v>
      </c>
      <c r="F697" s="1">
        <f t="shared" si="28"/>
        <v>600</v>
      </c>
      <c r="G697" s="12">
        <f t="shared" si="29"/>
        <v>49.5</v>
      </c>
    </row>
    <row r="698" spans="1:7" ht="13">
      <c r="A698" s="4" t="s">
        <v>114</v>
      </c>
      <c r="B698" s="1">
        <v>6.9</v>
      </c>
      <c r="C698" s="1">
        <v>456</v>
      </c>
      <c r="D698" s="1" t="s">
        <v>39</v>
      </c>
      <c r="E698" s="1" t="s">
        <v>8</v>
      </c>
      <c r="F698" s="1">
        <f t="shared" si="28"/>
        <v>690</v>
      </c>
      <c r="G698" s="12">
        <f t="shared" si="29"/>
        <v>66.086956521739125</v>
      </c>
    </row>
    <row r="699" spans="1:7" ht="13">
      <c r="A699" s="4" t="s">
        <v>114</v>
      </c>
      <c r="B699" s="1">
        <v>5.65</v>
      </c>
      <c r="C699" s="1">
        <v>299</v>
      </c>
      <c r="D699" s="1" t="s">
        <v>33</v>
      </c>
      <c r="E699" s="1" t="s">
        <v>24</v>
      </c>
      <c r="F699" s="1">
        <f t="shared" si="28"/>
        <v>565</v>
      </c>
      <c r="G699" s="12">
        <f t="shared" si="29"/>
        <v>52.920353982300881</v>
      </c>
    </row>
    <row r="700" spans="1:7" ht="13">
      <c r="A700" s="4" t="s">
        <v>114</v>
      </c>
      <c r="B700" s="1">
        <v>6.96</v>
      </c>
      <c r="C700" s="1">
        <v>372.56</v>
      </c>
      <c r="D700" s="1" t="s">
        <v>45</v>
      </c>
      <c r="E700" s="1" t="s">
        <v>24</v>
      </c>
      <c r="F700" s="1">
        <f t="shared" si="28"/>
        <v>696</v>
      </c>
      <c r="G700" s="12">
        <f t="shared" si="29"/>
        <v>53.52873563218391</v>
      </c>
    </row>
    <row r="701" spans="1:7" ht="13">
      <c r="A701" s="4" t="s">
        <v>114</v>
      </c>
      <c r="B701" s="1">
        <v>6.4</v>
      </c>
      <c r="C701" s="1">
        <v>415</v>
      </c>
      <c r="D701" s="1" t="s">
        <v>11</v>
      </c>
      <c r="E701" s="1" t="s">
        <v>32</v>
      </c>
      <c r="F701" s="1">
        <f t="shared" si="28"/>
        <v>640</v>
      </c>
      <c r="G701" s="12">
        <f t="shared" si="29"/>
        <v>64.84375</v>
      </c>
    </row>
    <row r="702" spans="1:7" ht="13">
      <c r="A702" s="4" t="s">
        <v>114</v>
      </c>
      <c r="B702" s="1">
        <v>6.1</v>
      </c>
      <c r="C702" s="1">
        <v>351</v>
      </c>
      <c r="D702" s="1" t="s">
        <v>80</v>
      </c>
      <c r="E702" s="1" t="s">
        <v>16</v>
      </c>
      <c r="F702" s="1">
        <f t="shared" si="28"/>
        <v>610</v>
      </c>
      <c r="G702" s="12">
        <f t="shared" si="29"/>
        <v>57.540983606557383</v>
      </c>
    </row>
    <row r="703" spans="1:7" ht="13">
      <c r="A703" s="4" t="s">
        <v>114</v>
      </c>
      <c r="B703" s="1">
        <v>7.74</v>
      </c>
      <c r="C703" s="1">
        <v>482</v>
      </c>
      <c r="D703" s="1" t="s">
        <v>11</v>
      </c>
      <c r="E703" s="1" t="s">
        <v>22</v>
      </c>
      <c r="F703" s="1">
        <f t="shared" si="28"/>
        <v>774</v>
      </c>
      <c r="G703" s="12">
        <f t="shared" si="29"/>
        <v>62.273901808785531</v>
      </c>
    </row>
    <row r="704" spans="1:7" ht="13">
      <c r="A704" s="4" t="s">
        <v>114</v>
      </c>
      <c r="B704" s="1">
        <v>6.84</v>
      </c>
      <c r="C704" s="1">
        <v>365</v>
      </c>
      <c r="D704" s="1" t="s">
        <v>33</v>
      </c>
      <c r="E704" s="1" t="s">
        <v>22</v>
      </c>
      <c r="F704" s="1">
        <f t="shared" si="28"/>
        <v>684</v>
      </c>
      <c r="G704" s="12">
        <f t="shared" si="29"/>
        <v>53.362573099415208</v>
      </c>
    </row>
    <row r="705" spans="1:7" ht="13">
      <c r="A705" s="4" t="s">
        <v>114</v>
      </c>
      <c r="B705" s="1">
        <v>8.6999999999999993</v>
      </c>
      <c r="C705" s="1">
        <v>543</v>
      </c>
      <c r="D705" s="1" t="s">
        <v>11</v>
      </c>
      <c r="E705" s="1" t="s">
        <v>9</v>
      </c>
      <c r="F705" s="1">
        <f t="shared" si="28"/>
        <v>869.99999999999989</v>
      </c>
      <c r="G705" s="12">
        <f t="shared" si="29"/>
        <v>62.413793103448278</v>
      </c>
    </row>
    <row r="706" spans="1:7" ht="13">
      <c r="A706" s="4" t="s">
        <v>114</v>
      </c>
      <c r="B706" s="1">
        <v>9.1999999999999993</v>
      </c>
      <c r="C706" s="1">
        <v>450</v>
      </c>
      <c r="D706" s="1" t="s">
        <v>33</v>
      </c>
      <c r="E706" s="1" t="s">
        <v>20</v>
      </c>
      <c r="F706" s="1">
        <f t="shared" si="28"/>
        <v>919.99999999999989</v>
      </c>
      <c r="G706" s="12">
        <f t="shared" si="29"/>
        <v>48.913043478260875</v>
      </c>
    </row>
    <row r="707" spans="1:7" ht="13">
      <c r="A707" s="4" t="s">
        <v>114</v>
      </c>
      <c r="B707" s="1">
        <v>12</v>
      </c>
      <c r="C707" s="1">
        <v>650</v>
      </c>
      <c r="D707" s="1" t="s">
        <v>33</v>
      </c>
      <c r="E707" s="1" t="s">
        <v>20</v>
      </c>
      <c r="F707" s="1">
        <f t="shared" ref="F707:F770" si="30">B707*100</f>
        <v>1200</v>
      </c>
      <c r="G707" s="12">
        <f t="shared" ref="G707:G770" si="31">C707/B707</f>
        <v>54.166666666666664</v>
      </c>
    </row>
    <row r="708" spans="1:7" ht="13">
      <c r="A708" s="4" t="s">
        <v>114</v>
      </c>
      <c r="B708" s="1">
        <v>7</v>
      </c>
      <c r="C708" s="1">
        <v>522</v>
      </c>
      <c r="D708" s="1" t="s">
        <v>38</v>
      </c>
      <c r="E708" s="1" t="s">
        <v>17</v>
      </c>
      <c r="F708" s="1">
        <f t="shared" si="30"/>
        <v>700</v>
      </c>
      <c r="G708" s="12">
        <f t="shared" si="31"/>
        <v>74.571428571428569</v>
      </c>
    </row>
    <row r="709" spans="1:7" ht="13">
      <c r="A709" s="4" t="s">
        <v>114</v>
      </c>
      <c r="B709" s="1">
        <v>6.4</v>
      </c>
      <c r="C709" s="1">
        <v>442</v>
      </c>
      <c r="D709" s="1" t="s">
        <v>59</v>
      </c>
      <c r="E709" s="1" t="s">
        <v>8</v>
      </c>
      <c r="F709" s="1">
        <f t="shared" si="30"/>
        <v>640</v>
      </c>
      <c r="G709" s="12">
        <f t="shared" si="31"/>
        <v>69.0625</v>
      </c>
    </row>
    <row r="710" spans="1:7" ht="13">
      <c r="A710" s="4" t="s">
        <v>114</v>
      </c>
      <c r="B710" s="1">
        <v>8</v>
      </c>
      <c r="C710" s="1">
        <v>411</v>
      </c>
      <c r="D710" s="1" t="s">
        <v>42</v>
      </c>
      <c r="E710" s="1" t="s">
        <v>32</v>
      </c>
      <c r="F710" s="1">
        <f t="shared" si="30"/>
        <v>800</v>
      </c>
      <c r="G710" s="12">
        <f t="shared" si="31"/>
        <v>51.375</v>
      </c>
    </row>
    <row r="711" spans="1:7" ht="13">
      <c r="A711" s="4" t="s">
        <v>114</v>
      </c>
      <c r="B711" s="1">
        <v>7.2</v>
      </c>
      <c r="C711" s="1">
        <v>466.82</v>
      </c>
      <c r="D711" s="1" t="s">
        <v>33</v>
      </c>
      <c r="E711" s="1" t="s">
        <v>25</v>
      </c>
      <c r="F711" s="1">
        <f t="shared" si="30"/>
        <v>720</v>
      </c>
      <c r="G711" s="12">
        <f t="shared" si="31"/>
        <v>64.836111111111109</v>
      </c>
    </row>
    <row r="712" spans="1:7" ht="13">
      <c r="A712" s="4" t="s">
        <v>114</v>
      </c>
      <c r="B712" s="1">
        <v>7.2</v>
      </c>
      <c r="C712" s="1">
        <v>417</v>
      </c>
      <c r="D712" s="1" t="s">
        <v>33</v>
      </c>
      <c r="E712" s="1" t="s">
        <v>21</v>
      </c>
      <c r="F712" s="1">
        <f t="shared" si="30"/>
        <v>720</v>
      </c>
      <c r="G712" s="12">
        <f t="shared" si="31"/>
        <v>57.916666666666664</v>
      </c>
    </row>
    <row r="713" spans="1:7" ht="13">
      <c r="A713" s="4" t="s">
        <v>114</v>
      </c>
      <c r="B713" s="1">
        <v>6.02</v>
      </c>
      <c r="C713" s="1">
        <v>439</v>
      </c>
      <c r="D713" s="1" t="s">
        <v>43</v>
      </c>
      <c r="E713" s="1" t="s">
        <v>8</v>
      </c>
      <c r="F713" s="1">
        <f t="shared" si="30"/>
        <v>602</v>
      </c>
      <c r="G713" s="12">
        <f t="shared" si="31"/>
        <v>72.923588039867113</v>
      </c>
    </row>
    <row r="714" spans="1:7" ht="13">
      <c r="A714" s="4" t="s">
        <v>114</v>
      </c>
      <c r="B714" s="1">
        <v>9</v>
      </c>
      <c r="C714" s="1">
        <v>566</v>
      </c>
      <c r="D714" s="1" t="s">
        <v>44</v>
      </c>
      <c r="E714" s="1" t="s">
        <v>49</v>
      </c>
      <c r="F714" s="1">
        <f t="shared" si="30"/>
        <v>900</v>
      </c>
      <c r="G714" s="12">
        <f t="shared" si="31"/>
        <v>62.888888888888886</v>
      </c>
    </row>
    <row r="715" spans="1:7" ht="13">
      <c r="A715" s="4" t="s">
        <v>114</v>
      </c>
      <c r="B715" s="1">
        <v>7</v>
      </c>
      <c r="C715" s="1">
        <v>327</v>
      </c>
      <c r="D715" s="1" t="s">
        <v>55</v>
      </c>
      <c r="E715" s="1" t="s">
        <v>8</v>
      </c>
      <c r="F715" s="1">
        <f t="shared" si="30"/>
        <v>700</v>
      </c>
      <c r="G715" s="12">
        <f t="shared" si="31"/>
        <v>46.714285714285715</v>
      </c>
    </row>
    <row r="716" spans="1:7" ht="13">
      <c r="A716" s="4" t="s">
        <v>114</v>
      </c>
      <c r="B716" s="1">
        <v>8.4</v>
      </c>
      <c r="C716" s="1">
        <v>463</v>
      </c>
      <c r="D716" s="1" t="s">
        <v>33</v>
      </c>
      <c r="E716" s="1" t="s">
        <v>22</v>
      </c>
      <c r="F716" s="1">
        <f t="shared" si="30"/>
        <v>840</v>
      </c>
      <c r="G716" s="12">
        <f t="shared" si="31"/>
        <v>55.119047619047613</v>
      </c>
    </row>
    <row r="717" spans="1:7" ht="13">
      <c r="A717" s="4" t="s">
        <v>114</v>
      </c>
      <c r="B717" s="1">
        <v>7.38</v>
      </c>
      <c r="C717" s="1">
        <v>370</v>
      </c>
      <c r="D717" s="1" t="s">
        <v>33</v>
      </c>
      <c r="E717" s="1" t="s">
        <v>28</v>
      </c>
      <c r="F717" s="1">
        <f t="shared" si="30"/>
        <v>738</v>
      </c>
      <c r="G717" s="12">
        <f t="shared" si="31"/>
        <v>50.135501355013552</v>
      </c>
    </row>
    <row r="718" spans="1:7" ht="13">
      <c r="A718" s="4" t="s">
        <v>114</v>
      </c>
      <c r="B718" s="1">
        <v>5.88</v>
      </c>
      <c r="C718" s="1">
        <v>290</v>
      </c>
      <c r="D718" s="1" t="s">
        <v>39</v>
      </c>
      <c r="E718" s="1" t="s">
        <v>19</v>
      </c>
      <c r="F718" s="1">
        <f t="shared" si="30"/>
        <v>588</v>
      </c>
      <c r="G718" s="12">
        <f t="shared" si="31"/>
        <v>49.319727891156461</v>
      </c>
    </row>
    <row r="719" spans="1:7" ht="13">
      <c r="A719" s="4" t="s">
        <v>114</v>
      </c>
      <c r="B719" s="1">
        <v>6.4</v>
      </c>
      <c r="C719" s="1">
        <v>407</v>
      </c>
      <c r="D719" s="1" t="s">
        <v>11</v>
      </c>
      <c r="E719" s="1" t="s">
        <v>15</v>
      </c>
      <c r="F719" s="1">
        <f t="shared" si="30"/>
        <v>640</v>
      </c>
      <c r="G719" s="12">
        <f t="shared" si="31"/>
        <v>63.59375</v>
      </c>
    </row>
    <row r="720" spans="1:7" ht="13">
      <c r="A720" s="4" t="s">
        <v>114</v>
      </c>
      <c r="B720" s="1">
        <v>4.1500000000000004</v>
      </c>
      <c r="C720" s="1">
        <v>302</v>
      </c>
      <c r="D720" s="1" t="s">
        <v>38</v>
      </c>
      <c r="E720" s="1" t="s">
        <v>14</v>
      </c>
      <c r="F720" s="1">
        <f t="shared" si="30"/>
        <v>415.00000000000006</v>
      </c>
      <c r="G720" s="12">
        <f t="shared" si="31"/>
        <v>72.771084337349393</v>
      </c>
    </row>
    <row r="721" spans="1:7" ht="13">
      <c r="A721" s="4" t="s">
        <v>114</v>
      </c>
      <c r="B721" s="1">
        <v>4.2</v>
      </c>
      <c r="C721" s="1">
        <v>293</v>
      </c>
      <c r="D721" s="1" t="s">
        <v>11</v>
      </c>
      <c r="E721" s="1" t="s">
        <v>15</v>
      </c>
      <c r="F721" s="1">
        <f t="shared" si="30"/>
        <v>420</v>
      </c>
      <c r="G721" s="12">
        <f t="shared" si="31"/>
        <v>69.761904761904759</v>
      </c>
    </row>
    <row r="722" spans="1:7" ht="13">
      <c r="A722" s="4" t="s">
        <v>114</v>
      </c>
      <c r="B722" s="1">
        <v>8.6</v>
      </c>
      <c r="C722" s="1">
        <v>428</v>
      </c>
      <c r="D722" s="1" t="s">
        <v>11</v>
      </c>
      <c r="E722" s="1" t="s">
        <v>19</v>
      </c>
      <c r="F722" s="1">
        <f t="shared" si="30"/>
        <v>860</v>
      </c>
      <c r="G722" s="12">
        <f t="shared" si="31"/>
        <v>49.767441860465119</v>
      </c>
    </row>
    <row r="723" spans="1:7" ht="13">
      <c r="A723" s="4" t="s">
        <v>114</v>
      </c>
      <c r="B723" s="1">
        <v>8.58</v>
      </c>
      <c r="C723" s="1">
        <v>627</v>
      </c>
      <c r="D723" s="1" t="s">
        <v>11</v>
      </c>
      <c r="E723" s="1" t="s">
        <v>25</v>
      </c>
      <c r="F723" s="1">
        <f t="shared" si="30"/>
        <v>858</v>
      </c>
      <c r="G723" s="12">
        <f t="shared" si="31"/>
        <v>73.07692307692308</v>
      </c>
    </row>
    <row r="724" spans="1:7" ht="13">
      <c r="A724" s="4" t="s">
        <v>114</v>
      </c>
      <c r="B724" s="1">
        <v>7.29</v>
      </c>
      <c r="C724" s="1">
        <v>509</v>
      </c>
      <c r="D724" s="1" t="s">
        <v>11</v>
      </c>
      <c r="E724" s="1" t="s">
        <v>7</v>
      </c>
      <c r="F724" s="1">
        <f t="shared" si="30"/>
        <v>729</v>
      </c>
      <c r="G724" s="12">
        <f t="shared" si="31"/>
        <v>69.821673525377236</v>
      </c>
    </row>
    <row r="725" spans="1:7" ht="13">
      <c r="A725" s="4" t="s">
        <v>114</v>
      </c>
      <c r="B725" s="1">
        <v>7.2</v>
      </c>
      <c r="C725" s="1">
        <v>426</v>
      </c>
      <c r="D725" s="1" t="s">
        <v>43</v>
      </c>
      <c r="E725" s="1" t="s">
        <v>81</v>
      </c>
      <c r="F725" s="1">
        <f t="shared" si="30"/>
        <v>720</v>
      </c>
      <c r="G725" s="12">
        <f t="shared" si="31"/>
        <v>59.166666666666664</v>
      </c>
    </row>
    <row r="726" spans="1:7" ht="13">
      <c r="A726" s="4" t="s">
        <v>114</v>
      </c>
      <c r="B726" s="1">
        <v>8.35</v>
      </c>
      <c r="C726" s="1">
        <v>460</v>
      </c>
      <c r="D726" s="1" t="s">
        <v>43</v>
      </c>
      <c r="E726" s="1" t="s">
        <v>7</v>
      </c>
      <c r="F726" s="1">
        <f t="shared" si="30"/>
        <v>835</v>
      </c>
      <c r="G726" s="12">
        <f t="shared" si="31"/>
        <v>55.08982035928144</v>
      </c>
    </row>
    <row r="727" spans="1:7" ht="13">
      <c r="A727" s="4" t="s">
        <v>114</v>
      </c>
      <c r="B727" s="1">
        <v>5.6</v>
      </c>
      <c r="C727" s="1">
        <v>276</v>
      </c>
      <c r="D727" s="1" t="s">
        <v>11</v>
      </c>
      <c r="E727" s="1" t="s">
        <v>21</v>
      </c>
      <c r="F727" s="1">
        <f t="shared" si="30"/>
        <v>560</v>
      </c>
      <c r="G727" s="12">
        <f t="shared" si="31"/>
        <v>49.285714285714292</v>
      </c>
    </row>
    <row r="728" spans="1:7" ht="13">
      <c r="A728" s="4" t="s">
        <v>114</v>
      </c>
      <c r="B728" s="1">
        <v>6.4</v>
      </c>
      <c r="C728" s="1">
        <v>409</v>
      </c>
      <c r="D728" s="1" t="s">
        <v>38</v>
      </c>
      <c r="E728" s="1" t="s">
        <v>24</v>
      </c>
      <c r="F728" s="1">
        <f t="shared" si="30"/>
        <v>640</v>
      </c>
      <c r="G728" s="12">
        <f t="shared" si="31"/>
        <v>63.90625</v>
      </c>
    </row>
    <row r="729" spans="1:7" ht="13">
      <c r="A729" s="4" t="s">
        <v>114</v>
      </c>
      <c r="B729" s="1">
        <v>8</v>
      </c>
      <c r="C729" s="1">
        <v>505</v>
      </c>
      <c r="D729" s="1" t="s">
        <v>11</v>
      </c>
      <c r="E729" s="1" t="s">
        <v>12</v>
      </c>
      <c r="F729" s="1">
        <f t="shared" si="30"/>
        <v>800</v>
      </c>
      <c r="G729" s="12">
        <f t="shared" si="31"/>
        <v>63.125</v>
      </c>
    </row>
    <row r="730" spans="1:7" ht="13">
      <c r="A730" s="4" t="s">
        <v>114</v>
      </c>
      <c r="B730" s="1">
        <v>5.62</v>
      </c>
      <c r="C730" s="1">
        <v>380</v>
      </c>
      <c r="D730" s="1" t="s">
        <v>11</v>
      </c>
      <c r="E730" s="1" t="s">
        <v>23</v>
      </c>
      <c r="F730" s="1">
        <f t="shared" si="30"/>
        <v>562</v>
      </c>
      <c r="G730" s="12">
        <f t="shared" si="31"/>
        <v>67.615658362989322</v>
      </c>
    </row>
    <row r="731" spans="1:7" ht="13">
      <c r="A731" s="4" t="s">
        <v>114</v>
      </c>
      <c r="B731" s="1">
        <v>7.8</v>
      </c>
      <c r="C731" s="1">
        <v>474</v>
      </c>
      <c r="D731" s="1" t="s">
        <v>39</v>
      </c>
      <c r="E731" s="1" t="s">
        <v>49</v>
      </c>
      <c r="F731" s="1">
        <f t="shared" si="30"/>
        <v>780</v>
      </c>
      <c r="G731" s="12">
        <f t="shared" si="31"/>
        <v>60.769230769230774</v>
      </c>
    </row>
    <row r="732" spans="1:7" ht="13">
      <c r="A732" s="4" t="s">
        <v>114</v>
      </c>
      <c r="B732" s="1">
        <v>7800</v>
      </c>
      <c r="C732" s="1">
        <v>445</v>
      </c>
      <c r="D732" s="1" t="s">
        <v>43</v>
      </c>
      <c r="E732" s="1" t="s">
        <v>16</v>
      </c>
      <c r="F732" s="1">
        <f t="shared" si="30"/>
        <v>780000</v>
      </c>
      <c r="G732" s="12">
        <f t="shared" si="31"/>
        <v>5.705128205128205E-2</v>
      </c>
    </row>
    <row r="733" spans="1:7" ht="13">
      <c r="A733" s="4" t="s">
        <v>114</v>
      </c>
      <c r="B733" s="1">
        <v>4.8</v>
      </c>
      <c r="C733" s="1">
        <v>285.39999999999998</v>
      </c>
      <c r="D733" s="1" t="s">
        <v>11</v>
      </c>
      <c r="E733" s="1" t="s">
        <v>24</v>
      </c>
      <c r="F733" s="1">
        <f t="shared" si="30"/>
        <v>480</v>
      </c>
      <c r="G733" s="12">
        <f t="shared" si="31"/>
        <v>59.458333333333329</v>
      </c>
    </row>
    <row r="734" spans="1:7" ht="13">
      <c r="A734" s="4" t="s">
        <v>114</v>
      </c>
      <c r="B734" s="1">
        <v>4.5</v>
      </c>
      <c r="C734" s="1">
        <v>305</v>
      </c>
      <c r="D734" s="1" t="s">
        <v>11</v>
      </c>
      <c r="E734" s="1" t="s">
        <v>22</v>
      </c>
      <c r="F734" s="1">
        <f t="shared" si="30"/>
        <v>450</v>
      </c>
      <c r="G734" s="12">
        <f t="shared" si="31"/>
        <v>67.777777777777771</v>
      </c>
    </row>
    <row r="735" spans="1:7" ht="13">
      <c r="A735" s="4" t="s">
        <v>114</v>
      </c>
      <c r="B735" s="1">
        <v>5.12</v>
      </c>
      <c r="C735" s="1">
        <v>296</v>
      </c>
      <c r="D735" s="1" t="s">
        <v>33</v>
      </c>
      <c r="E735" s="1" t="s">
        <v>15</v>
      </c>
      <c r="F735" s="1">
        <f t="shared" si="30"/>
        <v>512</v>
      </c>
      <c r="G735" s="12">
        <f t="shared" si="31"/>
        <v>57.8125</v>
      </c>
    </row>
    <row r="736" spans="1:7" ht="13">
      <c r="A736" s="4" t="s">
        <v>114</v>
      </c>
      <c r="B736" s="1">
        <v>7</v>
      </c>
      <c r="C736" s="1">
        <v>421</v>
      </c>
      <c r="D736" s="1" t="s">
        <v>11</v>
      </c>
      <c r="E736" s="1" t="s">
        <v>26</v>
      </c>
      <c r="F736" s="1">
        <f t="shared" si="30"/>
        <v>700</v>
      </c>
      <c r="G736" s="12">
        <f t="shared" si="31"/>
        <v>60.142857142857146</v>
      </c>
    </row>
    <row r="737" spans="1:7" ht="13">
      <c r="A737" s="4" t="s">
        <v>114</v>
      </c>
      <c r="B737" s="1">
        <v>3.85</v>
      </c>
      <c r="C737" s="1">
        <v>251</v>
      </c>
      <c r="D737" s="1" t="s">
        <v>11</v>
      </c>
      <c r="E737" s="1" t="s">
        <v>20</v>
      </c>
      <c r="F737" s="1">
        <f t="shared" si="30"/>
        <v>385</v>
      </c>
      <c r="G737" s="12">
        <f t="shared" si="31"/>
        <v>65.194805194805198</v>
      </c>
    </row>
    <row r="738" spans="1:7" ht="13">
      <c r="A738" s="4" t="s">
        <v>114</v>
      </c>
      <c r="B738" s="1">
        <v>2.8</v>
      </c>
      <c r="C738" s="1">
        <v>194</v>
      </c>
      <c r="D738" s="1" t="s">
        <v>47</v>
      </c>
      <c r="E738" s="1" t="s">
        <v>15</v>
      </c>
      <c r="F738" s="1">
        <f t="shared" si="30"/>
        <v>280</v>
      </c>
      <c r="G738" s="12">
        <f t="shared" si="31"/>
        <v>69.285714285714292</v>
      </c>
    </row>
    <row r="739" spans="1:7" ht="13">
      <c r="A739" s="4" t="s">
        <v>114</v>
      </c>
      <c r="B739" s="1">
        <v>8.1999999999999993</v>
      </c>
      <c r="C739" s="1">
        <v>530.1</v>
      </c>
      <c r="D739" s="1" t="s">
        <v>11</v>
      </c>
      <c r="E739" s="1" t="s">
        <v>7</v>
      </c>
      <c r="F739" s="1">
        <f t="shared" si="30"/>
        <v>819.99999999999989</v>
      </c>
      <c r="G739" s="12">
        <f t="shared" si="31"/>
        <v>64.646341463414643</v>
      </c>
    </row>
    <row r="740" spans="1:7" ht="13">
      <c r="A740" s="4" t="s">
        <v>114</v>
      </c>
      <c r="B740" s="1">
        <v>6.7</v>
      </c>
      <c r="C740" s="1">
        <v>484.1</v>
      </c>
      <c r="D740" s="1" t="s">
        <v>11</v>
      </c>
      <c r="E740" s="1" t="s">
        <v>17</v>
      </c>
      <c r="F740" s="1">
        <f t="shared" si="30"/>
        <v>670</v>
      </c>
      <c r="G740" s="12">
        <f t="shared" si="31"/>
        <v>72.25373134328359</v>
      </c>
    </row>
    <row r="741" spans="1:7" ht="13">
      <c r="A741" s="4" t="s">
        <v>114</v>
      </c>
      <c r="B741" s="1">
        <v>4.2</v>
      </c>
      <c r="C741" s="1">
        <v>238</v>
      </c>
      <c r="D741" s="1" t="s">
        <v>37</v>
      </c>
      <c r="E741" s="1" t="s">
        <v>8</v>
      </c>
      <c r="F741" s="1">
        <f t="shared" si="30"/>
        <v>420</v>
      </c>
      <c r="G741" s="12">
        <f t="shared" si="31"/>
        <v>56.666666666666664</v>
      </c>
    </row>
    <row r="742" spans="1:7" ht="13">
      <c r="A742" s="4" t="s">
        <v>114</v>
      </c>
      <c r="B742" s="1">
        <v>6</v>
      </c>
      <c r="C742" s="1">
        <v>262</v>
      </c>
      <c r="D742" s="1" t="s">
        <v>33</v>
      </c>
      <c r="E742" s="1" t="s">
        <v>30</v>
      </c>
      <c r="F742" s="1">
        <f t="shared" si="30"/>
        <v>600</v>
      </c>
      <c r="G742" s="12">
        <f t="shared" si="31"/>
        <v>43.666666666666664</v>
      </c>
    </row>
    <row r="743" spans="1:7" ht="13">
      <c r="A743" s="4" t="s">
        <v>114</v>
      </c>
      <c r="B743" s="1">
        <v>9</v>
      </c>
      <c r="C743" s="1">
        <v>654</v>
      </c>
      <c r="D743" s="1" t="s">
        <v>11</v>
      </c>
      <c r="E743" s="1" t="s">
        <v>23</v>
      </c>
      <c r="F743" s="1">
        <f t="shared" si="30"/>
        <v>900</v>
      </c>
      <c r="G743" s="12">
        <f t="shared" si="31"/>
        <v>72.666666666666671</v>
      </c>
    </row>
    <row r="744" spans="1:7" ht="13">
      <c r="A744" s="4" t="s">
        <v>114</v>
      </c>
      <c r="B744" s="1">
        <v>9.1300000000000008</v>
      </c>
      <c r="C744" s="1">
        <v>448</v>
      </c>
      <c r="D744" s="1" t="s">
        <v>11</v>
      </c>
      <c r="E744" s="1" t="s">
        <v>19</v>
      </c>
      <c r="F744" s="1">
        <f t="shared" si="30"/>
        <v>913.00000000000011</v>
      </c>
      <c r="G744" s="12">
        <f t="shared" si="31"/>
        <v>49.06900328587075</v>
      </c>
    </row>
    <row r="745" spans="1:7" ht="13">
      <c r="A745" s="4" t="s">
        <v>114</v>
      </c>
      <c r="B745" s="1">
        <v>4.5</v>
      </c>
      <c r="C745" s="1">
        <v>317</v>
      </c>
      <c r="D745" s="1" t="s">
        <v>44</v>
      </c>
      <c r="E745" s="1" t="s">
        <v>9</v>
      </c>
      <c r="F745" s="1">
        <f t="shared" si="30"/>
        <v>450</v>
      </c>
      <c r="G745" s="12">
        <f t="shared" si="31"/>
        <v>70.444444444444443</v>
      </c>
    </row>
    <row r="746" spans="1:7" ht="13">
      <c r="A746" s="4" t="s">
        <v>114</v>
      </c>
      <c r="B746" s="1">
        <v>12.04</v>
      </c>
      <c r="C746" s="1">
        <v>740</v>
      </c>
      <c r="D746" s="1" t="s">
        <v>11</v>
      </c>
      <c r="E746" s="1" t="s">
        <v>8</v>
      </c>
      <c r="F746" s="1">
        <f t="shared" si="30"/>
        <v>1204</v>
      </c>
      <c r="G746" s="12">
        <f t="shared" si="31"/>
        <v>61.461794019933556</v>
      </c>
    </row>
    <row r="747" spans="1:7" ht="13">
      <c r="A747" s="4" t="s">
        <v>114</v>
      </c>
      <c r="B747" s="1">
        <v>6.09</v>
      </c>
      <c r="C747" s="1">
        <v>461</v>
      </c>
      <c r="D747" s="1" t="s">
        <v>11</v>
      </c>
      <c r="E747" s="1" t="s">
        <v>10</v>
      </c>
      <c r="F747" s="1">
        <f t="shared" si="30"/>
        <v>609</v>
      </c>
      <c r="G747" s="12">
        <f t="shared" si="31"/>
        <v>75.69786535303777</v>
      </c>
    </row>
    <row r="748" spans="1:7" ht="13">
      <c r="A748" s="4" t="s">
        <v>114</v>
      </c>
      <c r="B748" s="1">
        <v>4</v>
      </c>
      <c r="C748" s="1">
        <v>185</v>
      </c>
      <c r="D748" s="1" t="s">
        <v>33</v>
      </c>
      <c r="E748" s="1" t="s">
        <v>26</v>
      </c>
      <c r="F748" s="1">
        <f t="shared" si="30"/>
        <v>400</v>
      </c>
      <c r="G748" s="12">
        <f t="shared" si="31"/>
        <v>46.25</v>
      </c>
    </row>
    <row r="749" spans="1:7" ht="13">
      <c r="A749" s="4" t="s">
        <v>114</v>
      </c>
      <c r="B749" s="1">
        <v>10</v>
      </c>
      <c r="C749" s="1">
        <v>500</v>
      </c>
      <c r="D749" s="1" t="s">
        <v>39</v>
      </c>
      <c r="E749" s="1" t="s">
        <v>20</v>
      </c>
      <c r="F749" s="1">
        <f t="shared" si="30"/>
        <v>1000</v>
      </c>
      <c r="G749" s="12">
        <f t="shared" si="31"/>
        <v>50</v>
      </c>
    </row>
    <row r="750" spans="1:7" ht="13">
      <c r="A750" s="4" t="s">
        <v>114</v>
      </c>
      <c r="B750" s="1">
        <v>5.7</v>
      </c>
      <c r="C750" s="1">
        <v>337</v>
      </c>
      <c r="D750" s="1" t="s">
        <v>39</v>
      </c>
      <c r="E750" s="1" t="s">
        <v>28</v>
      </c>
      <c r="F750" s="1">
        <f t="shared" si="30"/>
        <v>570</v>
      </c>
      <c r="G750" s="12">
        <f t="shared" si="31"/>
        <v>59.122807017543856</v>
      </c>
    </row>
    <row r="751" spans="1:7" ht="13">
      <c r="A751" s="4" t="s">
        <v>114</v>
      </c>
      <c r="B751" s="1">
        <v>5.6</v>
      </c>
      <c r="C751" s="1">
        <v>320.5</v>
      </c>
      <c r="D751" s="1" t="s">
        <v>33</v>
      </c>
      <c r="E751" s="1" t="s">
        <v>23</v>
      </c>
      <c r="F751" s="1">
        <f t="shared" si="30"/>
        <v>560</v>
      </c>
      <c r="G751" s="12">
        <f t="shared" si="31"/>
        <v>57.232142857142861</v>
      </c>
    </row>
    <row r="752" spans="1:7" ht="13">
      <c r="A752" s="4" t="s">
        <v>114</v>
      </c>
      <c r="B752" s="1">
        <v>20.100000000000001</v>
      </c>
      <c r="C752" s="1">
        <v>1151</v>
      </c>
      <c r="D752" s="1" t="s">
        <v>11</v>
      </c>
      <c r="E752" s="1" t="s">
        <v>23</v>
      </c>
      <c r="F752" s="1">
        <f t="shared" si="30"/>
        <v>2010.0000000000002</v>
      </c>
      <c r="G752" s="12">
        <f t="shared" si="31"/>
        <v>57.263681592039795</v>
      </c>
    </row>
    <row r="753" spans="1:7" ht="13">
      <c r="A753" s="4" t="s">
        <v>114</v>
      </c>
      <c r="B753" s="1">
        <v>5.14</v>
      </c>
      <c r="C753" s="1">
        <v>337</v>
      </c>
      <c r="D753" s="1" t="s">
        <v>55</v>
      </c>
      <c r="E753" s="1" t="s">
        <v>15</v>
      </c>
      <c r="F753" s="1">
        <f t="shared" si="30"/>
        <v>514</v>
      </c>
      <c r="G753" s="12">
        <f t="shared" si="31"/>
        <v>65.564202334630352</v>
      </c>
    </row>
    <row r="754" spans="1:7" ht="13">
      <c r="A754" s="4" t="s">
        <v>114</v>
      </c>
      <c r="B754" s="1">
        <v>8.3000000000000007</v>
      </c>
      <c r="C754" s="1">
        <v>539</v>
      </c>
      <c r="D754" s="1" t="s">
        <v>11</v>
      </c>
      <c r="E754" s="1" t="s">
        <v>21</v>
      </c>
      <c r="F754" s="1">
        <f t="shared" si="30"/>
        <v>830.00000000000011</v>
      </c>
      <c r="G754" s="12">
        <f t="shared" si="31"/>
        <v>64.939759036144579</v>
      </c>
    </row>
    <row r="755" spans="1:7" ht="13">
      <c r="A755" s="4" t="s">
        <v>114</v>
      </c>
      <c r="B755" s="1">
        <v>5.85</v>
      </c>
      <c r="C755" s="1">
        <v>385</v>
      </c>
      <c r="D755" s="1" t="s">
        <v>45</v>
      </c>
      <c r="E755" s="1" t="s">
        <v>15</v>
      </c>
      <c r="F755" s="1">
        <f t="shared" si="30"/>
        <v>585</v>
      </c>
      <c r="G755" s="12">
        <f t="shared" si="31"/>
        <v>65.81196581196582</v>
      </c>
    </row>
    <row r="756" spans="1:7" ht="13">
      <c r="A756" s="4" t="s">
        <v>114</v>
      </c>
      <c r="B756" s="1">
        <v>6.96</v>
      </c>
      <c r="C756" s="1">
        <v>478</v>
      </c>
      <c r="D756" s="1" t="s">
        <v>11</v>
      </c>
      <c r="E756" s="1" t="s">
        <v>14</v>
      </c>
      <c r="F756" s="1">
        <f t="shared" si="30"/>
        <v>696</v>
      </c>
      <c r="G756" s="12">
        <f t="shared" si="31"/>
        <v>68.678160919540232</v>
      </c>
    </row>
    <row r="757" spans="1:7" ht="13">
      <c r="A757" s="4" t="s">
        <v>114</v>
      </c>
      <c r="B757" s="1">
        <v>7.29</v>
      </c>
      <c r="C757" s="1">
        <v>446</v>
      </c>
      <c r="D757" s="1" t="s">
        <v>11</v>
      </c>
      <c r="E757" s="1" t="s">
        <v>22</v>
      </c>
      <c r="F757" s="1">
        <f t="shared" si="30"/>
        <v>729</v>
      </c>
      <c r="G757" s="12">
        <f t="shared" si="31"/>
        <v>61.179698216735254</v>
      </c>
    </row>
    <row r="758" spans="1:7" ht="13">
      <c r="A758" s="4" t="s">
        <v>114</v>
      </c>
      <c r="B758" s="1">
        <v>6.88</v>
      </c>
      <c r="C758" s="1">
        <v>547</v>
      </c>
      <c r="D758" s="1" t="s">
        <v>11</v>
      </c>
      <c r="E758" s="1" t="s">
        <v>15</v>
      </c>
      <c r="F758" s="1">
        <f t="shared" si="30"/>
        <v>688</v>
      </c>
      <c r="G758" s="12">
        <f t="shared" si="31"/>
        <v>79.505813953488371</v>
      </c>
    </row>
    <row r="759" spans="1:7" ht="13">
      <c r="A759" s="4" t="s">
        <v>114</v>
      </c>
      <c r="B759" s="1">
        <v>4.7</v>
      </c>
      <c r="C759" s="1">
        <v>197.34</v>
      </c>
      <c r="D759" s="1" t="s">
        <v>43</v>
      </c>
      <c r="E759" s="1" t="s">
        <v>15</v>
      </c>
      <c r="F759" s="1">
        <f t="shared" si="30"/>
        <v>470</v>
      </c>
      <c r="G759" s="12">
        <f t="shared" si="31"/>
        <v>41.98723404255319</v>
      </c>
    </row>
    <row r="760" spans="1:7" ht="13">
      <c r="A760" s="4" t="s">
        <v>114</v>
      </c>
      <c r="B760" s="1">
        <v>3.6</v>
      </c>
      <c r="C760" s="1">
        <v>244</v>
      </c>
      <c r="D760" s="1" t="s">
        <v>11</v>
      </c>
      <c r="E760" s="1" t="s">
        <v>28</v>
      </c>
      <c r="F760" s="1">
        <f t="shared" si="30"/>
        <v>360</v>
      </c>
      <c r="G760" s="12">
        <f t="shared" si="31"/>
        <v>67.777777777777771</v>
      </c>
    </row>
    <row r="761" spans="1:7" ht="13">
      <c r="A761" s="4" t="s">
        <v>114</v>
      </c>
      <c r="B761" s="1">
        <v>5</v>
      </c>
      <c r="C761" s="1">
        <v>305</v>
      </c>
      <c r="D761" s="1" t="s">
        <v>50</v>
      </c>
      <c r="E761" s="1" t="s">
        <v>17</v>
      </c>
      <c r="F761" s="1">
        <f t="shared" si="30"/>
        <v>500</v>
      </c>
      <c r="G761" s="12">
        <f t="shared" si="31"/>
        <v>61</v>
      </c>
    </row>
    <row r="762" spans="1:7" ht="13">
      <c r="A762" s="4" t="s">
        <v>114</v>
      </c>
      <c r="B762" s="1">
        <v>3.6</v>
      </c>
      <c r="C762" s="1">
        <v>296</v>
      </c>
      <c r="D762" s="1" t="s">
        <v>11</v>
      </c>
      <c r="E762" s="1" t="s">
        <v>24</v>
      </c>
      <c r="F762" s="1">
        <f t="shared" si="30"/>
        <v>360</v>
      </c>
      <c r="G762" s="12">
        <f t="shared" si="31"/>
        <v>82.222222222222214</v>
      </c>
    </row>
    <row r="763" spans="1:7" ht="13">
      <c r="A763" s="4" t="s">
        <v>114</v>
      </c>
      <c r="B763" s="1">
        <v>6</v>
      </c>
      <c r="C763" s="1">
        <v>243</v>
      </c>
      <c r="D763" s="1" t="s">
        <v>70</v>
      </c>
      <c r="E763" s="1" t="s">
        <v>18</v>
      </c>
      <c r="F763" s="1">
        <f t="shared" si="30"/>
        <v>600</v>
      </c>
      <c r="G763" s="12">
        <f t="shared" si="31"/>
        <v>40.5</v>
      </c>
    </row>
    <row r="764" spans="1:7" ht="13">
      <c r="A764" s="4" t="s">
        <v>115</v>
      </c>
      <c r="B764" s="1">
        <v>7.56</v>
      </c>
      <c r="C764" s="1">
        <v>660</v>
      </c>
      <c r="D764" s="1" t="s">
        <v>11</v>
      </c>
      <c r="E764" s="1" t="s">
        <v>7</v>
      </c>
      <c r="F764" s="1">
        <f t="shared" si="30"/>
        <v>756</v>
      </c>
      <c r="G764" s="12">
        <f t="shared" si="31"/>
        <v>87.301587301587304</v>
      </c>
    </row>
    <row r="765" spans="1:7" ht="13">
      <c r="A765" s="4" t="s">
        <v>115</v>
      </c>
      <c r="B765" s="1">
        <v>5.8</v>
      </c>
      <c r="C765" s="1">
        <v>544</v>
      </c>
      <c r="D765" s="1" t="s">
        <v>53</v>
      </c>
      <c r="E765" s="1" t="s">
        <v>10</v>
      </c>
      <c r="F765" s="1">
        <f t="shared" si="30"/>
        <v>580</v>
      </c>
      <c r="G765" s="12">
        <f t="shared" si="31"/>
        <v>93.793103448275872</v>
      </c>
    </row>
    <row r="766" spans="1:7" ht="13">
      <c r="A766" s="4" t="s">
        <v>115</v>
      </c>
      <c r="B766" s="1">
        <v>7.75</v>
      </c>
      <c r="C766" s="1">
        <v>674</v>
      </c>
      <c r="D766" s="1" t="s">
        <v>60</v>
      </c>
      <c r="E766" s="1" t="s">
        <v>10</v>
      </c>
      <c r="F766" s="1">
        <f t="shared" si="30"/>
        <v>775</v>
      </c>
      <c r="G766" s="12">
        <f t="shared" si="31"/>
        <v>86.967741935483872</v>
      </c>
    </row>
    <row r="767" spans="1:7" ht="13">
      <c r="A767" s="4" t="s">
        <v>115</v>
      </c>
      <c r="B767" s="1">
        <v>5.2</v>
      </c>
      <c r="C767" s="1">
        <v>465</v>
      </c>
      <c r="D767" s="1" t="s">
        <v>45</v>
      </c>
      <c r="E767" s="1" t="s">
        <v>15</v>
      </c>
      <c r="F767" s="1">
        <f t="shared" si="30"/>
        <v>520</v>
      </c>
      <c r="G767" s="12">
        <f t="shared" si="31"/>
        <v>89.42307692307692</v>
      </c>
    </row>
    <row r="768" spans="1:7" ht="13">
      <c r="A768" s="4" t="s">
        <v>115</v>
      </c>
      <c r="B768" s="1">
        <v>7.3</v>
      </c>
      <c r="C768" s="1">
        <v>574</v>
      </c>
      <c r="D768" s="1" t="s">
        <v>50</v>
      </c>
      <c r="E768" s="1" t="s">
        <v>15</v>
      </c>
      <c r="F768" s="1">
        <f t="shared" si="30"/>
        <v>730</v>
      </c>
      <c r="G768" s="12">
        <f t="shared" si="31"/>
        <v>78.630136986301366</v>
      </c>
    </row>
    <row r="769" spans="1:7" ht="13">
      <c r="A769" s="4" t="s">
        <v>115</v>
      </c>
      <c r="B769" s="1">
        <v>7.83</v>
      </c>
      <c r="C769" s="1">
        <v>763</v>
      </c>
      <c r="D769" s="1" t="s">
        <v>44</v>
      </c>
      <c r="E769" s="1" t="s">
        <v>23</v>
      </c>
      <c r="F769" s="1">
        <f t="shared" si="30"/>
        <v>783</v>
      </c>
      <c r="G769" s="12">
        <f t="shared" si="31"/>
        <v>97.445721583652613</v>
      </c>
    </row>
    <row r="770" spans="1:7" ht="13">
      <c r="A770" s="4" t="s">
        <v>115</v>
      </c>
      <c r="B770" s="1">
        <v>6</v>
      </c>
      <c r="C770" s="1">
        <v>632</v>
      </c>
      <c r="D770" s="1" t="s">
        <v>11</v>
      </c>
      <c r="E770" s="1" t="s">
        <v>19</v>
      </c>
      <c r="F770" s="1">
        <f t="shared" si="30"/>
        <v>600</v>
      </c>
      <c r="G770" s="12">
        <f t="shared" si="31"/>
        <v>105.33333333333333</v>
      </c>
    </row>
    <row r="771" spans="1:7" ht="13">
      <c r="A771" s="4" t="s">
        <v>115</v>
      </c>
      <c r="B771" s="1">
        <v>3.48</v>
      </c>
      <c r="C771" s="1">
        <v>346</v>
      </c>
      <c r="D771" s="1" t="s">
        <v>39</v>
      </c>
      <c r="E771" s="1" t="s">
        <v>15</v>
      </c>
      <c r="F771" s="1">
        <f t="shared" ref="F771:F834" si="32">B771*100</f>
        <v>348</v>
      </c>
      <c r="G771" s="12">
        <f t="shared" ref="G771:G834" si="33">C771/B771</f>
        <v>99.425287356321846</v>
      </c>
    </row>
    <row r="772" spans="1:7" ht="13">
      <c r="A772" s="4" t="s">
        <v>115</v>
      </c>
      <c r="B772" s="1">
        <v>5.0999999999999996</v>
      </c>
      <c r="C772" s="1">
        <v>531</v>
      </c>
      <c r="D772" s="1" t="s">
        <v>39</v>
      </c>
      <c r="E772" s="1" t="s">
        <v>15</v>
      </c>
      <c r="F772" s="1">
        <f t="shared" si="32"/>
        <v>509.99999999999994</v>
      </c>
      <c r="G772" s="12">
        <f t="shared" si="33"/>
        <v>104.11764705882354</v>
      </c>
    </row>
    <row r="773" spans="1:7" ht="13">
      <c r="A773" s="4" t="s">
        <v>115</v>
      </c>
      <c r="B773" s="1">
        <v>7.29</v>
      </c>
      <c r="C773" s="1">
        <v>740</v>
      </c>
      <c r="D773" s="1" t="s">
        <v>11</v>
      </c>
      <c r="E773" s="1" t="s">
        <v>18</v>
      </c>
      <c r="F773" s="1">
        <f t="shared" si="32"/>
        <v>729</v>
      </c>
      <c r="G773" s="12">
        <f t="shared" si="33"/>
        <v>101.50891632373114</v>
      </c>
    </row>
    <row r="774" spans="1:7" ht="13">
      <c r="A774" s="4" t="s">
        <v>115</v>
      </c>
      <c r="B774" s="1">
        <v>8.1199999999999992</v>
      </c>
      <c r="C774" s="1">
        <v>743</v>
      </c>
      <c r="D774" s="1" t="s">
        <v>38</v>
      </c>
      <c r="E774" s="1" t="s">
        <v>20</v>
      </c>
      <c r="F774" s="1">
        <f t="shared" si="32"/>
        <v>811.99999999999989</v>
      </c>
      <c r="G774" s="12">
        <f t="shared" si="33"/>
        <v>91.502463054187203</v>
      </c>
    </row>
    <row r="775" spans="1:7" ht="13">
      <c r="A775" s="4" t="s">
        <v>115</v>
      </c>
      <c r="B775" s="1">
        <v>3.44</v>
      </c>
      <c r="C775" s="1">
        <v>401</v>
      </c>
      <c r="D775" s="1" t="s">
        <v>43</v>
      </c>
      <c r="E775" s="1" t="s">
        <v>8</v>
      </c>
      <c r="F775" s="1">
        <f t="shared" si="32"/>
        <v>344</v>
      </c>
      <c r="G775" s="12">
        <f t="shared" si="33"/>
        <v>116.56976744186046</v>
      </c>
    </row>
    <row r="776" spans="1:7" ht="13">
      <c r="A776" s="4" t="s">
        <v>115</v>
      </c>
      <c r="B776" s="1">
        <v>5.0999999999999996</v>
      </c>
      <c r="C776" s="1">
        <v>526</v>
      </c>
      <c r="D776" s="1" t="s">
        <v>43</v>
      </c>
      <c r="E776" s="1" t="s">
        <v>49</v>
      </c>
      <c r="F776" s="1">
        <f t="shared" si="32"/>
        <v>509.99999999999994</v>
      </c>
      <c r="G776" s="12">
        <f t="shared" si="33"/>
        <v>103.13725490196079</v>
      </c>
    </row>
    <row r="777" spans="1:7" ht="13">
      <c r="A777" s="4" t="s">
        <v>115</v>
      </c>
      <c r="B777" s="1">
        <v>4.8</v>
      </c>
      <c r="C777" s="1">
        <v>4.29</v>
      </c>
      <c r="D777" s="1" t="s">
        <v>11</v>
      </c>
      <c r="E777" s="1" t="s">
        <v>32</v>
      </c>
      <c r="F777" s="1">
        <f t="shared" si="32"/>
        <v>480</v>
      </c>
      <c r="G777" s="12">
        <f t="shared" si="33"/>
        <v>0.89375000000000004</v>
      </c>
    </row>
    <row r="778" spans="1:7" ht="13">
      <c r="A778" s="4" t="s">
        <v>115</v>
      </c>
      <c r="B778" s="1">
        <v>7.2</v>
      </c>
      <c r="C778" s="1">
        <v>717</v>
      </c>
      <c r="D778" s="1" t="s">
        <v>39</v>
      </c>
      <c r="E778" s="1" t="s">
        <v>9</v>
      </c>
      <c r="F778" s="1">
        <f t="shared" si="32"/>
        <v>720</v>
      </c>
      <c r="G778" s="12">
        <f t="shared" si="33"/>
        <v>99.583333333333329</v>
      </c>
    </row>
    <row r="779" spans="1:7" ht="13">
      <c r="A779" s="4" t="s">
        <v>115</v>
      </c>
      <c r="B779" s="1">
        <v>3</v>
      </c>
      <c r="C779" s="1">
        <v>398</v>
      </c>
      <c r="D779" s="1" t="s">
        <v>43</v>
      </c>
      <c r="E779" s="1" t="s">
        <v>18</v>
      </c>
      <c r="F779" s="1">
        <f t="shared" si="32"/>
        <v>300</v>
      </c>
      <c r="G779" s="12">
        <f t="shared" si="33"/>
        <v>132.66666666666666</v>
      </c>
    </row>
    <row r="780" spans="1:7" ht="13">
      <c r="A780" s="4" t="s">
        <v>115</v>
      </c>
      <c r="B780" s="1">
        <v>6.2</v>
      </c>
      <c r="C780" s="1">
        <v>645</v>
      </c>
      <c r="D780" s="1" t="s">
        <v>11</v>
      </c>
      <c r="E780" s="1" t="s">
        <v>7</v>
      </c>
      <c r="F780" s="1">
        <f t="shared" si="32"/>
        <v>620</v>
      </c>
      <c r="G780" s="12">
        <f t="shared" si="33"/>
        <v>104.03225806451613</v>
      </c>
    </row>
    <row r="781" spans="1:7" ht="13">
      <c r="A781" s="4" t="s">
        <v>115</v>
      </c>
      <c r="B781" s="1">
        <v>11</v>
      </c>
      <c r="C781" s="1">
        <v>960</v>
      </c>
      <c r="D781" s="1" t="s">
        <v>47</v>
      </c>
      <c r="E781" s="1" t="s">
        <v>14</v>
      </c>
      <c r="F781" s="1">
        <f t="shared" si="32"/>
        <v>1100</v>
      </c>
      <c r="G781" s="12">
        <f t="shared" si="33"/>
        <v>87.272727272727266</v>
      </c>
    </row>
    <row r="782" spans="1:7" ht="13">
      <c r="A782" s="4" t="s">
        <v>115</v>
      </c>
      <c r="B782" s="1">
        <v>6.96</v>
      </c>
      <c r="C782" s="1">
        <v>377</v>
      </c>
      <c r="D782" s="1" t="s">
        <v>33</v>
      </c>
      <c r="E782" s="1" t="s">
        <v>20</v>
      </c>
      <c r="F782" s="1">
        <f t="shared" si="32"/>
        <v>696</v>
      </c>
      <c r="G782" s="12">
        <f t="shared" si="33"/>
        <v>54.166666666666664</v>
      </c>
    </row>
    <row r="783" spans="1:7" ht="13">
      <c r="A783" s="4" t="s">
        <v>115</v>
      </c>
      <c r="B783" s="1">
        <v>5.2</v>
      </c>
      <c r="C783" s="1">
        <v>512</v>
      </c>
      <c r="D783" s="1" t="s">
        <v>39</v>
      </c>
      <c r="E783" s="1" t="s">
        <v>18</v>
      </c>
      <c r="F783" s="1">
        <f t="shared" si="32"/>
        <v>520</v>
      </c>
      <c r="G783" s="12">
        <f t="shared" si="33"/>
        <v>98.461538461538453</v>
      </c>
    </row>
    <row r="784" spans="1:7" ht="13">
      <c r="A784" s="4" t="s">
        <v>115</v>
      </c>
      <c r="B784" s="1">
        <v>4.3</v>
      </c>
      <c r="C784" s="1">
        <v>409</v>
      </c>
      <c r="D784" s="1" t="s">
        <v>33</v>
      </c>
      <c r="E784" s="1" t="s">
        <v>16</v>
      </c>
      <c r="F784" s="1">
        <f t="shared" si="32"/>
        <v>430</v>
      </c>
      <c r="G784" s="12">
        <f t="shared" si="33"/>
        <v>95.116279069767444</v>
      </c>
    </row>
    <row r="785" spans="1:7" ht="13">
      <c r="A785" s="4" t="s">
        <v>115</v>
      </c>
      <c r="B785" s="1">
        <v>7</v>
      </c>
      <c r="C785" s="1">
        <v>765</v>
      </c>
      <c r="D785" s="1" t="s">
        <v>47</v>
      </c>
      <c r="E785" s="1" t="s">
        <v>17</v>
      </c>
      <c r="F785" s="1">
        <f t="shared" si="32"/>
        <v>700</v>
      </c>
      <c r="G785" s="12">
        <f t="shared" si="33"/>
        <v>109.28571428571429</v>
      </c>
    </row>
    <row r="786" spans="1:7" ht="13">
      <c r="A786" s="4" t="s">
        <v>115</v>
      </c>
      <c r="B786" s="1">
        <v>7.9</v>
      </c>
      <c r="C786" s="1">
        <v>817</v>
      </c>
      <c r="D786" s="1" t="s">
        <v>11</v>
      </c>
      <c r="E786" s="1" t="s">
        <v>27</v>
      </c>
      <c r="F786" s="1">
        <f t="shared" si="32"/>
        <v>790</v>
      </c>
      <c r="G786" s="12">
        <f t="shared" si="33"/>
        <v>103.41772151898734</v>
      </c>
    </row>
    <row r="787" spans="1:7" ht="13">
      <c r="A787" s="4" t="s">
        <v>115</v>
      </c>
      <c r="B787" s="1">
        <v>7</v>
      </c>
      <c r="C787" s="1">
        <v>562</v>
      </c>
      <c r="D787" s="1" t="s">
        <v>11</v>
      </c>
      <c r="E787" s="1" t="s">
        <v>18</v>
      </c>
      <c r="F787" s="1">
        <f t="shared" si="32"/>
        <v>700</v>
      </c>
      <c r="G787" s="12">
        <f t="shared" si="33"/>
        <v>80.285714285714292</v>
      </c>
    </row>
    <row r="788" spans="1:7" ht="13">
      <c r="A788" s="4" t="s">
        <v>115</v>
      </c>
      <c r="B788" s="1">
        <v>4.3499999999999996</v>
      </c>
      <c r="C788" s="1">
        <v>395</v>
      </c>
      <c r="D788" s="1" t="s">
        <v>44</v>
      </c>
      <c r="E788" s="1" t="s">
        <v>15</v>
      </c>
      <c r="F788" s="1">
        <f t="shared" si="32"/>
        <v>434.99999999999994</v>
      </c>
      <c r="G788" s="12">
        <f t="shared" si="33"/>
        <v>90.804597701149433</v>
      </c>
    </row>
    <row r="789" spans="1:7" ht="13">
      <c r="A789" s="4" t="s">
        <v>115</v>
      </c>
      <c r="B789" s="1">
        <v>6.68</v>
      </c>
      <c r="C789" s="1">
        <v>618</v>
      </c>
      <c r="D789" s="1" t="s">
        <v>33</v>
      </c>
      <c r="E789" s="1" t="s">
        <v>12</v>
      </c>
      <c r="F789" s="1">
        <f t="shared" si="32"/>
        <v>668</v>
      </c>
      <c r="G789" s="12">
        <f t="shared" si="33"/>
        <v>92.514970059880241</v>
      </c>
    </row>
    <row r="790" spans="1:7" ht="13">
      <c r="A790" s="4" t="s">
        <v>115</v>
      </c>
      <c r="B790" s="1">
        <v>4.3</v>
      </c>
      <c r="C790" s="1">
        <v>462</v>
      </c>
      <c r="D790" s="1" t="s">
        <v>39</v>
      </c>
      <c r="E790" s="1" t="s">
        <v>15</v>
      </c>
      <c r="F790" s="1">
        <f t="shared" si="32"/>
        <v>430</v>
      </c>
      <c r="G790" s="12">
        <f t="shared" si="33"/>
        <v>107.44186046511628</v>
      </c>
    </row>
    <row r="791" spans="1:7" ht="13">
      <c r="A791" s="4" t="s">
        <v>115</v>
      </c>
      <c r="B791" s="1">
        <v>8.1999999999999993</v>
      </c>
      <c r="C791" s="1">
        <v>773</v>
      </c>
      <c r="D791" s="1" t="s">
        <v>39</v>
      </c>
      <c r="E791" s="1" t="s">
        <v>16</v>
      </c>
      <c r="F791" s="1">
        <f t="shared" si="32"/>
        <v>819.99999999999989</v>
      </c>
      <c r="G791" s="12">
        <f t="shared" si="33"/>
        <v>94.268292682926841</v>
      </c>
    </row>
    <row r="792" spans="1:7" ht="13">
      <c r="A792" s="4" t="s">
        <v>115</v>
      </c>
      <c r="B792" s="1">
        <v>5.2</v>
      </c>
      <c r="C792" s="1">
        <v>436</v>
      </c>
      <c r="D792" s="1" t="s">
        <v>53</v>
      </c>
      <c r="E792" s="1" t="s">
        <v>24</v>
      </c>
      <c r="F792" s="1">
        <f t="shared" si="32"/>
        <v>520</v>
      </c>
      <c r="G792" s="12">
        <f t="shared" si="33"/>
        <v>83.84615384615384</v>
      </c>
    </row>
    <row r="793" spans="1:7" ht="13">
      <c r="A793" s="4" t="s">
        <v>115</v>
      </c>
      <c r="B793" s="1">
        <v>6</v>
      </c>
      <c r="C793" s="1">
        <v>622</v>
      </c>
      <c r="D793" s="1" t="s">
        <v>11</v>
      </c>
      <c r="E793" s="1" t="s">
        <v>22</v>
      </c>
      <c r="F793" s="1">
        <f t="shared" si="32"/>
        <v>600</v>
      </c>
      <c r="G793" s="12">
        <f t="shared" si="33"/>
        <v>103.66666666666667</v>
      </c>
    </row>
    <row r="794" spans="1:7" ht="13">
      <c r="A794" s="4" t="s">
        <v>115</v>
      </c>
      <c r="B794" s="1">
        <v>7.74</v>
      </c>
      <c r="C794" s="1">
        <v>716</v>
      </c>
      <c r="D794" s="1" t="s">
        <v>43</v>
      </c>
      <c r="E794" s="1" t="s">
        <v>22</v>
      </c>
      <c r="F794" s="1">
        <f t="shared" si="32"/>
        <v>774</v>
      </c>
      <c r="G794" s="12">
        <f t="shared" si="33"/>
        <v>92.506459948320412</v>
      </c>
    </row>
    <row r="795" spans="1:7" ht="13">
      <c r="A795" s="4" t="s">
        <v>115</v>
      </c>
      <c r="B795" s="1">
        <v>2.87</v>
      </c>
      <c r="C795" s="1">
        <v>328</v>
      </c>
      <c r="D795" s="1" t="s">
        <v>11</v>
      </c>
      <c r="E795" s="1" t="s">
        <v>8</v>
      </c>
      <c r="F795" s="1">
        <f t="shared" si="32"/>
        <v>287</v>
      </c>
      <c r="G795" s="12">
        <f t="shared" si="33"/>
        <v>114.28571428571428</v>
      </c>
    </row>
    <row r="796" spans="1:7" ht="13">
      <c r="A796" s="4" t="s">
        <v>115</v>
      </c>
      <c r="B796" s="1">
        <v>10.3</v>
      </c>
      <c r="C796" s="1">
        <v>900</v>
      </c>
      <c r="D796" s="1" t="s">
        <v>82</v>
      </c>
      <c r="E796" s="1" t="s">
        <v>26</v>
      </c>
      <c r="F796" s="1">
        <f t="shared" si="32"/>
        <v>1030</v>
      </c>
      <c r="G796" s="12">
        <f t="shared" si="33"/>
        <v>87.378640776699029</v>
      </c>
    </row>
    <row r="797" spans="1:7" ht="13">
      <c r="A797" s="4" t="s">
        <v>115</v>
      </c>
      <c r="B797" s="1">
        <v>7.8</v>
      </c>
      <c r="C797" s="1">
        <v>692</v>
      </c>
      <c r="D797" s="1" t="s">
        <v>40</v>
      </c>
      <c r="E797" s="1" t="s">
        <v>15</v>
      </c>
      <c r="F797" s="1">
        <f t="shared" si="32"/>
        <v>780</v>
      </c>
      <c r="G797" s="12">
        <f t="shared" si="33"/>
        <v>88.717948717948715</v>
      </c>
    </row>
    <row r="798" spans="1:7" ht="13">
      <c r="A798" s="4" t="s">
        <v>115</v>
      </c>
      <c r="B798" s="1">
        <v>7.9</v>
      </c>
      <c r="C798" s="1">
        <v>687</v>
      </c>
      <c r="D798" s="1" t="s">
        <v>11</v>
      </c>
      <c r="E798" s="1" t="s">
        <v>20</v>
      </c>
      <c r="F798" s="1">
        <f t="shared" si="32"/>
        <v>790</v>
      </c>
      <c r="G798" s="12">
        <f t="shared" si="33"/>
        <v>86.962025316455694</v>
      </c>
    </row>
    <row r="799" spans="1:7" ht="13">
      <c r="A799" s="4" t="s">
        <v>115</v>
      </c>
      <c r="B799" s="1">
        <v>5.16</v>
      </c>
      <c r="C799" s="1">
        <v>504</v>
      </c>
      <c r="D799" s="1" t="s">
        <v>38</v>
      </c>
      <c r="E799" s="1" t="s">
        <v>26</v>
      </c>
      <c r="F799" s="1">
        <f t="shared" si="32"/>
        <v>516</v>
      </c>
      <c r="G799" s="12">
        <f t="shared" si="33"/>
        <v>97.674418604651166</v>
      </c>
    </row>
    <row r="800" spans="1:7" ht="13">
      <c r="A800" s="4" t="s">
        <v>115</v>
      </c>
      <c r="B800" s="1">
        <v>4.8600000000000003</v>
      </c>
      <c r="C800" s="1">
        <v>485</v>
      </c>
      <c r="D800" s="1" t="s">
        <v>38</v>
      </c>
      <c r="E800" s="1" t="s">
        <v>15</v>
      </c>
      <c r="F800" s="1">
        <f t="shared" si="32"/>
        <v>486.00000000000006</v>
      </c>
      <c r="G800" s="12">
        <f t="shared" si="33"/>
        <v>99.79423868312756</v>
      </c>
    </row>
    <row r="801" spans="1:7" ht="13">
      <c r="A801" s="4" t="s">
        <v>115</v>
      </c>
      <c r="B801" s="1">
        <v>7.4</v>
      </c>
      <c r="C801" s="1">
        <v>725</v>
      </c>
      <c r="D801" s="1" t="s">
        <v>39</v>
      </c>
      <c r="E801" s="1" t="s">
        <v>7</v>
      </c>
      <c r="F801" s="1">
        <f t="shared" si="32"/>
        <v>740</v>
      </c>
      <c r="G801" s="12">
        <f t="shared" si="33"/>
        <v>97.972972972972968</v>
      </c>
    </row>
    <row r="802" spans="1:7" ht="13">
      <c r="A802" s="4" t="s">
        <v>115</v>
      </c>
      <c r="B802" s="1">
        <v>4.9000000000000004</v>
      </c>
      <c r="C802" s="1">
        <v>493</v>
      </c>
      <c r="D802" s="1" t="s">
        <v>44</v>
      </c>
      <c r="E802" s="1" t="s">
        <v>15</v>
      </c>
      <c r="F802" s="1">
        <f t="shared" si="32"/>
        <v>490.00000000000006</v>
      </c>
      <c r="G802" s="12">
        <f t="shared" si="33"/>
        <v>100.61224489795917</v>
      </c>
    </row>
    <row r="803" spans="1:7" ht="13">
      <c r="A803" s="4" t="s">
        <v>115</v>
      </c>
      <c r="B803" s="1">
        <v>6.4</v>
      </c>
      <c r="C803" s="1">
        <v>745</v>
      </c>
      <c r="D803" s="1" t="s">
        <v>11</v>
      </c>
      <c r="E803" s="1" t="s">
        <v>32</v>
      </c>
      <c r="F803" s="1">
        <f t="shared" si="32"/>
        <v>640</v>
      </c>
      <c r="G803" s="12">
        <f t="shared" si="33"/>
        <v>116.40625</v>
      </c>
    </row>
    <row r="804" spans="1:7" ht="13">
      <c r="A804" s="4" t="s">
        <v>115</v>
      </c>
      <c r="B804" s="1">
        <v>6</v>
      </c>
      <c r="C804" s="1">
        <v>542</v>
      </c>
      <c r="D804" s="1" t="s">
        <v>60</v>
      </c>
      <c r="E804" s="1" t="s">
        <v>17</v>
      </c>
      <c r="F804" s="1">
        <f t="shared" si="32"/>
        <v>600</v>
      </c>
      <c r="G804" s="12">
        <f t="shared" si="33"/>
        <v>90.333333333333329</v>
      </c>
    </row>
    <row r="805" spans="1:7" ht="13">
      <c r="A805" s="4" t="s">
        <v>115</v>
      </c>
      <c r="B805" s="1">
        <v>6000</v>
      </c>
      <c r="C805" s="1">
        <v>650</v>
      </c>
      <c r="D805" s="1" t="s">
        <v>11</v>
      </c>
      <c r="E805" s="1" t="s">
        <v>8</v>
      </c>
      <c r="F805" s="1">
        <f t="shared" si="32"/>
        <v>600000</v>
      </c>
      <c r="G805" s="12">
        <f t="shared" si="33"/>
        <v>0.10833333333333334</v>
      </c>
    </row>
    <row r="806" spans="1:7" ht="13">
      <c r="A806" s="4" t="s">
        <v>115</v>
      </c>
      <c r="B806" s="1">
        <v>5.4</v>
      </c>
      <c r="C806" s="1">
        <v>576</v>
      </c>
      <c r="D806" s="1" t="s">
        <v>11</v>
      </c>
      <c r="E806" s="1" t="s">
        <v>8</v>
      </c>
      <c r="F806" s="1">
        <f t="shared" si="32"/>
        <v>540</v>
      </c>
      <c r="G806" s="12">
        <f t="shared" si="33"/>
        <v>106.66666666666666</v>
      </c>
    </row>
    <row r="807" spans="1:7" ht="13">
      <c r="A807" s="4" t="s">
        <v>115</v>
      </c>
      <c r="B807" s="1">
        <v>4.3</v>
      </c>
      <c r="C807" s="1">
        <v>431</v>
      </c>
      <c r="D807" s="1" t="s">
        <v>43</v>
      </c>
      <c r="E807" s="1" t="s">
        <v>20</v>
      </c>
      <c r="F807" s="1">
        <f t="shared" si="32"/>
        <v>430</v>
      </c>
      <c r="G807" s="12">
        <f t="shared" si="33"/>
        <v>100.23255813953489</v>
      </c>
    </row>
    <row r="808" spans="1:7" ht="13">
      <c r="A808" s="4" t="s">
        <v>115</v>
      </c>
      <c r="B808" s="1">
        <v>7.9</v>
      </c>
      <c r="C808" s="1">
        <v>691</v>
      </c>
      <c r="D808" s="1" t="s">
        <v>33</v>
      </c>
      <c r="E808" s="1" t="s">
        <v>17</v>
      </c>
      <c r="F808" s="1">
        <f t="shared" si="32"/>
        <v>790</v>
      </c>
      <c r="G808" s="12">
        <f t="shared" si="33"/>
        <v>87.468354430379748</v>
      </c>
    </row>
    <row r="809" spans="1:7" ht="13">
      <c r="A809" s="4" t="s">
        <v>115</v>
      </c>
      <c r="B809" s="1">
        <v>8.58</v>
      </c>
      <c r="C809" s="1">
        <v>854</v>
      </c>
      <c r="D809" s="1" t="s">
        <v>11</v>
      </c>
      <c r="E809" s="1" t="s">
        <v>10</v>
      </c>
      <c r="F809" s="1">
        <f t="shared" si="32"/>
        <v>858</v>
      </c>
      <c r="G809" s="12">
        <f t="shared" si="33"/>
        <v>99.533799533799538</v>
      </c>
    </row>
    <row r="810" spans="1:7" ht="13">
      <c r="A810" s="4" t="s">
        <v>115</v>
      </c>
      <c r="B810" s="1">
        <v>7.74</v>
      </c>
      <c r="C810" s="1">
        <v>686</v>
      </c>
      <c r="D810" s="1" t="s">
        <v>33</v>
      </c>
      <c r="E810" s="1" t="s">
        <v>16</v>
      </c>
      <c r="F810" s="1">
        <f t="shared" si="32"/>
        <v>774</v>
      </c>
      <c r="G810" s="12">
        <f t="shared" si="33"/>
        <v>88.63049095607235</v>
      </c>
    </row>
    <row r="811" spans="1:7" ht="13">
      <c r="A811" s="4" t="s">
        <v>115</v>
      </c>
      <c r="B811" s="1">
        <v>7.56</v>
      </c>
      <c r="C811" s="1">
        <v>721</v>
      </c>
      <c r="D811" s="1" t="s">
        <v>11</v>
      </c>
      <c r="E811" s="1" t="s">
        <v>20</v>
      </c>
      <c r="F811" s="1">
        <f t="shared" si="32"/>
        <v>756</v>
      </c>
      <c r="G811" s="12">
        <f t="shared" si="33"/>
        <v>95.370370370370381</v>
      </c>
    </row>
    <row r="812" spans="1:7" ht="13">
      <c r="A812" s="4" t="s">
        <v>115</v>
      </c>
      <c r="B812" s="1">
        <v>5.44</v>
      </c>
      <c r="C812" s="1">
        <v>510</v>
      </c>
      <c r="D812" s="1" t="s">
        <v>83</v>
      </c>
      <c r="E812" s="1" t="s">
        <v>25</v>
      </c>
      <c r="F812" s="1">
        <f t="shared" si="32"/>
        <v>544</v>
      </c>
      <c r="G812" s="12">
        <f t="shared" si="33"/>
        <v>93.75</v>
      </c>
    </row>
    <row r="813" spans="1:7" ht="13">
      <c r="A813" s="4" t="s">
        <v>115</v>
      </c>
      <c r="B813" s="1">
        <v>7.47</v>
      </c>
      <c r="C813" s="1">
        <v>663</v>
      </c>
      <c r="D813" s="1" t="s">
        <v>11</v>
      </c>
      <c r="E813" s="1" t="s">
        <v>8</v>
      </c>
      <c r="F813" s="1">
        <f t="shared" si="32"/>
        <v>747</v>
      </c>
      <c r="G813" s="12">
        <f t="shared" si="33"/>
        <v>88.755020080321287</v>
      </c>
    </row>
    <row r="814" spans="1:7" ht="13">
      <c r="A814" s="4" t="s">
        <v>115</v>
      </c>
      <c r="B814" s="1">
        <v>11.25</v>
      </c>
      <c r="C814" s="1">
        <v>984</v>
      </c>
      <c r="D814" s="1" t="s">
        <v>45</v>
      </c>
      <c r="E814" s="1" t="s">
        <v>8</v>
      </c>
      <c r="F814" s="1">
        <f t="shared" si="32"/>
        <v>1125</v>
      </c>
      <c r="G814" s="12">
        <f t="shared" si="33"/>
        <v>87.466666666666669</v>
      </c>
    </row>
    <row r="815" spans="1:7" ht="13">
      <c r="A815" s="4" t="s">
        <v>115</v>
      </c>
      <c r="B815" s="1">
        <v>7.14</v>
      </c>
      <c r="C815" s="1">
        <v>775</v>
      </c>
      <c r="D815" s="1" t="s">
        <v>42</v>
      </c>
      <c r="E815" s="1" t="s">
        <v>10</v>
      </c>
      <c r="F815" s="1">
        <f t="shared" si="32"/>
        <v>714</v>
      </c>
      <c r="G815" s="12">
        <f t="shared" si="33"/>
        <v>108.54341736694678</v>
      </c>
    </row>
    <row r="816" spans="1:7" ht="13">
      <c r="A816" s="4" t="s">
        <v>115</v>
      </c>
      <c r="B816" s="1">
        <v>5.2</v>
      </c>
      <c r="C816" s="1">
        <v>518</v>
      </c>
      <c r="D816" s="1" t="s">
        <v>47</v>
      </c>
      <c r="E816" s="1" t="s">
        <v>26</v>
      </c>
      <c r="F816" s="1">
        <f t="shared" si="32"/>
        <v>520</v>
      </c>
      <c r="G816" s="12">
        <f t="shared" si="33"/>
        <v>99.615384615384613</v>
      </c>
    </row>
    <row r="817" spans="1:7" ht="13">
      <c r="A817" s="4" t="s">
        <v>115</v>
      </c>
      <c r="B817" s="1">
        <v>4</v>
      </c>
      <c r="C817" s="1">
        <v>367</v>
      </c>
      <c r="D817" s="1" t="s">
        <v>33</v>
      </c>
      <c r="E817" s="1" t="s">
        <v>22</v>
      </c>
      <c r="F817" s="1">
        <f t="shared" si="32"/>
        <v>400</v>
      </c>
      <c r="G817" s="12">
        <f t="shared" si="33"/>
        <v>91.75</v>
      </c>
    </row>
    <row r="818" spans="1:7" ht="13">
      <c r="A818" s="4" t="s">
        <v>115</v>
      </c>
      <c r="B818" s="1">
        <v>5.2</v>
      </c>
      <c r="C818" s="1">
        <v>537</v>
      </c>
      <c r="D818" s="1" t="s">
        <v>11</v>
      </c>
      <c r="E818" s="1" t="s">
        <v>9</v>
      </c>
      <c r="F818" s="1">
        <f t="shared" si="32"/>
        <v>520</v>
      </c>
      <c r="G818" s="12">
        <f t="shared" si="33"/>
        <v>103.26923076923076</v>
      </c>
    </row>
    <row r="819" spans="1:7" ht="13">
      <c r="A819" s="4" t="s">
        <v>115</v>
      </c>
      <c r="B819" s="1">
        <v>7.7</v>
      </c>
      <c r="C819" s="1">
        <v>826</v>
      </c>
      <c r="D819" s="1" t="s">
        <v>55</v>
      </c>
      <c r="E819" s="1" t="s">
        <v>19</v>
      </c>
      <c r="F819" s="1">
        <f t="shared" si="32"/>
        <v>770</v>
      </c>
      <c r="G819" s="12">
        <f t="shared" si="33"/>
        <v>107.27272727272727</v>
      </c>
    </row>
    <row r="820" spans="1:7" ht="13">
      <c r="A820" s="4" t="s">
        <v>115</v>
      </c>
      <c r="B820" s="1">
        <v>7.2</v>
      </c>
      <c r="C820" s="1">
        <v>621</v>
      </c>
      <c r="D820" s="1" t="s">
        <v>11</v>
      </c>
      <c r="E820" s="1" t="s">
        <v>16</v>
      </c>
      <c r="F820" s="1">
        <f t="shared" si="32"/>
        <v>720</v>
      </c>
      <c r="G820" s="12">
        <f t="shared" si="33"/>
        <v>86.25</v>
      </c>
    </row>
    <row r="821" spans="1:7" ht="13">
      <c r="A821" s="4" t="s">
        <v>115</v>
      </c>
      <c r="B821" s="1">
        <v>6.6</v>
      </c>
      <c r="C821" s="1">
        <v>625</v>
      </c>
      <c r="D821" s="1" t="s">
        <v>34</v>
      </c>
      <c r="E821" s="1" t="s">
        <v>22</v>
      </c>
      <c r="F821" s="1">
        <f t="shared" si="32"/>
        <v>660</v>
      </c>
      <c r="G821" s="12">
        <f t="shared" si="33"/>
        <v>94.696969696969703</v>
      </c>
    </row>
    <row r="822" spans="1:7" ht="13">
      <c r="A822" s="4" t="s">
        <v>115</v>
      </c>
      <c r="B822" s="1">
        <v>5.6</v>
      </c>
      <c r="C822" s="1">
        <v>561</v>
      </c>
      <c r="D822" s="1" t="s">
        <v>40</v>
      </c>
      <c r="E822" s="1" t="s">
        <v>7</v>
      </c>
      <c r="F822" s="1">
        <f t="shared" si="32"/>
        <v>560</v>
      </c>
      <c r="G822" s="12">
        <f t="shared" si="33"/>
        <v>100.17857142857143</v>
      </c>
    </row>
    <row r="823" spans="1:7" ht="13">
      <c r="A823" s="4" t="s">
        <v>115</v>
      </c>
      <c r="B823" s="1">
        <v>6</v>
      </c>
      <c r="C823" s="1">
        <v>550</v>
      </c>
      <c r="D823" s="1" t="s">
        <v>33</v>
      </c>
      <c r="E823" s="1" t="s">
        <v>9</v>
      </c>
      <c r="F823" s="1">
        <f t="shared" si="32"/>
        <v>600</v>
      </c>
      <c r="G823" s="12">
        <f t="shared" si="33"/>
        <v>91.666666666666671</v>
      </c>
    </row>
    <row r="824" spans="1:7" ht="13">
      <c r="A824" s="4" t="s">
        <v>115</v>
      </c>
      <c r="B824" s="1">
        <v>5.0999999999999996</v>
      </c>
      <c r="C824" s="1">
        <v>576</v>
      </c>
      <c r="D824" s="1" t="s">
        <v>11</v>
      </c>
      <c r="E824" s="1" t="s">
        <v>27</v>
      </c>
      <c r="F824" s="1">
        <f t="shared" si="32"/>
        <v>509.99999999999994</v>
      </c>
      <c r="G824" s="12">
        <f t="shared" si="33"/>
        <v>112.94117647058825</v>
      </c>
    </row>
    <row r="825" spans="1:7" ht="13">
      <c r="A825" s="4" t="s">
        <v>115</v>
      </c>
      <c r="B825" s="1">
        <v>6.96</v>
      </c>
      <c r="C825" s="1">
        <v>715</v>
      </c>
      <c r="D825" s="1" t="s">
        <v>11</v>
      </c>
      <c r="E825" s="1" t="s">
        <v>14</v>
      </c>
      <c r="F825" s="1">
        <f t="shared" si="32"/>
        <v>696</v>
      </c>
      <c r="G825" s="12">
        <f t="shared" si="33"/>
        <v>102.72988505747126</v>
      </c>
    </row>
    <row r="826" spans="1:7" ht="13">
      <c r="A826" s="4" t="s">
        <v>115</v>
      </c>
      <c r="B826" s="1">
        <v>7.3</v>
      </c>
      <c r="C826" s="1">
        <v>700</v>
      </c>
      <c r="D826" s="1" t="s">
        <v>38</v>
      </c>
      <c r="E826" s="1" t="s">
        <v>8</v>
      </c>
      <c r="F826" s="1">
        <f t="shared" si="32"/>
        <v>730</v>
      </c>
      <c r="G826" s="12">
        <f t="shared" si="33"/>
        <v>95.890410958904113</v>
      </c>
    </row>
    <row r="827" spans="1:7" ht="13">
      <c r="A827" s="4" t="s">
        <v>115</v>
      </c>
      <c r="B827" s="1">
        <v>9.57</v>
      </c>
      <c r="C827" s="1">
        <v>851</v>
      </c>
      <c r="D827" s="1" t="s">
        <v>11</v>
      </c>
      <c r="E827" s="1" t="s">
        <v>25</v>
      </c>
      <c r="F827" s="1">
        <f t="shared" si="32"/>
        <v>957</v>
      </c>
      <c r="G827" s="12">
        <f t="shared" si="33"/>
        <v>88.92371995820271</v>
      </c>
    </row>
    <row r="828" spans="1:7" ht="13">
      <c r="A828" s="4" t="s">
        <v>115</v>
      </c>
      <c r="B828" s="1">
        <v>3.48</v>
      </c>
      <c r="C828" s="1">
        <v>337</v>
      </c>
      <c r="D828" s="1" t="s">
        <v>11</v>
      </c>
      <c r="E828" s="1" t="s">
        <v>7</v>
      </c>
      <c r="F828" s="1">
        <f t="shared" si="32"/>
        <v>348</v>
      </c>
      <c r="G828" s="12">
        <f t="shared" si="33"/>
        <v>96.839080459770116</v>
      </c>
    </row>
    <row r="829" spans="1:7" ht="13">
      <c r="A829" s="4" t="s">
        <v>115</v>
      </c>
      <c r="B829" s="1">
        <v>17.100000000000001</v>
      </c>
      <c r="C829" s="1">
        <v>1020</v>
      </c>
      <c r="D829" s="1" t="s">
        <v>11</v>
      </c>
      <c r="E829" s="1" t="s">
        <v>31</v>
      </c>
      <c r="F829" s="1">
        <f t="shared" si="32"/>
        <v>1710.0000000000002</v>
      </c>
      <c r="G829" s="12">
        <f t="shared" si="33"/>
        <v>59.649122807017541</v>
      </c>
    </row>
    <row r="830" spans="1:7" ht="13">
      <c r="A830" s="4" t="s">
        <v>115</v>
      </c>
      <c r="B830" s="1">
        <v>6</v>
      </c>
      <c r="C830" s="1">
        <v>762</v>
      </c>
      <c r="D830" s="1" t="s">
        <v>38</v>
      </c>
      <c r="E830" s="1" t="s">
        <v>8</v>
      </c>
      <c r="F830" s="1">
        <f t="shared" si="32"/>
        <v>600</v>
      </c>
      <c r="G830" s="12">
        <f t="shared" si="33"/>
        <v>127</v>
      </c>
    </row>
    <row r="831" spans="1:7" ht="13">
      <c r="A831" s="4" t="s">
        <v>115</v>
      </c>
      <c r="B831" s="1">
        <v>6.4</v>
      </c>
      <c r="C831" s="1">
        <v>671</v>
      </c>
      <c r="D831" s="1" t="s">
        <v>11</v>
      </c>
      <c r="E831" s="1" t="s">
        <v>8</v>
      </c>
      <c r="F831" s="1">
        <f t="shared" si="32"/>
        <v>640</v>
      </c>
      <c r="G831" s="12">
        <f t="shared" si="33"/>
        <v>104.84375</v>
      </c>
    </row>
    <row r="832" spans="1:7" ht="13">
      <c r="A832" s="4" t="s">
        <v>115</v>
      </c>
      <c r="B832" s="1">
        <v>8.4</v>
      </c>
      <c r="C832" s="1">
        <v>759</v>
      </c>
      <c r="D832" s="1" t="s">
        <v>47</v>
      </c>
      <c r="E832" s="1" t="s">
        <v>17</v>
      </c>
      <c r="F832" s="1">
        <f t="shared" si="32"/>
        <v>840</v>
      </c>
      <c r="G832" s="12">
        <f t="shared" si="33"/>
        <v>90.357142857142847</v>
      </c>
    </row>
    <row r="833" spans="1:7" ht="13">
      <c r="A833" s="4" t="s">
        <v>115</v>
      </c>
      <c r="B833" s="1">
        <v>6</v>
      </c>
      <c r="C833" s="1">
        <v>670</v>
      </c>
      <c r="D833" s="1" t="s">
        <v>11</v>
      </c>
      <c r="E833" s="1" t="s">
        <v>17</v>
      </c>
      <c r="F833" s="1">
        <f t="shared" si="32"/>
        <v>600</v>
      </c>
      <c r="G833" s="12">
        <f t="shared" si="33"/>
        <v>111.66666666666667</v>
      </c>
    </row>
    <row r="834" spans="1:7" ht="13">
      <c r="A834" s="4" t="s">
        <v>115</v>
      </c>
      <c r="B834" s="1">
        <v>8.6</v>
      </c>
      <c r="C834" s="1">
        <v>920</v>
      </c>
      <c r="D834" s="1" t="s">
        <v>42</v>
      </c>
      <c r="E834" s="1" t="s">
        <v>8</v>
      </c>
      <c r="F834" s="1">
        <f t="shared" si="32"/>
        <v>860</v>
      </c>
      <c r="G834" s="12">
        <f t="shared" si="33"/>
        <v>106.97674418604652</v>
      </c>
    </row>
    <row r="835" spans="1:7" ht="13">
      <c r="A835" s="4" t="s">
        <v>115</v>
      </c>
      <c r="B835" s="1">
        <v>5.22</v>
      </c>
      <c r="C835" s="1">
        <v>375</v>
      </c>
      <c r="D835" s="1" t="s">
        <v>55</v>
      </c>
      <c r="E835" s="1" t="s">
        <v>22</v>
      </c>
      <c r="F835" s="1">
        <f t="shared" ref="F835:F898" si="34">B835*100</f>
        <v>522</v>
      </c>
      <c r="G835" s="12">
        <f t="shared" ref="G835:G898" si="35">C835/B835</f>
        <v>71.839080459770116</v>
      </c>
    </row>
    <row r="836" spans="1:7" ht="13">
      <c r="A836" s="4" t="s">
        <v>115</v>
      </c>
      <c r="B836" s="1">
        <v>4.8</v>
      </c>
      <c r="C836" s="1">
        <v>530</v>
      </c>
      <c r="D836" s="1" t="s">
        <v>38</v>
      </c>
      <c r="E836" s="1" t="s">
        <v>21</v>
      </c>
      <c r="F836" s="1">
        <f t="shared" si="34"/>
        <v>480</v>
      </c>
      <c r="G836" s="12">
        <f t="shared" si="35"/>
        <v>110.41666666666667</v>
      </c>
    </row>
    <row r="837" spans="1:7" ht="13">
      <c r="A837" s="4" t="s">
        <v>115</v>
      </c>
      <c r="B837" s="1">
        <v>7.6</v>
      </c>
      <c r="C837" s="1">
        <v>753</v>
      </c>
      <c r="D837" s="1" t="s">
        <v>11</v>
      </c>
      <c r="E837" s="1" t="s">
        <v>17</v>
      </c>
      <c r="F837" s="1">
        <f t="shared" si="34"/>
        <v>760</v>
      </c>
      <c r="G837" s="12">
        <f t="shared" si="35"/>
        <v>99.078947368421055</v>
      </c>
    </row>
    <row r="838" spans="1:7" ht="13">
      <c r="A838" s="4" t="s">
        <v>115</v>
      </c>
      <c r="B838" s="1">
        <v>5.39</v>
      </c>
      <c r="C838" s="1">
        <v>595</v>
      </c>
      <c r="D838" s="1" t="s">
        <v>11</v>
      </c>
      <c r="E838" s="1" t="s">
        <v>26</v>
      </c>
      <c r="F838" s="1">
        <f t="shared" si="34"/>
        <v>539</v>
      </c>
      <c r="G838" s="12">
        <f t="shared" si="35"/>
        <v>110.3896103896104</v>
      </c>
    </row>
    <row r="839" spans="1:7" ht="13">
      <c r="A839" s="4" t="s">
        <v>115</v>
      </c>
      <c r="B839" s="1">
        <v>7.56</v>
      </c>
      <c r="C839" s="1">
        <v>696</v>
      </c>
      <c r="D839" s="1" t="s">
        <v>11</v>
      </c>
      <c r="E839" s="1" t="s">
        <v>12</v>
      </c>
      <c r="F839" s="1">
        <f t="shared" si="34"/>
        <v>756</v>
      </c>
      <c r="G839" s="12">
        <f t="shared" si="35"/>
        <v>92.063492063492063</v>
      </c>
    </row>
    <row r="840" spans="1:7" ht="13">
      <c r="A840" s="4" t="s">
        <v>115</v>
      </c>
      <c r="B840" s="1">
        <v>6</v>
      </c>
      <c r="C840" s="1">
        <v>600</v>
      </c>
      <c r="D840" s="1" t="s">
        <v>11</v>
      </c>
      <c r="E840" s="1" t="s">
        <v>12</v>
      </c>
      <c r="F840" s="1">
        <f t="shared" si="34"/>
        <v>600</v>
      </c>
      <c r="G840" s="12">
        <f t="shared" si="35"/>
        <v>100</v>
      </c>
    </row>
    <row r="841" spans="1:7" ht="13">
      <c r="A841" s="4" t="s">
        <v>115</v>
      </c>
      <c r="B841" s="1">
        <v>8.1</v>
      </c>
      <c r="C841" s="1">
        <v>867</v>
      </c>
      <c r="D841" s="1" t="s">
        <v>42</v>
      </c>
      <c r="E841" s="1" t="s">
        <v>10</v>
      </c>
      <c r="F841" s="1">
        <f t="shared" si="34"/>
        <v>810</v>
      </c>
      <c r="G841" s="12">
        <f t="shared" si="35"/>
        <v>107.03703703703704</v>
      </c>
    </row>
    <row r="842" spans="1:7" ht="13">
      <c r="A842" s="4" t="s">
        <v>115</v>
      </c>
      <c r="B842" s="1">
        <v>6.4</v>
      </c>
      <c r="C842" s="1">
        <v>590</v>
      </c>
      <c r="D842" s="1" t="s">
        <v>11</v>
      </c>
      <c r="E842" s="1" t="s">
        <v>15</v>
      </c>
      <c r="F842" s="1">
        <f t="shared" si="34"/>
        <v>640</v>
      </c>
      <c r="G842" s="12">
        <f t="shared" si="35"/>
        <v>92.1875</v>
      </c>
    </row>
    <row r="843" spans="1:7" ht="13">
      <c r="A843" s="4" t="s">
        <v>115</v>
      </c>
      <c r="B843" s="1">
        <v>6.8</v>
      </c>
      <c r="C843" s="1">
        <v>744</v>
      </c>
      <c r="D843" s="1" t="s">
        <v>11</v>
      </c>
      <c r="E843" s="1" t="s">
        <v>23</v>
      </c>
      <c r="F843" s="1">
        <f t="shared" si="34"/>
        <v>680</v>
      </c>
      <c r="G843" s="12">
        <f t="shared" si="35"/>
        <v>109.41176470588236</v>
      </c>
    </row>
    <row r="844" spans="1:7" ht="13">
      <c r="A844" s="4" t="s">
        <v>115</v>
      </c>
      <c r="B844" s="1">
        <v>6.5</v>
      </c>
      <c r="C844" s="1">
        <v>580</v>
      </c>
      <c r="D844" s="1" t="s">
        <v>33</v>
      </c>
      <c r="E844" s="1" t="s">
        <v>15</v>
      </c>
      <c r="F844" s="1">
        <f t="shared" si="34"/>
        <v>650</v>
      </c>
      <c r="G844" s="12">
        <f t="shared" si="35"/>
        <v>89.230769230769226</v>
      </c>
    </row>
    <row r="845" spans="1:7" ht="13">
      <c r="A845" s="4" t="s">
        <v>115</v>
      </c>
      <c r="B845" s="1">
        <v>5</v>
      </c>
      <c r="C845" s="1">
        <v>514</v>
      </c>
      <c r="D845" s="1" t="s">
        <v>38</v>
      </c>
      <c r="E845" s="1" t="s">
        <v>7</v>
      </c>
      <c r="F845" s="1">
        <f t="shared" si="34"/>
        <v>500</v>
      </c>
      <c r="G845" s="12">
        <f t="shared" si="35"/>
        <v>102.8</v>
      </c>
    </row>
    <row r="846" spans="1:7" ht="13">
      <c r="A846" s="4" t="s">
        <v>115</v>
      </c>
      <c r="B846" s="1">
        <v>6.4</v>
      </c>
      <c r="C846" s="1">
        <v>564</v>
      </c>
      <c r="D846" s="1" t="s">
        <v>33</v>
      </c>
      <c r="E846" s="1" t="s">
        <v>26</v>
      </c>
      <c r="F846" s="1">
        <f t="shared" si="34"/>
        <v>640</v>
      </c>
      <c r="G846" s="12">
        <f t="shared" si="35"/>
        <v>88.125</v>
      </c>
    </row>
    <row r="847" spans="1:7" ht="13">
      <c r="A847" s="4" t="s">
        <v>115</v>
      </c>
      <c r="B847" s="1">
        <v>3</v>
      </c>
      <c r="C847" s="1">
        <v>314</v>
      </c>
      <c r="D847" s="1" t="s">
        <v>11</v>
      </c>
      <c r="E847" s="1" t="s">
        <v>25</v>
      </c>
      <c r="F847" s="1">
        <f t="shared" si="34"/>
        <v>300</v>
      </c>
      <c r="G847" s="12">
        <f t="shared" si="35"/>
        <v>104.66666666666667</v>
      </c>
    </row>
    <row r="848" spans="1:7" ht="13">
      <c r="A848" s="4" t="s">
        <v>115</v>
      </c>
      <c r="B848" s="1">
        <v>7.5</v>
      </c>
      <c r="C848" s="1">
        <v>634</v>
      </c>
      <c r="D848" s="1" t="s">
        <v>43</v>
      </c>
      <c r="E848" s="1" t="s">
        <v>24</v>
      </c>
      <c r="F848" s="1">
        <f t="shared" si="34"/>
        <v>750</v>
      </c>
      <c r="G848" s="12">
        <f t="shared" si="35"/>
        <v>84.533333333333331</v>
      </c>
    </row>
    <row r="849" spans="1:7" ht="13">
      <c r="A849" s="4" t="s">
        <v>115</v>
      </c>
      <c r="B849" s="1">
        <v>8.6999999999999993</v>
      </c>
      <c r="C849" s="1">
        <v>852</v>
      </c>
      <c r="D849" s="1" t="s">
        <v>44</v>
      </c>
      <c r="E849" s="1" t="s">
        <v>20</v>
      </c>
      <c r="F849" s="1">
        <f t="shared" si="34"/>
        <v>869.99999999999989</v>
      </c>
      <c r="G849" s="12">
        <f t="shared" si="35"/>
        <v>97.931034482758633</v>
      </c>
    </row>
    <row r="850" spans="1:7" ht="13">
      <c r="A850" s="4" t="s">
        <v>115</v>
      </c>
      <c r="B850" s="1">
        <v>7.74</v>
      </c>
      <c r="C850" s="1">
        <v>776</v>
      </c>
      <c r="D850" s="1" t="s">
        <v>11</v>
      </c>
      <c r="E850" s="1" t="s">
        <v>25</v>
      </c>
      <c r="F850" s="1">
        <f t="shared" si="34"/>
        <v>774</v>
      </c>
      <c r="G850" s="12">
        <f t="shared" si="35"/>
        <v>100.25839793281654</v>
      </c>
    </row>
    <row r="851" spans="1:7" ht="13">
      <c r="A851" s="4" t="s">
        <v>115</v>
      </c>
      <c r="B851" s="1">
        <v>4.2</v>
      </c>
      <c r="C851" s="1">
        <v>496</v>
      </c>
      <c r="D851" s="1" t="s">
        <v>11</v>
      </c>
      <c r="E851" s="1" t="s">
        <v>25</v>
      </c>
      <c r="F851" s="1">
        <f t="shared" si="34"/>
        <v>420</v>
      </c>
      <c r="G851" s="12">
        <f t="shared" si="35"/>
        <v>118.09523809523809</v>
      </c>
    </row>
    <row r="852" spans="1:7" ht="13">
      <c r="A852" s="4" t="s">
        <v>115</v>
      </c>
      <c r="B852" s="1">
        <v>7.74</v>
      </c>
      <c r="C852" s="1">
        <v>694</v>
      </c>
      <c r="D852" s="1" t="s">
        <v>33</v>
      </c>
      <c r="E852" s="1" t="s">
        <v>7</v>
      </c>
      <c r="F852" s="1">
        <f t="shared" si="34"/>
        <v>774</v>
      </c>
      <c r="G852" s="12">
        <f t="shared" si="35"/>
        <v>89.664082687338492</v>
      </c>
    </row>
    <row r="853" spans="1:7" ht="13">
      <c r="A853" s="4" t="s">
        <v>115</v>
      </c>
      <c r="B853" s="1">
        <v>6.4</v>
      </c>
      <c r="C853" s="1">
        <v>572.20000000000005</v>
      </c>
      <c r="D853" s="1" t="s">
        <v>35</v>
      </c>
      <c r="E853" s="1" t="s">
        <v>18</v>
      </c>
      <c r="F853" s="1">
        <f t="shared" si="34"/>
        <v>640</v>
      </c>
      <c r="G853" s="12">
        <f t="shared" si="35"/>
        <v>89.40625</v>
      </c>
    </row>
    <row r="854" spans="1:7" ht="13">
      <c r="A854" s="4" t="s">
        <v>115</v>
      </c>
      <c r="B854" s="1">
        <v>8.75</v>
      </c>
      <c r="C854" s="1">
        <v>896</v>
      </c>
      <c r="D854" s="1" t="s">
        <v>47</v>
      </c>
      <c r="E854" s="1" t="s">
        <v>31</v>
      </c>
      <c r="F854" s="1">
        <f t="shared" si="34"/>
        <v>875</v>
      </c>
      <c r="G854" s="12">
        <f t="shared" si="35"/>
        <v>102.4</v>
      </c>
    </row>
    <row r="855" spans="1:7" ht="13">
      <c r="A855" s="4" t="s">
        <v>115</v>
      </c>
      <c r="B855" s="1">
        <v>3.48</v>
      </c>
      <c r="C855" s="1">
        <v>338</v>
      </c>
      <c r="D855" s="1" t="s">
        <v>11</v>
      </c>
      <c r="E855" s="1" t="s">
        <v>7</v>
      </c>
      <c r="F855" s="1">
        <f t="shared" si="34"/>
        <v>348</v>
      </c>
      <c r="G855" s="12">
        <f t="shared" si="35"/>
        <v>97.1264367816092</v>
      </c>
    </row>
    <row r="856" spans="1:7" ht="13">
      <c r="A856" s="4" t="s">
        <v>115</v>
      </c>
      <c r="B856" s="1">
        <v>5</v>
      </c>
      <c r="C856" s="1">
        <v>503</v>
      </c>
      <c r="D856" s="1" t="s">
        <v>39</v>
      </c>
      <c r="E856" s="1" t="s">
        <v>22</v>
      </c>
      <c r="F856" s="1">
        <f t="shared" si="34"/>
        <v>500</v>
      </c>
      <c r="G856" s="12">
        <f t="shared" si="35"/>
        <v>100.6</v>
      </c>
    </row>
    <row r="857" spans="1:7" ht="13">
      <c r="A857" s="4" t="s">
        <v>115</v>
      </c>
      <c r="B857" s="1">
        <v>6</v>
      </c>
      <c r="C857" s="1">
        <v>504</v>
      </c>
      <c r="D857" s="1" t="s">
        <v>40</v>
      </c>
      <c r="E857" s="1" t="s">
        <v>8</v>
      </c>
      <c r="F857" s="1">
        <f t="shared" si="34"/>
        <v>600</v>
      </c>
      <c r="G857" s="12">
        <f t="shared" si="35"/>
        <v>84</v>
      </c>
    </row>
    <row r="858" spans="1:7" ht="13">
      <c r="A858" s="4" t="s">
        <v>115</v>
      </c>
      <c r="B858" s="1">
        <v>7.56</v>
      </c>
      <c r="C858" s="1">
        <v>841</v>
      </c>
      <c r="D858" s="1" t="s">
        <v>11</v>
      </c>
      <c r="E858" s="1" t="s">
        <v>7</v>
      </c>
      <c r="F858" s="1">
        <f t="shared" si="34"/>
        <v>756</v>
      </c>
      <c r="G858" s="12">
        <f t="shared" si="35"/>
        <v>111.24338624338625</v>
      </c>
    </row>
    <row r="859" spans="1:7" ht="13">
      <c r="A859" s="4" t="s">
        <v>115</v>
      </c>
      <c r="B859" s="1">
        <v>6.4</v>
      </c>
      <c r="C859" s="1">
        <v>664</v>
      </c>
      <c r="D859" s="1" t="s">
        <v>11</v>
      </c>
      <c r="E859" s="1" t="s">
        <v>8</v>
      </c>
      <c r="F859" s="1">
        <f t="shared" si="34"/>
        <v>640</v>
      </c>
      <c r="G859" s="12">
        <f t="shared" si="35"/>
        <v>103.75</v>
      </c>
    </row>
    <row r="860" spans="1:7" ht="13">
      <c r="A860" s="4" t="s">
        <v>115</v>
      </c>
      <c r="B860" s="1">
        <v>7.4</v>
      </c>
      <c r="C860" s="1">
        <v>768</v>
      </c>
      <c r="D860" s="1" t="s">
        <v>11</v>
      </c>
      <c r="E860" s="1" t="s">
        <v>17</v>
      </c>
      <c r="F860" s="1">
        <f t="shared" si="34"/>
        <v>740</v>
      </c>
      <c r="G860" s="12">
        <f t="shared" si="35"/>
        <v>103.78378378378378</v>
      </c>
    </row>
    <row r="861" spans="1:7" ht="13">
      <c r="A861" s="4" t="s">
        <v>115</v>
      </c>
      <c r="B861" s="1">
        <v>6</v>
      </c>
      <c r="C861" s="1">
        <v>634</v>
      </c>
      <c r="D861" s="1" t="s">
        <v>11</v>
      </c>
      <c r="E861" s="1" t="s">
        <v>10</v>
      </c>
      <c r="F861" s="1">
        <f t="shared" si="34"/>
        <v>600</v>
      </c>
      <c r="G861" s="12">
        <f t="shared" si="35"/>
        <v>105.66666666666667</v>
      </c>
    </row>
    <row r="862" spans="1:7" ht="13">
      <c r="A862" s="4" t="s">
        <v>115</v>
      </c>
      <c r="B862" s="1">
        <v>7</v>
      </c>
      <c r="C862" s="1">
        <v>621</v>
      </c>
      <c r="D862" s="1" t="s">
        <v>33</v>
      </c>
      <c r="E862" s="1" t="s">
        <v>20</v>
      </c>
      <c r="F862" s="1">
        <f t="shared" si="34"/>
        <v>700</v>
      </c>
      <c r="G862" s="12">
        <f t="shared" si="35"/>
        <v>88.714285714285708</v>
      </c>
    </row>
    <row r="863" spans="1:7" ht="13">
      <c r="A863" s="4" t="s">
        <v>115</v>
      </c>
      <c r="B863" s="1">
        <v>7.2</v>
      </c>
      <c r="C863" s="1">
        <v>713</v>
      </c>
      <c r="D863" s="1" t="s">
        <v>47</v>
      </c>
      <c r="E863" s="1" t="s">
        <v>17</v>
      </c>
      <c r="F863" s="1">
        <f t="shared" si="34"/>
        <v>720</v>
      </c>
      <c r="G863" s="12">
        <f t="shared" si="35"/>
        <v>99.027777777777771</v>
      </c>
    </row>
    <row r="864" spans="1:7" ht="13">
      <c r="A864" s="4" t="s">
        <v>115</v>
      </c>
      <c r="B864" s="1">
        <v>5.8</v>
      </c>
      <c r="C864" s="1">
        <v>540</v>
      </c>
      <c r="D864" s="1" t="s">
        <v>11</v>
      </c>
      <c r="E864" s="1" t="s">
        <v>16</v>
      </c>
      <c r="F864" s="1">
        <f t="shared" si="34"/>
        <v>580</v>
      </c>
      <c r="G864" s="12">
        <f t="shared" si="35"/>
        <v>93.103448275862078</v>
      </c>
    </row>
    <row r="865" spans="1:7" ht="13">
      <c r="A865" s="4" t="s">
        <v>115</v>
      </c>
      <c r="B865" s="1">
        <v>5.0999999999999996</v>
      </c>
      <c r="C865" s="1">
        <v>450</v>
      </c>
      <c r="D865" s="1" t="s">
        <v>40</v>
      </c>
      <c r="E865" s="1" t="s">
        <v>15</v>
      </c>
      <c r="F865" s="1">
        <f t="shared" si="34"/>
        <v>509.99999999999994</v>
      </c>
      <c r="G865" s="12">
        <f t="shared" si="35"/>
        <v>88.235294117647058</v>
      </c>
    </row>
    <row r="866" spans="1:7" ht="13">
      <c r="A866" s="4" t="s">
        <v>115</v>
      </c>
      <c r="B866" s="1">
        <v>4.62</v>
      </c>
      <c r="C866" s="1">
        <v>459</v>
      </c>
      <c r="D866" s="1" t="s">
        <v>33</v>
      </c>
      <c r="E866" s="1" t="s">
        <v>15</v>
      </c>
      <c r="F866" s="1">
        <f t="shared" si="34"/>
        <v>462</v>
      </c>
      <c r="G866" s="12">
        <f t="shared" si="35"/>
        <v>99.350649350649348</v>
      </c>
    </row>
    <row r="867" spans="1:7" ht="13">
      <c r="A867" s="4" t="s">
        <v>115</v>
      </c>
      <c r="B867" s="1">
        <v>8.5</v>
      </c>
      <c r="C867" s="1">
        <v>764</v>
      </c>
      <c r="D867" s="1" t="s">
        <v>11</v>
      </c>
      <c r="E867" s="1" t="s">
        <v>12</v>
      </c>
      <c r="F867" s="1">
        <f t="shared" si="34"/>
        <v>850</v>
      </c>
      <c r="G867" s="12">
        <f t="shared" si="35"/>
        <v>89.882352941176464</v>
      </c>
    </row>
    <row r="868" spans="1:7" ht="13">
      <c r="A868" s="4" t="s">
        <v>115</v>
      </c>
      <c r="B868" s="1">
        <v>8</v>
      </c>
      <c r="C868" s="1">
        <v>758</v>
      </c>
      <c r="D868" s="1" t="s">
        <v>11</v>
      </c>
      <c r="E868" s="1" t="s">
        <v>28</v>
      </c>
      <c r="F868" s="1">
        <f t="shared" si="34"/>
        <v>800</v>
      </c>
      <c r="G868" s="12">
        <f t="shared" si="35"/>
        <v>94.75</v>
      </c>
    </row>
    <row r="869" spans="1:7" ht="13">
      <c r="A869" s="4" t="s">
        <v>115</v>
      </c>
      <c r="B869" s="1">
        <v>6.96</v>
      </c>
      <c r="C869" s="1">
        <v>727</v>
      </c>
      <c r="D869" s="1" t="s">
        <v>11</v>
      </c>
      <c r="E869" s="1" t="s">
        <v>26</v>
      </c>
      <c r="F869" s="1">
        <f t="shared" si="34"/>
        <v>696</v>
      </c>
      <c r="G869" s="12">
        <f t="shared" si="35"/>
        <v>104.45402298850574</v>
      </c>
    </row>
    <row r="870" spans="1:7" ht="13">
      <c r="A870" s="4" t="s">
        <v>115</v>
      </c>
      <c r="B870" s="1">
        <v>10.199999999999999</v>
      </c>
      <c r="C870" s="1">
        <v>850</v>
      </c>
      <c r="D870" s="1" t="s">
        <v>11</v>
      </c>
      <c r="E870" s="1" t="s">
        <v>7</v>
      </c>
      <c r="F870" s="1">
        <f t="shared" si="34"/>
        <v>1019.9999999999999</v>
      </c>
      <c r="G870" s="12">
        <f t="shared" si="35"/>
        <v>83.333333333333343</v>
      </c>
    </row>
    <row r="871" spans="1:7" ht="13">
      <c r="A871" s="4" t="s">
        <v>115</v>
      </c>
      <c r="B871" s="1">
        <v>6.5</v>
      </c>
      <c r="C871" s="1">
        <v>610</v>
      </c>
      <c r="D871" s="1" t="s">
        <v>43</v>
      </c>
      <c r="E871" s="1" t="s">
        <v>30</v>
      </c>
      <c r="F871" s="1">
        <f t="shared" si="34"/>
        <v>650</v>
      </c>
      <c r="G871" s="12">
        <f t="shared" si="35"/>
        <v>93.84615384615384</v>
      </c>
    </row>
    <row r="872" spans="1:7" ht="13">
      <c r="A872" s="4" t="s">
        <v>115</v>
      </c>
      <c r="B872" s="1">
        <v>7.8</v>
      </c>
      <c r="C872" s="1">
        <v>654</v>
      </c>
      <c r="D872" s="1" t="s">
        <v>11</v>
      </c>
      <c r="E872" s="1" t="s">
        <v>8</v>
      </c>
      <c r="F872" s="1">
        <f t="shared" si="34"/>
        <v>780</v>
      </c>
      <c r="G872" s="12">
        <f t="shared" si="35"/>
        <v>83.846153846153854</v>
      </c>
    </row>
    <row r="873" spans="1:7" ht="13">
      <c r="A873" s="4" t="s">
        <v>115</v>
      </c>
      <c r="B873" s="1">
        <v>7.29</v>
      </c>
      <c r="C873" s="1">
        <v>762</v>
      </c>
      <c r="D873" s="1" t="s">
        <v>11</v>
      </c>
      <c r="E873" s="1" t="s">
        <v>27</v>
      </c>
      <c r="F873" s="1">
        <f t="shared" si="34"/>
        <v>729</v>
      </c>
      <c r="G873" s="12">
        <f t="shared" si="35"/>
        <v>104.52674897119341</v>
      </c>
    </row>
    <row r="874" spans="1:7" ht="13">
      <c r="A874" s="4" t="s">
        <v>115</v>
      </c>
      <c r="B874" s="1">
        <v>6.4</v>
      </c>
      <c r="C874" s="1">
        <v>698</v>
      </c>
      <c r="D874" s="1" t="s">
        <v>11</v>
      </c>
      <c r="E874" s="1" t="s">
        <v>26</v>
      </c>
      <c r="F874" s="1">
        <f t="shared" si="34"/>
        <v>640</v>
      </c>
      <c r="G874" s="12">
        <f t="shared" si="35"/>
        <v>109.0625</v>
      </c>
    </row>
    <row r="875" spans="1:7" ht="13">
      <c r="A875" s="4" t="s">
        <v>115</v>
      </c>
      <c r="B875" s="1">
        <v>7.4</v>
      </c>
      <c r="C875" s="1">
        <v>634</v>
      </c>
      <c r="D875" s="1" t="s">
        <v>33</v>
      </c>
      <c r="E875" s="1" t="s">
        <v>22</v>
      </c>
      <c r="F875" s="1">
        <f t="shared" si="34"/>
        <v>740</v>
      </c>
      <c r="G875" s="12">
        <f t="shared" si="35"/>
        <v>85.675675675675677</v>
      </c>
    </row>
    <row r="876" spans="1:7" ht="13">
      <c r="A876" s="4" t="s">
        <v>115</v>
      </c>
      <c r="B876" s="1">
        <v>8.6</v>
      </c>
      <c r="C876" s="1">
        <v>780</v>
      </c>
      <c r="D876" s="1" t="s">
        <v>11</v>
      </c>
      <c r="E876" s="1" t="s">
        <v>68</v>
      </c>
      <c r="F876" s="1">
        <f t="shared" si="34"/>
        <v>860</v>
      </c>
      <c r="G876" s="12">
        <f t="shared" si="35"/>
        <v>90.697674418604649</v>
      </c>
    </row>
    <row r="877" spans="1:7" ht="13">
      <c r="A877" s="4" t="s">
        <v>115</v>
      </c>
      <c r="B877" s="1">
        <v>4</v>
      </c>
      <c r="C877" s="1">
        <v>400</v>
      </c>
      <c r="D877" s="1" t="s">
        <v>47</v>
      </c>
      <c r="E877" s="1" t="s">
        <v>31</v>
      </c>
      <c r="F877" s="1">
        <f t="shared" si="34"/>
        <v>400</v>
      </c>
      <c r="G877" s="12">
        <f t="shared" si="35"/>
        <v>100</v>
      </c>
    </row>
    <row r="878" spans="1:7" ht="13">
      <c r="A878" s="4" t="s">
        <v>115</v>
      </c>
      <c r="B878" s="1">
        <v>9.1999999999999993</v>
      </c>
      <c r="C878" s="1">
        <v>793</v>
      </c>
      <c r="D878" s="1" t="s">
        <v>33</v>
      </c>
      <c r="E878" s="1" t="s">
        <v>20</v>
      </c>
      <c r="F878" s="1">
        <f t="shared" si="34"/>
        <v>919.99999999999989</v>
      </c>
      <c r="G878" s="12">
        <f t="shared" si="35"/>
        <v>86.195652173913047</v>
      </c>
    </row>
    <row r="879" spans="1:7" ht="13">
      <c r="A879" s="4" t="s">
        <v>115</v>
      </c>
      <c r="B879" s="1">
        <v>7.7</v>
      </c>
      <c r="C879" s="1">
        <v>715</v>
      </c>
      <c r="D879" s="1" t="s">
        <v>33</v>
      </c>
      <c r="E879" s="1" t="s">
        <v>16</v>
      </c>
      <c r="F879" s="1">
        <f t="shared" si="34"/>
        <v>770</v>
      </c>
      <c r="G879" s="12">
        <f t="shared" si="35"/>
        <v>92.857142857142861</v>
      </c>
    </row>
    <row r="880" spans="1:7" ht="13">
      <c r="A880" s="4" t="s">
        <v>115</v>
      </c>
      <c r="B880" s="1">
        <v>7.4</v>
      </c>
      <c r="C880" s="1">
        <v>782</v>
      </c>
      <c r="D880" s="1" t="s">
        <v>84</v>
      </c>
      <c r="E880" s="1" t="s">
        <v>10</v>
      </c>
      <c r="F880" s="1">
        <f t="shared" si="34"/>
        <v>740</v>
      </c>
      <c r="G880" s="12">
        <f t="shared" si="35"/>
        <v>105.67567567567568</v>
      </c>
    </row>
    <row r="881" spans="1:7" ht="13">
      <c r="A881" s="4" t="s">
        <v>115</v>
      </c>
      <c r="B881" s="1">
        <v>7.74</v>
      </c>
      <c r="C881" s="1">
        <v>749.68</v>
      </c>
      <c r="D881" s="1" t="s">
        <v>43</v>
      </c>
      <c r="E881" s="1" t="s">
        <v>25</v>
      </c>
      <c r="F881" s="1">
        <f t="shared" si="34"/>
        <v>774</v>
      </c>
      <c r="G881" s="12">
        <f t="shared" si="35"/>
        <v>96.857881136950894</v>
      </c>
    </row>
    <row r="882" spans="1:7" ht="13">
      <c r="A882" s="4" t="s">
        <v>115</v>
      </c>
      <c r="B882" s="1">
        <v>6</v>
      </c>
      <c r="C882" s="1">
        <v>603</v>
      </c>
      <c r="D882" s="1" t="s">
        <v>11</v>
      </c>
      <c r="E882" s="1" t="s">
        <v>26</v>
      </c>
      <c r="F882" s="1">
        <f t="shared" si="34"/>
        <v>600</v>
      </c>
      <c r="G882" s="12">
        <f t="shared" si="35"/>
        <v>100.5</v>
      </c>
    </row>
    <row r="883" spans="1:7" ht="13">
      <c r="A883" s="4" t="s">
        <v>115</v>
      </c>
      <c r="B883" s="1">
        <v>3.24</v>
      </c>
      <c r="C883" s="1">
        <v>273</v>
      </c>
      <c r="D883" s="1" t="s">
        <v>40</v>
      </c>
      <c r="E883" s="1" t="s">
        <v>20</v>
      </c>
      <c r="F883" s="1">
        <f t="shared" si="34"/>
        <v>324</v>
      </c>
      <c r="G883" s="12">
        <f t="shared" si="35"/>
        <v>84.259259259259252</v>
      </c>
    </row>
    <row r="884" spans="1:7" ht="13">
      <c r="A884" s="4" t="s">
        <v>115</v>
      </c>
      <c r="B884" s="1">
        <v>6.88</v>
      </c>
      <c r="C884" s="1">
        <v>618</v>
      </c>
      <c r="D884" s="1" t="s">
        <v>33</v>
      </c>
      <c r="E884" s="1" t="s">
        <v>17</v>
      </c>
      <c r="F884" s="1">
        <f t="shared" si="34"/>
        <v>688</v>
      </c>
      <c r="G884" s="12">
        <f t="shared" si="35"/>
        <v>89.825581395348834</v>
      </c>
    </row>
    <row r="885" spans="1:7" ht="13">
      <c r="A885" s="4" t="s">
        <v>115</v>
      </c>
      <c r="B885" s="1">
        <v>9.5</v>
      </c>
      <c r="C885" s="1">
        <v>925</v>
      </c>
      <c r="D885" s="1" t="s">
        <v>11</v>
      </c>
      <c r="E885" s="1" t="s">
        <v>31</v>
      </c>
      <c r="F885" s="1">
        <f t="shared" si="34"/>
        <v>950</v>
      </c>
      <c r="G885" s="12">
        <f t="shared" si="35"/>
        <v>97.368421052631575</v>
      </c>
    </row>
    <row r="886" spans="1:7" ht="13">
      <c r="A886" s="4" t="s">
        <v>115</v>
      </c>
      <c r="B886" s="1">
        <v>8.6</v>
      </c>
      <c r="C886" s="1">
        <v>856</v>
      </c>
      <c r="D886" s="1" t="s">
        <v>11</v>
      </c>
      <c r="E886" s="1" t="s">
        <v>19</v>
      </c>
      <c r="F886" s="1">
        <f t="shared" si="34"/>
        <v>860</v>
      </c>
      <c r="G886" s="12">
        <f t="shared" si="35"/>
        <v>99.534883720930239</v>
      </c>
    </row>
    <row r="887" spans="1:7" ht="13">
      <c r="A887" s="4" t="s">
        <v>115</v>
      </c>
      <c r="B887" s="1">
        <v>5.88</v>
      </c>
      <c r="C887" s="1">
        <v>495</v>
      </c>
      <c r="D887" s="1" t="s">
        <v>39</v>
      </c>
      <c r="E887" s="1" t="s">
        <v>22</v>
      </c>
      <c r="F887" s="1">
        <f t="shared" si="34"/>
        <v>588</v>
      </c>
      <c r="G887" s="12">
        <f t="shared" si="35"/>
        <v>84.183673469387756</v>
      </c>
    </row>
    <row r="888" spans="1:7" ht="13">
      <c r="A888" s="4" t="s">
        <v>115</v>
      </c>
      <c r="B888" s="1">
        <v>4</v>
      </c>
      <c r="C888" s="1">
        <v>359</v>
      </c>
      <c r="D888" s="1" t="s">
        <v>43</v>
      </c>
      <c r="E888" s="1" t="s">
        <v>20</v>
      </c>
      <c r="F888" s="1">
        <f t="shared" si="34"/>
        <v>400</v>
      </c>
      <c r="G888" s="12">
        <f t="shared" si="35"/>
        <v>89.75</v>
      </c>
    </row>
    <row r="889" spans="1:7" ht="13">
      <c r="A889" s="4" t="s">
        <v>115</v>
      </c>
      <c r="B889" s="1">
        <v>6.02</v>
      </c>
      <c r="C889" s="1">
        <v>628</v>
      </c>
      <c r="D889" s="1" t="s">
        <v>43</v>
      </c>
      <c r="E889" s="1" t="s">
        <v>8</v>
      </c>
      <c r="F889" s="1">
        <f t="shared" si="34"/>
        <v>602</v>
      </c>
      <c r="G889" s="12">
        <f t="shared" si="35"/>
        <v>104.31893687707642</v>
      </c>
    </row>
    <row r="890" spans="1:7" ht="13">
      <c r="A890" s="4" t="s">
        <v>115</v>
      </c>
      <c r="B890" s="1">
        <v>6525</v>
      </c>
      <c r="C890" s="1">
        <v>797</v>
      </c>
      <c r="D890" s="1" t="s">
        <v>11</v>
      </c>
      <c r="E890" s="1" t="s">
        <v>8</v>
      </c>
      <c r="F890" s="1">
        <f t="shared" si="34"/>
        <v>652500</v>
      </c>
      <c r="G890" s="12">
        <f t="shared" si="35"/>
        <v>0.1221455938697318</v>
      </c>
    </row>
    <row r="891" spans="1:7" ht="13">
      <c r="A891" s="4" t="s">
        <v>115</v>
      </c>
      <c r="B891" s="1">
        <v>7.05</v>
      </c>
      <c r="C891" s="1">
        <v>681</v>
      </c>
      <c r="D891" s="1" t="s">
        <v>36</v>
      </c>
      <c r="E891" s="1" t="s">
        <v>15</v>
      </c>
      <c r="F891" s="1">
        <f t="shared" si="34"/>
        <v>705</v>
      </c>
      <c r="G891" s="12">
        <f t="shared" si="35"/>
        <v>96.59574468085107</v>
      </c>
    </row>
    <row r="892" spans="1:7" ht="13">
      <c r="A892" s="4" t="s">
        <v>115</v>
      </c>
      <c r="B892" s="1">
        <v>6.88</v>
      </c>
      <c r="C892" s="1">
        <v>702.21</v>
      </c>
      <c r="D892" s="1" t="s">
        <v>38</v>
      </c>
      <c r="E892" s="1" t="s">
        <v>7</v>
      </c>
      <c r="F892" s="1">
        <f t="shared" si="34"/>
        <v>688</v>
      </c>
      <c r="G892" s="12">
        <f t="shared" si="35"/>
        <v>102.0654069767442</v>
      </c>
    </row>
    <row r="893" spans="1:7" ht="13">
      <c r="A893" s="4" t="s">
        <v>115</v>
      </c>
      <c r="B893" s="1">
        <v>6.5</v>
      </c>
      <c r="C893" s="1">
        <v>650</v>
      </c>
      <c r="D893" s="1" t="s">
        <v>11</v>
      </c>
      <c r="E893" s="1" t="s">
        <v>17</v>
      </c>
      <c r="F893" s="1">
        <f t="shared" si="34"/>
        <v>650</v>
      </c>
      <c r="G893" s="12">
        <f t="shared" si="35"/>
        <v>100</v>
      </c>
    </row>
    <row r="894" spans="1:7" ht="13">
      <c r="A894" s="4" t="s">
        <v>115</v>
      </c>
      <c r="B894" s="1">
        <v>7.8</v>
      </c>
      <c r="C894" s="1">
        <v>774</v>
      </c>
      <c r="D894" s="1" t="s">
        <v>11</v>
      </c>
      <c r="E894" s="1" t="s">
        <v>23</v>
      </c>
      <c r="F894" s="1">
        <f t="shared" si="34"/>
        <v>780</v>
      </c>
      <c r="G894" s="12">
        <f t="shared" si="35"/>
        <v>99.230769230769226</v>
      </c>
    </row>
    <row r="895" spans="1:7" ht="13">
      <c r="A895" s="4" t="s">
        <v>115</v>
      </c>
      <c r="B895" s="1">
        <v>7.56</v>
      </c>
      <c r="C895" s="1">
        <v>741</v>
      </c>
      <c r="D895" s="1" t="s">
        <v>11</v>
      </c>
      <c r="E895" s="1" t="s">
        <v>25</v>
      </c>
      <c r="F895" s="1">
        <f t="shared" si="34"/>
        <v>756</v>
      </c>
      <c r="G895" s="12">
        <f t="shared" si="35"/>
        <v>98.015873015873026</v>
      </c>
    </row>
    <row r="896" spans="1:7" ht="13">
      <c r="A896" s="4" t="s">
        <v>115</v>
      </c>
      <c r="B896" s="1">
        <v>8.5050000000000008</v>
      </c>
      <c r="C896" s="1">
        <v>751</v>
      </c>
      <c r="D896" s="1" t="s">
        <v>39</v>
      </c>
      <c r="E896" s="1" t="s">
        <v>20</v>
      </c>
      <c r="F896" s="1">
        <f t="shared" si="34"/>
        <v>850.50000000000011</v>
      </c>
      <c r="G896" s="12">
        <f t="shared" si="35"/>
        <v>88.300999412110514</v>
      </c>
    </row>
    <row r="897" spans="1:7" ht="13">
      <c r="A897" s="4" t="s">
        <v>115</v>
      </c>
      <c r="B897" s="1">
        <v>6.44</v>
      </c>
      <c r="C897" s="1">
        <v>690</v>
      </c>
      <c r="D897" s="1" t="s">
        <v>47</v>
      </c>
      <c r="E897" s="1" t="s">
        <v>22</v>
      </c>
      <c r="F897" s="1">
        <f t="shared" si="34"/>
        <v>644</v>
      </c>
      <c r="G897" s="12">
        <f t="shared" si="35"/>
        <v>107.14285714285714</v>
      </c>
    </row>
    <row r="898" spans="1:7" ht="13">
      <c r="A898" s="4" t="s">
        <v>115</v>
      </c>
      <c r="B898" s="1">
        <v>5.46</v>
      </c>
      <c r="C898" s="1">
        <v>498</v>
      </c>
      <c r="D898" s="1" t="s">
        <v>45</v>
      </c>
      <c r="E898" s="1" t="s">
        <v>14</v>
      </c>
      <c r="F898" s="1">
        <f t="shared" si="34"/>
        <v>546</v>
      </c>
      <c r="G898" s="12">
        <f t="shared" si="35"/>
        <v>91.208791208791212</v>
      </c>
    </row>
    <row r="899" spans="1:7" ht="13">
      <c r="A899" s="4" t="s">
        <v>115</v>
      </c>
      <c r="B899" s="1">
        <v>5.6</v>
      </c>
      <c r="C899" s="1">
        <v>537</v>
      </c>
      <c r="D899" s="1" t="s">
        <v>11</v>
      </c>
      <c r="E899" s="1" t="s">
        <v>68</v>
      </c>
      <c r="F899" s="1">
        <f t="shared" ref="F899:F962" si="36">B899*100</f>
        <v>560</v>
      </c>
      <c r="G899" s="12">
        <f t="shared" ref="G899:G962" si="37">C899/B899</f>
        <v>95.892857142857153</v>
      </c>
    </row>
    <row r="900" spans="1:7" ht="13">
      <c r="A900" s="4" t="s">
        <v>115</v>
      </c>
      <c r="B900" s="1">
        <v>6.45</v>
      </c>
      <c r="C900" s="1">
        <v>529</v>
      </c>
      <c r="D900" s="1" t="s">
        <v>33</v>
      </c>
      <c r="E900" s="1" t="s">
        <v>8</v>
      </c>
      <c r="F900" s="1">
        <f t="shared" si="36"/>
        <v>645</v>
      </c>
      <c r="G900" s="12">
        <f t="shared" si="37"/>
        <v>82.015503875968989</v>
      </c>
    </row>
    <row r="901" spans="1:7" ht="13">
      <c r="A901" s="4" t="s">
        <v>115</v>
      </c>
      <c r="B901" s="1">
        <v>3.1</v>
      </c>
      <c r="C901" s="1">
        <v>302</v>
      </c>
      <c r="D901" s="1" t="s">
        <v>11</v>
      </c>
      <c r="E901" s="1" t="s">
        <v>31</v>
      </c>
      <c r="F901" s="1">
        <f t="shared" si="36"/>
        <v>310</v>
      </c>
      <c r="G901" s="12">
        <f t="shared" si="37"/>
        <v>97.41935483870968</v>
      </c>
    </row>
    <row r="902" spans="1:7" ht="13">
      <c r="A902" s="4" t="s">
        <v>115</v>
      </c>
      <c r="B902" s="1">
        <v>9.3000000000000007</v>
      </c>
      <c r="C902" s="1">
        <v>876</v>
      </c>
      <c r="D902" s="1" t="s">
        <v>11</v>
      </c>
      <c r="E902" s="1" t="s">
        <v>20</v>
      </c>
      <c r="F902" s="1">
        <f t="shared" si="36"/>
        <v>930.00000000000011</v>
      </c>
      <c r="G902" s="12">
        <f t="shared" si="37"/>
        <v>94.193548387096769</v>
      </c>
    </row>
    <row r="903" spans="1:7" ht="13">
      <c r="A903" s="4" t="s">
        <v>115</v>
      </c>
      <c r="B903" s="1">
        <v>7.3</v>
      </c>
      <c r="C903" s="1">
        <v>22</v>
      </c>
      <c r="D903" s="1" t="s">
        <v>11</v>
      </c>
      <c r="E903" s="1" t="s">
        <v>16</v>
      </c>
      <c r="F903" s="1">
        <f t="shared" si="36"/>
        <v>730</v>
      </c>
      <c r="G903" s="12">
        <f t="shared" si="37"/>
        <v>3.0136986301369864</v>
      </c>
    </row>
    <row r="904" spans="1:7" ht="13">
      <c r="A904" s="4" t="s">
        <v>115</v>
      </c>
      <c r="B904" s="1">
        <v>4.2</v>
      </c>
      <c r="C904" s="1">
        <v>482</v>
      </c>
      <c r="D904" s="1" t="s">
        <v>11</v>
      </c>
      <c r="E904" s="1" t="s">
        <v>15</v>
      </c>
      <c r="F904" s="1">
        <f t="shared" si="36"/>
        <v>420</v>
      </c>
      <c r="G904" s="12">
        <f t="shared" si="37"/>
        <v>114.76190476190476</v>
      </c>
    </row>
    <row r="905" spans="1:7" ht="13">
      <c r="A905" s="4" t="s">
        <v>115</v>
      </c>
      <c r="B905" s="1">
        <v>5.2</v>
      </c>
      <c r="C905" s="1">
        <v>492</v>
      </c>
      <c r="D905" s="1" t="s">
        <v>11</v>
      </c>
      <c r="E905" s="1" t="s">
        <v>8</v>
      </c>
      <c r="F905" s="1">
        <f t="shared" si="36"/>
        <v>520</v>
      </c>
      <c r="G905" s="12">
        <f t="shared" si="37"/>
        <v>94.615384615384613</v>
      </c>
    </row>
    <row r="906" spans="1:7" ht="13">
      <c r="A906" s="4" t="s">
        <v>115</v>
      </c>
      <c r="B906" s="1">
        <v>8.64</v>
      </c>
      <c r="C906" s="1">
        <v>870</v>
      </c>
      <c r="D906" s="1" t="s">
        <v>11</v>
      </c>
      <c r="E906" s="1" t="s">
        <v>9</v>
      </c>
      <c r="F906" s="1">
        <f t="shared" si="36"/>
        <v>864</v>
      </c>
      <c r="G906" s="12">
        <f t="shared" si="37"/>
        <v>100.69444444444444</v>
      </c>
    </row>
    <row r="907" spans="1:7" ht="13">
      <c r="A907" s="4" t="s">
        <v>115</v>
      </c>
      <c r="B907" s="1">
        <v>6</v>
      </c>
      <c r="C907" s="1">
        <v>449</v>
      </c>
      <c r="D907" s="1" t="s">
        <v>53</v>
      </c>
      <c r="E907" s="1" t="s">
        <v>49</v>
      </c>
      <c r="F907" s="1">
        <f t="shared" si="36"/>
        <v>600</v>
      </c>
      <c r="G907" s="12">
        <f t="shared" si="37"/>
        <v>74.833333333333329</v>
      </c>
    </row>
    <row r="908" spans="1:7" ht="13">
      <c r="A908" s="4" t="s">
        <v>115</v>
      </c>
      <c r="B908" s="1">
        <v>7.74</v>
      </c>
      <c r="C908" s="1">
        <v>752</v>
      </c>
      <c r="D908" s="1" t="s">
        <v>53</v>
      </c>
      <c r="E908" s="1" t="s">
        <v>31</v>
      </c>
      <c r="F908" s="1">
        <f t="shared" si="36"/>
        <v>774</v>
      </c>
      <c r="G908" s="12">
        <f t="shared" si="37"/>
        <v>97.15762273901808</v>
      </c>
    </row>
    <row r="909" spans="1:7" ht="13">
      <c r="A909" s="4" t="s">
        <v>115</v>
      </c>
      <c r="B909" s="1">
        <v>3.2</v>
      </c>
      <c r="C909" s="1">
        <v>75.900000000000006</v>
      </c>
      <c r="D909" s="1" t="s">
        <v>66</v>
      </c>
      <c r="E909" s="1" t="s">
        <v>22</v>
      </c>
      <c r="F909" s="1">
        <f t="shared" si="36"/>
        <v>320</v>
      </c>
      <c r="G909" s="12">
        <f t="shared" si="37"/>
        <v>23.71875</v>
      </c>
    </row>
    <row r="910" spans="1:7" ht="13">
      <c r="A910" s="4" t="s">
        <v>115</v>
      </c>
      <c r="B910" s="1">
        <v>7.8</v>
      </c>
      <c r="C910" s="1">
        <v>681</v>
      </c>
      <c r="D910" s="1" t="s">
        <v>33</v>
      </c>
      <c r="E910" s="1" t="s">
        <v>24</v>
      </c>
      <c r="F910" s="1">
        <f t="shared" si="36"/>
        <v>780</v>
      </c>
      <c r="G910" s="12">
        <f t="shared" si="37"/>
        <v>87.307692307692307</v>
      </c>
    </row>
    <row r="911" spans="1:7" ht="13">
      <c r="A911" s="4" t="s">
        <v>115</v>
      </c>
      <c r="B911" s="1">
        <v>8.1</v>
      </c>
      <c r="C911" s="1">
        <v>760</v>
      </c>
      <c r="D911" s="1" t="s">
        <v>39</v>
      </c>
      <c r="E911" s="1" t="s">
        <v>17</v>
      </c>
      <c r="F911" s="1">
        <f t="shared" si="36"/>
        <v>810</v>
      </c>
      <c r="G911" s="12">
        <f t="shared" si="37"/>
        <v>93.827160493827165</v>
      </c>
    </row>
    <row r="912" spans="1:7" ht="13">
      <c r="A912" s="4" t="s">
        <v>115</v>
      </c>
      <c r="B912" s="1">
        <v>9.1999999999999993</v>
      </c>
      <c r="C912" s="1">
        <v>801</v>
      </c>
      <c r="D912" s="1" t="s">
        <v>33</v>
      </c>
      <c r="E912" s="1" t="s">
        <v>15</v>
      </c>
      <c r="F912" s="1">
        <f t="shared" si="36"/>
        <v>919.99999999999989</v>
      </c>
      <c r="G912" s="12">
        <f t="shared" si="37"/>
        <v>87.065217391304358</v>
      </c>
    </row>
    <row r="913" spans="1:7" ht="13">
      <c r="A913" s="4" t="s">
        <v>115</v>
      </c>
      <c r="B913" s="1">
        <v>8</v>
      </c>
      <c r="C913" s="1">
        <v>623</v>
      </c>
      <c r="D913" s="1" t="s">
        <v>11</v>
      </c>
      <c r="E913" s="1" t="s">
        <v>22</v>
      </c>
      <c r="F913" s="1">
        <f t="shared" si="36"/>
        <v>800</v>
      </c>
      <c r="G913" s="12">
        <f t="shared" si="37"/>
        <v>77.875</v>
      </c>
    </row>
    <row r="914" spans="1:7" ht="13">
      <c r="A914" s="4" t="s">
        <v>115</v>
      </c>
      <c r="B914" s="1">
        <v>8.8000000000000007</v>
      </c>
      <c r="C914" s="1">
        <v>621</v>
      </c>
      <c r="D914" s="1" t="s">
        <v>44</v>
      </c>
      <c r="E914" s="1" t="s">
        <v>25</v>
      </c>
      <c r="F914" s="1">
        <f t="shared" si="36"/>
        <v>880.00000000000011</v>
      </c>
      <c r="G914" s="12">
        <f t="shared" si="37"/>
        <v>70.568181818181813</v>
      </c>
    </row>
    <row r="915" spans="1:7" ht="13">
      <c r="A915" s="4" t="s">
        <v>115</v>
      </c>
      <c r="B915" s="1">
        <v>8.8000000000000007</v>
      </c>
      <c r="C915" s="1">
        <v>777</v>
      </c>
      <c r="D915" s="1" t="s">
        <v>47</v>
      </c>
      <c r="E915" s="1" t="s">
        <v>30</v>
      </c>
      <c r="F915" s="1">
        <f t="shared" si="36"/>
        <v>880.00000000000011</v>
      </c>
      <c r="G915" s="12">
        <f t="shared" si="37"/>
        <v>88.295454545454533</v>
      </c>
    </row>
    <row r="916" spans="1:7" ht="13">
      <c r="A916" s="4" t="s">
        <v>115</v>
      </c>
      <c r="B916" s="1">
        <v>4.8600000000000003</v>
      </c>
      <c r="C916" s="1">
        <v>471</v>
      </c>
      <c r="D916" s="1" t="s">
        <v>11</v>
      </c>
      <c r="E916" s="1" t="s">
        <v>18</v>
      </c>
      <c r="F916" s="1">
        <f t="shared" si="36"/>
        <v>486.00000000000006</v>
      </c>
      <c r="G916" s="12">
        <f t="shared" si="37"/>
        <v>96.913580246913568</v>
      </c>
    </row>
    <row r="917" spans="1:7" ht="13">
      <c r="A917" s="4" t="s">
        <v>115</v>
      </c>
      <c r="B917" s="1">
        <v>7.6</v>
      </c>
      <c r="C917" s="1">
        <v>639</v>
      </c>
      <c r="D917" s="1" t="s">
        <v>33</v>
      </c>
      <c r="E917" s="1" t="s">
        <v>21</v>
      </c>
      <c r="F917" s="1">
        <f t="shared" si="36"/>
        <v>760</v>
      </c>
      <c r="G917" s="12">
        <f t="shared" si="37"/>
        <v>84.078947368421055</v>
      </c>
    </row>
    <row r="918" spans="1:7" ht="13">
      <c r="A918" s="4" t="s">
        <v>115</v>
      </c>
      <c r="B918" s="1">
        <v>8.5</v>
      </c>
      <c r="C918" s="1">
        <v>763</v>
      </c>
      <c r="D918" s="1" t="s">
        <v>33</v>
      </c>
      <c r="E918" s="1" t="s">
        <v>46</v>
      </c>
      <c r="F918" s="1">
        <f t="shared" si="36"/>
        <v>850</v>
      </c>
      <c r="G918" s="12">
        <f t="shared" si="37"/>
        <v>89.764705882352942</v>
      </c>
    </row>
    <row r="919" spans="1:7" ht="13">
      <c r="A919" s="4" t="s">
        <v>115</v>
      </c>
      <c r="B919" s="1">
        <v>5</v>
      </c>
      <c r="C919" s="1">
        <v>464</v>
      </c>
      <c r="D919" s="1" t="s">
        <v>11</v>
      </c>
      <c r="E919" s="1" t="s">
        <v>14</v>
      </c>
      <c r="F919" s="1">
        <f t="shared" si="36"/>
        <v>500</v>
      </c>
      <c r="G919" s="12">
        <f t="shared" si="37"/>
        <v>92.8</v>
      </c>
    </row>
    <row r="920" spans="1:7" ht="13">
      <c r="A920" s="4" t="s">
        <v>115</v>
      </c>
      <c r="B920" s="1">
        <v>8.6</v>
      </c>
      <c r="C920" s="1">
        <v>840</v>
      </c>
      <c r="D920" s="1" t="s">
        <v>11</v>
      </c>
      <c r="E920" s="1" t="s">
        <v>14</v>
      </c>
      <c r="F920" s="1">
        <f t="shared" si="36"/>
        <v>860</v>
      </c>
      <c r="G920" s="12">
        <f t="shared" si="37"/>
        <v>97.674418604651166</v>
      </c>
    </row>
    <row r="921" spans="1:7" ht="13">
      <c r="A921" s="4" t="s">
        <v>115</v>
      </c>
      <c r="B921" s="1">
        <v>6.2</v>
      </c>
      <c r="C921" s="1">
        <v>732</v>
      </c>
      <c r="D921" s="1" t="s">
        <v>11</v>
      </c>
      <c r="E921" s="1" t="s">
        <v>10</v>
      </c>
      <c r="F921" s="1">
        <f t="shared" si="36"/>
        <v>620</v>
      </c>
      <c r="G921" s="12">
        <f t="shared" si="37"/>
        <v>118.06451612903226</v>
      </c>
    </row>
    <row r="922" spans="1:7" ht="13">
      <c r="A922" s="4" t="s">
        <v>115</v>
      </c>
      <c r="B922" s="1">
        <v>6.7</v>
      </c>
      <c r="C922" s="1">
        <v>581</v>
      </c>
      <c r="D922" s="1" t="s">
        <v>33</v>
      </c>
      <c r="E922" s="1" t="s">
        <v>21</v>
      </c>
      <c r="F922" s="1">
        <f t="shared" si="36"/>
        <v>670</v>
      </c>
      <c r="G922" s="12">
        <f t="shared" si="37"/>
        <v>86.71641791044776</v>
      </c>
    </row>
    <row r="923" spans="1:7" ht="13">
      <c r="A923" s="4" t="s">
        <v>115</v>
      </c>
      <c r="B923" s="1">
        <v>5.88</v>
      </c>
      <c r="C923" s="1">
        <v>517</v>
      </c>
      <c r="D923" s="1" t="s">
        <v>39</v>
      </c>
      <c r="E923" s="1" t="s">
        <v>19</v>
      </c>
      <c r="F923" s="1">
        <f t="shared" si="36"/>
        <v>588</v>
      </c>
      <c r="G923" s="12">
        <f t="shared" si="37"/>
        <v>87.925170068027214</v>
      </c>
    </row>
    <row r="924" spans="1:7" ht="13">
      <c r="A924" s="4" t="s">
        <v>115</v>
      </c>
      <c r="B924" s="1">
        <v>5.81</v>
      </c>
      <c r="C924" s="1">
        <v>641</v>
      </c>
      <c r="D924" s="1" t="s">
        <v>38</v>
      </c>
      <c r="E924" s="1" t="s">
        <v>8</v>
      </c>
      <c r="F924" s="1">
        <f t="shared" si="36"/>
        <v>581</v>
      </c>
      <c r="G924" s="12">
        <f t="shared" si="37"/>
        <v>110.32702237521515</v>
      </c>
    </row>
    <row r="925" spans="1:7" ht="13">
      <c r="A925" s="4" t="s">
        <v>115</v>
      </c>
      <c r="B925" s="1">
        <v>5.25</v>
      </c>
      <c r="C925" s="1">
        <v>550</v>
      </c>
      <c r="D925" s="1" t="s">
        <v>11</v>
      </c>
      <c r="E925" s="1" t="s">
        <v>16</v>
      </c>
      <c r="F925" s="1">
        <f t="shared" si="36"/>
        <v>525</v>
      </c>
      <c r="G925" s="12">
        <f t="shared" si="37"/>
        <v>104.76190476190476</v>
      </c>
    </row>
    <row r="926" spans="1:7" ht="13">
      <c r="A926" s="4" t="s">
        <v>115</v>
      </c>
      <c r="B926" s="1">
        <v>7.2</v>
      </c>
      <c r="C926" s="1">
        <v>706</v>
      </c>
      <c r="D926" s="1" t="s">
        <v>11</v>
      </c>
      <c r="E926" s="1" t="s">
        <v>10</v>
      </c>
      <c r="F926" s="1">
        <f t="shared" si="36"/>
        <v>720</v>
      </c>
      <c r="G926" s="12">
        <f t="shared" si="37"/>
        <v>98.055555555555557</v>
      </c>
    </row>
    <row r="927" spans="1:7" ht="13">
      <c r="A927" s="4" t="s">
        <v>115</v>
      </c>
      <c r="B927" s="1">
        <v>6.88</v>
      </c>
      <c r="C927" s="1">
        <v>752</v>
      </c>
      <c r="D927" s="1" t="s">
        <v>11</v>
      </c>
      <c r="E927" s="1" t="s">
        <v>8</v>
      </c>
      <c r="F927" s="1">
        <f t="shared" si="36"/>
        <v>688</v>
      </c>
      <c r="G927" s="12">
        <f t="shared" si="37"/>
        <v>109.30232558139535</v>
      </c>
    </row>
    <row r="928" spans="1:7" ht="13">
      <c r="A928" s="4" t="s">
        <v>115</v>
      </c>
      <c r="B928" s="1">
        <v>13.76</v>
      </c>
      <c r="C928" s="1">
        <v>1194</v>
      </c>
      <c r="D928" s="1" t="s">
        <v>33</v>
      </c>
      <c r="E928" s="1" t="s">
        <v>23</v>
      </c>
      <c r="F928" s="1">
        <f t="shared" si="36"/>
        <v>1376</v>
      </c>
      <c r="G928" s="12">
        <f t="shared" si="37"/>
        <v>86.773255813953483</v>
      </c>
    </row>
    <row r="929" spans="1:7" ht="13">
      <c r="A929" s="4" t="s">
        <v>115</v>
      </c>
      <c r="B929" s="1">
        <v>7.7</v>
      </c>
      <c r="C929" s="1">
        <v>765</v>
      </c>
      <c r="D929" s="1" t="s">
        <v>11</v>
      </c>
      <c r="E929" s="1" t="s">
        <v>49</v>
      </c>
      <c r="F929" s="1">
        <f t="shared" si="36"/>
        <v>770</v>
      </c>
      <c r="G929" s="12">
        <f t="shared" si="37"/>
        <v>99.350649350649348</v>
      </c>
    </row>
    <row r="930" spans="1:7" ht="13">
      <c r="A930" s="4" t="s">
        <v>115</v>
      </c>
      <c r="B930" s="1">
        <v>6.2</v>
      </c>
      <c r="C930" s="1">
        <v>641</v>
      </c>
      <c r="D930" s="1" t="s">
        <v>11</v>
      </c>
      <c r="E930" s="1" t="s">
        <v>16</v>
      </c>
      <c r="F930" s="1">
        <f t="shared" si="36"/>
        <v>620</v>
      </c>
      <c r="G930" s="12">
        <f t="shared" si="37"/>
        <v>103.38709677419355</v>
      </c>
    </row>
    <row r="931" spans="1:7" ht="13">
      <c r="A931" s="4" t="s">
        <v>115</v>
      </c>
      <c r="B931" s="1">
        <v>7.8</v>
      </c>
      <c r="C931" s="1">
        <v>778</v>
      </c>
      <c r="D931" s="1" t="s">
        <v>55</v>
      </c>
      <c r="E931" s="1" t="s">
        <v>49</v>
      </c>
      <c r="F931" s="1">
        <f t="shared" si="36"/>
        <v>780</v>
      </c>
      <c r="G931" s="12">
        <f t="shared" si="37"/>
        <v>99.743589743589752</v>
      </c>
    </row>
    <row r="932" spans="1:7" ht="13">
      <c r="A932" s="4" t="s">
        <v>115</v>
      </c>
      <c r="B932" s="1">
        <v>4.8</v>
      </c>
      <c r="C932" s="1">
        <v>413</v>
      </c>
      <c r="D932" s="1" t="s">
        <v>11</v>
      </c>
      <c r="E932" s="1" t="s">
        <v>24</v>
      </c>
      <c r="F932" s="1">
        <f t="shared" si="36"/>
        <v>480</v>
      </c>
      <c r="G932" s="12">
        <f t="shared" si="37"/>
        <v>86.041666666666671</v>
      </c>
    </row>
    <row r="933" spans="1:7" ht="13">
      <c r="A933" s="4" t="s">
        <v>115</v>
      </c>
      <c r="B933" s="1">
        <v>3.44</v>
      </c>
      <c r="C933" s="1">
        <v>375</v>
      </c>
      <c r="D933" s="1" t="s">
        <v>11</v>
      </c>
      <c r="E933" s="1" t="s">
        <v>9</v>
      </c>
      <c r="F933" s="1">
        <f t="shared" si="36"/>
        <v>344</v>
      </c>
      <c r="G933" s="12">
        <f t="shared" si="37"/>
        <v>109.01162790697674</v>
      </c>
    </row>
    <row r="934" spans="1:7" ht="13">
      <c r="A934" s="4" t="s">
        <v>115</v>
      </c>
      <c r="B934" s="1">
        <v>5.6</v>
      </c>
      <c r="C934" s="1">
        <v>550</v>
      </c>
      <c r="D934" s="1" t="s">
        <v>54</v>
      </c>
      <c r="E934" s="1" t="s">
        <v>22</v>
      </c>
      <c r="F934" s="1">
        <f t="shared" si="36"/>
        <v>560</v>
      </c>
      <c r="G934" s="12">
        <f t="shared" si="37"/>
        <v>98.214285714285722</v>
      </c>
    </row>
    <row r="935" spans="1:7" ht="13">
      <c r="A935" s="4" t="s">
        <v>115</v>
      </c>
      <c r="B935" s="1">
        <v>9.3000000000000007</v>
      </c>
      <c r="C935" s="1">
        <v>917</v>
      </c>
      <c r="D935" s="1" t="s">
        <v>45</v>
      </c>
      <c r="E935" s="1" t="s">
        <v>10</v>
      </c>
      <c r="F935" s="1">
        <f t="shared" si="36"/>
        <v>930.00000000000011</v>
      </c>
      <c r="G935" s="12">
        <f t="shared" si="37"/>
        <v>98.602150537634401</v>
      </c>
    </row>
    <row r="936" spans="1:7" ht="13">
      <c r="A936" s="4" t="s">
        <v>115</v>
      </c>
      <c r="B936" s="1">
        <v>4.3</v>
      </c>
      <c r="C936" s="1">
        <v>443.77</v>
      </c>
      <c r="D936" s="1" t="s">
        <v>11</v>
      </c>
      <c r="E936" s="1" t="s">
        <v>24</v>
      </c>
      <c r="F936" s="1">
        <f t="shared" si="36"/>
        <v>430</v>
      </c>
      <c r="G936" s="12">
        <f t="shared" si="37"/>
        <v>103.20232558139534</v>
      </c>
    </row>
    <row r="937" spans="1:7" ht="13">
      <c r="A937" s="4" t="s">
        <v>115</v>
      </c>
      <c r="B937" s="1">
        <v>5.2</v>
      </c>
      <c r="C937" s="1">
        <v>532.70000000000005</v>
      </c>
      <c r="D937" s="1" t="s">
        <v>39</v>
      </c>
      <c r="E937" s="1" t="s">
        <v>25</v>
      </c>
      <c r="F937" s="1">
        <f t="shared" si="36"/>
        <v>520</v>
      </c>
      <c r="G937" s="12">
        <f t="shared" si="37"/>
        <v>102.44230769230769</v>
      </c>
    </row>
    <row r="938" spans="1:7" ht="13">
      <c r="A938" s="4" t="s">
        <v>115</v>
      </c>
      <c r="B938" s="1">
        <v>6.8</v>
      </c>
      <c r="C938" s="1">
        <v>609</v>
      </c>
      <c r="D938" s="1" t="s">
        <v>44</v>
      </c>
      <c r="E938" s="1" t="s">
        <v>22</v>
      </c>
      <c r="F938" s="1">
        <f t="shared" si="36"/>
        <v>680</v>
      </c>
      <c r="G938" s="12">
        <f t="shared" si="37"/>
        <v>89.558823529411768</v>
      </c>
    </row>
    <row r="939" spans="1:7" ht="13">
      <c r="A939" s="4" t="s">
        <v>115</v>
      </c>
      <c r="B939" s="1">
        <v>5.25</v>
      </c>
      <c r="C939" s="1">
        <v>535</v>
      </c>
      <c r="D939" s="1" t="s">
        <v>11</v>
      </c>
      <c r="E939" s="1" t="s">
        <v>16</v>
      </c>
      <c r="F939" s="1">
        <f t="shared" si="36"/>
        <v>525</v>
      </c>
      <c r="G939" s="12">
        <f t="shared" si="37"/>
        <v>101.9047619047619</v>
      </c>
    </row>
    <row r="940" spans="1:7" ht="13">
      <c r="A940" s="4" t="s">
        <v>115</v>
      </c>
      <c r="B940" s="1">
        <v>4.5999999999999996</v>
      </c>
      <c r="C940" s="1">
        <v>479</v>
      </c>
      <c r="D940" s="1" t="s">
        <v>11</v>
      </c>
      <c r="E940" s="1" t="s">
        <v>9</v>
      </c>
      <c r="F940" s="1">
        <f t="shared" si="36"/>
        <v>459.99999999999994</v>
      </c>
      <c r="G940" s="12">
        <f t="shared" si="37"/>
        <v>104.1304347826087</v>
      </c>
    </row>
    <row r="941" spans="1:7" ht="13">
      <c r="A941" s="4" t="s">
        <v>115</v>
      </c>
      <c r="B941" s="1">
        <v>7.2</v>
      </c>
      <c r="C941" s="1">
        <v>686</v>
      </c>
      <c r="D941" s="1" t="s">
        <v>33</v>
      </c>
      <c r="E941" s="1" t="s">
        <v>15</v>
      </c>
      <c r="F941" s="1">
        <f t="shared" si="36"/>
        <v>720</v>
      </c>
      <c r="G941" s="12">
        <f t="shared" si="37"/>
        <v>95.277777777777771</v>
      </c>
    </row>
    <row r="942" spans="1:7" ht="13">
      <c r="A942" s="4" t="s">
        <v>115</v>
      </c>
      <c r="B942" s="1">
        <v>9.8000000000000007</v>
      </c>
      <c r="C942" s="1">
        <v>810</v>
      </c>
      <c r="D942" s="1" t="s">
        <v>33</v>
      </c>
      <c r="E942" s="1" t="s">
        <v>22</v>
      </c>
      <c r="F942" s="1">
        <f t="shared" si="36"/>
        <v>980.00000000000011</v>
      </c>
      <c r="G942" s="12">
        <f t="shared" si="37"/>
        <v>82.65306122448979</v>
      </c>
    </row>
    <row r="943" spans="1:7" ht="13">
      <c r="A943" s="4" t="s">
        <v>115</v>
      </c>
      <c r="B943" s="1">
        <v>7.74</v>
      </c>
      <c r="C943" s="1">
        <v>764.3</v>
      </c>
      <c r="D943" s="1" t="s">
        <v>11</v>
      </c>
      <c r="E943" s="1" t="s">
        <v>29</v>
      </c>
      <c r="F943" s="1">
        <f t="shared" si="36"/>
        <v>774</v>
      </c>
      <c r="G943" s="12">
        <f t="shared" si="37"/>
        <v>98.74677002583978</v>
      </c>
    </row>
    <row r="944" spans="1:7" ht="13">
      <c r="A944" s="4" t="s">
        <v>115</v>
      </c>
      <c r="B944" s="1">
        <v>6.02</v>
      </c>
      <c r="C944" s="1">
        <v>614</v>
      </c>
      <c r="D944" s="1" t="s">
        <v>42</v>
      </c>
      <c r="E944" s="1" t="s">
        <v>14</v>
      </c>
      <c r="F944" s="1">
        <f t="shared" si="36"/>
        <v>602</v>
      </c>
      <c r="G944" s="12">
        <f t="shared" si="37"/>
        <v>101.99335548172758</v>
      </c>
    </row>
    <row r="945" spans="1:7" ht="13">
      <c r="A945" s="4" t="s">
        <v>115</v>
      </c>
      <c r="B945" s="1">
        <v>5.6</v>
      </c>
      <c r="C945" s="1">
        <v>423</v>
      </c>
      <c r="D945" s="1" t="s">
        <v>11</v>
      </c>
      <c r="E945" s="1" t="s">
        <v>21</v>
      </c>
      <c r="F945" s="1">
        <f t="shared" si="36"/>
        <v>560</v>
      </c>
      <c r="G945" s="12">
        <f t="shared" si="37"/>
        <v>75.535714285714292</v>
      </c>
    </row>
    <row r="946" spans="1:7" ht="13">
      <c r="A946" s="4" t="s">
        <v>115</v>
      </c>
      <c r="B946" s="1">
        <v>4.0999999999999996</v>
      </c>
      <c r="C946" s="1">
        <v>412</v>
      </c>
      <c r="D946" s="1" t="s">
        <v>38</v>
      </c>
      <c r="E946" s="1" t="s">
        <v>16</v>
      </c>
      <c r="F946" s="1">
        <f t="shared" si="36"/>
        <v>409.99999999999994</v>
      </c>
      <c r="G946" s="12">
        <f t="shared" si="37"/>
        <v>100.48780487804879</v>
      </c>
    </row>
    <row r="947" spans="1:7" ht="13">
      <c r="A947" s="4" t="s">
        <v>115</v>
      </c>
      <c r="B947" s="1">
        <v>6.4</v>
      </c>
      <c r="C947" s="1">
        <v>576</v>
      </c>
      <c r="D947" s="1" t="s">
        <v>85</v>
      </c>
      <c r="E947" s="1" t="s">
        <v>8</v>
      </c>
      <c r="F947" s="1">
        <f t="shared" si="36"/>
        <v>640</v>
      </c>
      <c r="G947" s="12">
        <f t="shared" si="37"/>
        <v>90</v>
      </c>
    </row>
    <row r="948" spans="1:7" ht="13">
      <c r="A948" s="4" t="s">
        <v>115</v>
      </c>
      <c r="B948" s="1">
        <v>6.96</v>
      </c>
      <c r="C948" s="1">
        <v>635.5</v>
      </c>
      <c r="D948" s="1" t="s">
        <v>33</v>
      </c>
      <c r="E948" s="1" t="s">
        <v>12</v>
      </c>
      <c r="F948" s="1">
        <f t="shared" si="36"/>
        <v>696</v>
      </c>
      <c r="G948" s="12">
        <f t="shared" si="37"/>
        <v>91.30747126436782</v>
      </c>
    </row>
    <row r="949" spans="1:7" ht="13">
      <c r="A949" s="4" t="s">
        <v>115</v>
      </c>
      <c r="B949" s="1">
        <v>6.88</v>
      </c>
      <c r="C949" s="1">
        <v>706</v>
      </c>
      <c r="D949" s="1" t="s">
        <v>11</v>
      </c>
      <c r="E949" s="1" t="s">
        <v>8</v>
      </c>
      <c r="F949" s="1">
        <f t="shared" si="36"/>
        <v>688</v>
      </c>
      <c r="G949" s="12">
        <f t="shared" si="37"/>
        <v>102.61627906976744</v>
      </c>
    </row>
    <row r="950" spans="1:7" ht="13">
      <c r="A950" s="4" t="s">
        <v>115</v>
      </c>
      <c r="B950" s="1">
        <v>8.9</v>
      </c>
      <c r="C950" s="1">
        <v>801</v>
      </c>
      <c r="D950" s="1" t="s">
        <v>43</v>
      </c>
      <c r="E950" s="1" t="s">
        <v>17</v>
      </c>
      <c r="F950" s="1">
        <f t="shared" si="36"/>
        <v>890</v>
      </c>
      <c r="G950" s="12">
        <f t="shared" si="37"/>
        <v>90</v>
      </c>
    </row>
    <row r="951" spans="1:7" ht="13">
      <c r="A951" s="4" t="s">
        <v>115</v>
      </c>
      <c r="B951" s="1">
        <v>5.67</v>
      </c>
      <c r="C951" s="1">
        <v>455</v>
      </c>
      <c r="D951" s="1" t="s">
        <v>86</v>
      </c>
      <c r="E951" s="1" t="s">
        <v>8</v>
      </c>
      <c r="F951" s="1">
        <f t="shared" si="36"/>
        <v>567</v>
      </c>
      <c r="G951" s="12">
        <f t="shared" si="37"/>
        <v>80.246913580246911</v>
      </c>
    </row>
    <row r="952" spans="1:7" ht="13">
      <c r="A952" s="4" t="s">
        <v>115</v>
      </c>
      <c r="B952" s="1">
        <v>8.6</v>
      </c>
      <c r="C952" s="1">
        <v>751</v>
      </c>
      <c r="D952" s="1" t="s">
        <v>11</v>
      </c>
      <c r="E952" s="1" t="s">
        <v>10</v>
      </c>
      <c r="F952" s="1">
        <f t="shared" si="36"/>
        <v>860</v>
      </c>
      <c r="G952" s="12">
        <f t="shared" si="37"/>
        <v>87.325581395348834</v>
      </c>
    </row>
    <row r="953" spans="1:7" ht="13">
      <c r="A953" s="4" t="s">
        <v>115</v>
      </c>
      <c r="B953" s="1">
        <v>8.6</v>
      </c>
      <c r="C953" s="1">
        <v>771</v>
      </c>
      <c r="D953" s="1" t="s">
        <v>11</v>
      </c>
      <c r="E953" s="1" t="s">
        <v>68</v>
      </c>
      <c r="F953" s="1">
        <f t="shared" si="36"/>
        <v>860</v>
      </c>
      <c r="G953" s="12">
        <f t="shared" si="37"/>
        <v>89.651162790697683</v>
      </c>
    </row>
    <row r="954" spans="1:7" ht="13">
      <c r="A954" s="4" t="s">
        <v>115</v>
      </c>
      <c r="B954" s="1">
        <v>7</v>
      </c>
      <c r="C954" s="1">
        <v>630</v>
      </c>
      <c r="D954" s="1" t="s">
        <v>33</v>
      </c>
      <c r="E954" s="1" t="s">
        <v>15</v>
      </c>
      <c r="F954" s="1">
        <f t="shared" si="36"/>
        <v>700</v>
      </c>
      <c r="G954" s="12">
        <f t="shared" si="37"/>
        <v>90</v>
      </c>
    </row>
    <row r="955" spans="1:7" ht="13">
      <c r="A955" s="4" t="s">
        <v>115</v>
      </c>
      <c r="B955" s="1">
        <v>4.9000000000000004</v>
      </c>
      <c r="C955" s="1">
        <v>472</v>
      </c>
      <c r="D955" s="1" t="s">
        <v>43</v>
      </c>
      <c r="E955" s="1" t="s">
        <v>17</v>
      </c>
      <c r="F955" s="1">
        <f t="shared" si="36"/>
        <v>490.00000000000006</v>
      </c>
      <c r="G955" s="12">
        <f t="shared" si="37"/>
        <v>96.326530612244895</v>
      </c>
    </row>
    <row r="956" spans="1:7" ht="13">
      <c r="A956" s="4" t="s">
        <v>115</v>
      </c>
      <c r="B956" s="1">
        <v>7.56</v>
      </c>
      <c r="C956" s="1">
        <v>777</v>
      </c>
      <c r="D956" s="1" t="s">
        <v>11</v>
      </c>
      <c r="E956" s="1" t="s">
        <v>49</v>
      </c>
      <c r="F956" s="1">
        <f t="shared" si="36"/>
        <v>756</v>
      </c>
      <c r="G956" s="12">
        <f t="shared" si="37"/>
        <v>102.77777777777779</v>
      </c>
    </row>
    <row r="957" spans="1:7" ht="13">
      <c r="A957" s="4" t="s">
        <v>115</v>
      </c>
      <c r="B957" s="1">
        <v>4.92</v>
      </c>
      <c r="C957" s="1">
        <v>491</v>
      </c>
      <c r="D957" s="1" t="s">
        <v>47</v>
      </c>
      <c r="E957" s="1" t="s">
        <v>10</v>
      </c>
      <c r="F957" s="1">
        <f t="shared" si="36"/>
        <v>492</v>
      </c>
      <c r="G957" s="12">
        <f t="shared" si="37"/>
        <v>99.796747967479675</v>
      </c>
    </row>
    <row r="958" spans="1:7" ht="13">
      <c r="A958" s="4" t="s">
        <v>115</v>
      </c>
      <c r="B958" s="1">
        <v>7.39</v>
      </c>
      <c r="C958" s="1">
        <v>654</v>
      </c>
      <c r="D958" s="1" t="s">
        <v>52</v>
      </c>
      <c r="E958" s="1" t="s">
        <v>25</v>
      </c>
      <c r="F958" s="1">
        <f t="shared" si="36"/>
        <v>739</v>
      </c>
      <c r="G958" s="12">
        <f t="shared" si="37"/>
        <v>88.497970230040593</v>
      </c>
    </row>
    <row r="959" spans="1:7" ht="13">
      <c r="A959" s="4" t="s">
        <v>115</v>
      </c>
      <c r="B959" s="1">
        <v>3.5</v>
      </c>
      <c r="C959" s="1">
        <v>320</v>
      </c>
      <c r="D959" s="1" t="s">
        <v>55</v>
      </c>
      <c r="E959" s="1" t="s">
        <v>15</v>
      </c>
      <c r="F959" s="1">
        <f t="shared" si="36"/>
        <v>350</v>
      </c>
      <c r="G959" s="12">
        <f t="shared" si="37"/>
        <v>91.428571428571431</v>
      </c>
    </row>
    <row r="960" spans="1:7" ht="13">
      <c r="A960" s="4" t="s">
        <v>115</v>
      </c>
      <c r="B960" s="1">
        <v>6.9</v>
      </c>
      <c r="C960" s="1">
        <v>681</v>
      </c>
      <c r="D960" s="1" t="s">
        <v>38</v>
      </c>
      <c r="E960" s="1" t="s">
        <v>8</v>
      </c>
      <c r="F960" s="1">
        <f t="shared" si="36"/>
        <v>690</v>
      </c>
      <c r="G960" s="12">
        <f t="shared" si="37"/>
        <v>98.695652173913032</v>
      </c>
    </row>
    <row r="961" spans="1:7" ht="13">
      <c r="A961" s="4" t="s">
        <v>115</v>
      </c>
      <c r="B961" s="1">
        <v>8.33</v>
      </c>
      <c r="C961" s="1">
        <v>677</v>
      </c>
      <c r="D961" s="1" t="s">
        <v>47</v>
      </c>
      <c r="E961" s="1" t="s">
        <v>7</v>
      </c>
      <c r="F961" s="1">
        <f t="shared" si="36"/>
        <v>833</v>
      </c>
      <c r="G961" s="12">
        <f t="shared" si="37"/>
        <v>81.272509003601442</v>
      </c>
    </row>
    <row r="962" spans="1:7" ht="13">
      <c r="A962" s="4" t="s">
        <v>115</v>
      </c>
      <c r="B962" s="1">
        <v>6.8</v>
      </c>
      <c r="C962" s="1">
        <v>525</v>
      </c>
      <c r="D962" s="1" t="s">
        <v>33</v>
      </c>
      <c r="E962" s="1" t="s">
        <v>20</v>
      </c>
      <c r="F962" s="1">
        <f t="shared" si="36"/>
        <v>680</v>
      </c>
      <c r="G962" s="12">
        <f t="shared" si="37"/>
        <v>77.205882352941174</v>
      </c>
    </row>
    <row r="963" spans="1:7" ht="13">
      <c r="A963" s="4" t="s">
        <v>115</v>
      </c>
      <c r="B963" s="1">
        <v>6.7</v>
      </c>
      <c r="C963" s="1">
        <v>601</v>
      </c>
      <c r="D963" s="1" t="s">
        <v>58</v>
      </c>
      <c r="E963" s="1" t="s">
        <v>22</v>
      </c>
      <c r="F963" s="1">
        <f t="shared" ref="F963:F1026" si="38">B963*100</f>
        <v>670</v>
      </c>
      <c r="G963" s="12">
        <f t="shared" ref="G963:G1026" si="39">C963/B963</f>
        <v>89.701492537313428</v>
      </c>
    </row>
    <row r="964" spans="1:7" ht="13">
      <c r="A964" s="4" t="s">
        <v>115</v>
      </c>
      <c r="B964" s="1">
        <v>8.4</v>
      </c>
      <c r="C964" s="1">
        <v>876</v>
      </c>
      <c r="D964" s="1" t="s">
        <v>11</v>
      </c>
      <c r="E964" s="1" t="s">
        <v>7</v>
      </c>
      <c r="F964" s="1">
        <f t="shared" si="38"/>
        <v>840</v>
      </c>
      <c r="G964" s="12">
        <f t="shared" si="39"/>
        <v>104.28571428571428</v>
      </c>
    </row>
    <row r="965" spans="1:7" ht="13">
      <c r="A965" s="4" t="s">
        <v>115</v>
      </c>
      <c r="B965" s="1">
        <v>6.72</v>
      </c>
      <c r="C965" s="1">
        <v>550</v>
      </c>
      <c r="D965" s="1" t="s">
        <v>39</v>
      </c>
      <c r="E965" s="1" t="s">
        <v>25</v>
      </c>
      <c r="F965" s="1">
        <f t="shared" si="38"/>
        <v>672</v>
      </c>
      <c r="G965" s="12">
        <f t="shared" si="39"/>
        <v>81.845238095238102</v>
      </c>
    </row>
    <row r="966" spans="1:7" ht="13">
      <c r="A966" s="4" t="s">
        <v>115</v>
      </c>
      <c r="B966" s="1">
        <v>7.9</v>
      </c>
      <c r="C966" s="1">
        <v>685</v>
      </c>
      <c r="D966" s="1" t="s">
        <v>33</v>
      </c>
      <c r="E966" s="1" t="s">
        <v>7</v>
      </c>
      <c r="F966" s="1">
        <f t="shared" si="38"/>
        <v>790</v>
      </c>
      <c r="G966" s="12">
        <f t="shared" si="39"/>
        <v>86.70886075949366</v>
      </c>
    </row>
    <row r="967" spans="1:7" ht="13">
      <c r="A967" s="4" t="s">
        <v>115</v>
      </c>
      <c r="B967" s="1">
        <v>7.44</v>
      </c>
      <c r="C967" s="1">
        <v>631</v>
      </c>
      <c r="D967" s="1" t="s">
        <v>35</v>
      </c>
      <c r="E967" s="1" t="s">
        <v>18</v>
      </c>
      <c r="F967" s="1">
        <f t="shared" si="38"/>
        <v>744</v>
      </c>
      <c r="G967" s="12">
        <f t="shared" si="39"/>
        <v>84.811827956989248</v>
      </c>
    </row>
    <row r="968" spans="1:7" ht="13">
      <c r="A968" s="4" t="s">
        <v>115</v>
      </c>
      <c r="B968" s="1">
        <v>7.29</v>
      </c>
      <c r="C968" s="1">
        <v>686</v>
      </c>
      <c r="D968" s="1" t="s">
        <v>53</v>
      </c>
      <c r="E968" s="1" t="s">
        <v>15</v>
      </c>
      <c r="F968" s="1">
        <f t="shared" si="38"/>
        <v>729</v>
      </c>
      <c r="G968" s="12">
        <f t="shared" si="39"/>
        <v>94.101508916323738</v>
      </c>
    </row>
    <row r="969" spans="1:7" ht="13">
      <c r="A969" s="4" t="s">
        <v>115</v>
      </c>
      <c r="B969" s="1">
        <v>8.6</v>
      </c>
      <c r="C969" s="1">
        <v>755.93</v>
      </c>
      <c r="D969" s="1" t="s">
        <v>33</v>
      </c>
      <c r="E969" s="1" t="s">
        <v>26</v>
      </c>
      <c r="F969" s="1">
        <f t="shared" si="38"/>
        <v>860</v>
      </c>
      <c r="G969" s="12">
        <f t="shared" si="39"/>
        <v>87.898837209302329</v>
      </c>
    </row>
    <row r="970" spans="1:7" ht="13">
      <c r="A970" s="4" t="s">
        <v>115</v>
      </c>
      <c r="B970" s="1">
        <v>6.02</v>
      </c>
      <c r="C970" s="1">
        <v>547</v>
      </c>
      <c r="D970" s="1" t="s">
        <v>33</v>
      </c>
      <c r="E970" s="1" t="s">
        <v>9</v>
      </c>
      <c r="F970" s="1">
        <f t="shared" si="38"/>
        <v>602</v>
      </c>
      <c r="G970" s="12">
        <f t="shared" si="39"/>
        <v>90.863787375415285</v>
      </c>
    </row>
    <row r="971" spans="1:7" ht="13">
      <c r="A971" s="4" t="s">
        <v>115</v>
      </c>
      <c r="B971" s="1">
        <v>5.6</v>
      </c>
      <c r="C971" s="1">
        <v>409</v>
      </c>
      <c r="D971" s="1" t="s">
        <v>33</v>
      </c>
      <c r="E971" s="1" t="s">
        <v>7</v>
      </c>
      <c r="F971" s="1">
        <f t="shared" si="38"/>
        <v>560</v>
      </c>
      <c r="G971" s="12">
        <f t="shared" si="39"/>
        <v>73.035714285714292</v>
      </c>
    </row>
    <row r="972" spans="1:7" ht="13">
      <c r="A972" s="4" t="s">
        <v>115</v>
      </c>
      <c r="B972" s="1">
        <v>5.81</v>
      </c>
      <c r="C972" s="1">
        <v>577</v>
      </c>
      <c r="D972" s="1" t="s">
        <v>38</v>
      </c>
      <c r="E972" s="1" t="s">
        <v>8</v>
      </c>
      <c r="F972" s="1">
        <f t="shared" si="38"/>
        <v>581</v>
      </c>
      <c r="G972" s="12">
        <f t="shared" si="39"/>
        <v>99.311531841652325</v>
      </c>
    </row>
    <row r="973" spans="1:7" ht="13">
      <c r="A973" s="4" t="s">
        <v>115</v>
      </c>
      <c r="B973" s="1">
        <v>7.56</v>
      </c>
      <c r="C973" s="1">
        <v>714</v>
      </c>
      <c r="D973" s="1" t="s">
        <v>87</v>
      </c>
      <c r="E973" s="1" t="s">
        <v>15</v>
      </c>
      <c r="F973" s="1">
        <f t="shared" si="38"/>
        <v>756</v>
      </c>
      <c r="G973" s="12">
        <f t="shared" si="39"/>
        <v>94.444444444444443</v>
      </c>
    </row>
    <row r="974" spans="1:7" ht="13">
      <c r="A974" s="4" t="s">
        <v>115</v>
      </c>
      <c r="B974" s="1">
        <v>6</v>
      </c>
      <c r="C974" s="1">
        <v>618</v>
      </c>
      <c r="D974" s="1" t="s">
        <v>52</v>
      </c>
      <c r="E974" s="1" t="s">
        <v>26</v>
      </c>
      <c r="F974" s="1">
        <f t="shared" si="38"/>
        <v>600</v>
      </c>
      <c r="G974" s="12">
        <f t="shared" si="39"/>
        <v>103</v>
      </c>
    </row>
    <row r="975" spans="1:7" ht="13">
      <c r="A975" s="4" t="s">
        <v>115</v>
      </c>
      <c r="B975" s="1">
        <v>6.72</v>
      </c>
      <c r="C975" s="1">
        <v>606</v>
      </c>
      <c r="D975" s="1" t="s">
        <v>33</v>
      </c>
      <c r="E975" s="1" t="s">
        <v>27</v>
      </c>
      <c r="F975" s="1">
        <f t="shared" si="38"/>
        <v>672</v>
      </c>
      <c r="G975" s="12">
        <f t="shared" si="39"/>
        <v>90.178571428571431</v>
      </c>
    </row>
    <row r="976" spans="1:7" ht="13">
      <c r="A976" s="4" t="s">
        <v>115</v>
      </c>
      <c r="B976" s="1">
        <v>5.92</v>
      </c>
      <c r="C976" s="1">
        <v>620</v>
      </c>
      <c r="D976" s="1" t="s">
        <v>11</v>
      </c>
      <c r="E976" s="1" t="s">
        <v>17</v>
      </c>
      <c r="F976" s="1">
        <f t="shared" si="38"/>
        <v>592</v>
      </c>
      <c r="G976" s="12">
        <f t="shared" si="39"/>
        <v>104.72972972972973</v>
      </c>
    </row>
    <row r="977" spans="1:7" ht="13">
      <c r="A977" s="4" t="s">
        <v>115</v>
      </c>
      <c r="B977" s="1">
        <v>5.5</v>
      </c>
      <c r="C977" s="1">
        <v>562</v>
      </c>
      <c r="D977" s="1" t="s">
        <v>11</v>
      </c>
      <c r="E977" s="1" t="s">
        <v>15</v>
      </c>
      <c r="F977" s="1">
        <f t="shared" si="38"/>
        <v>550</v>
      </c>
      <c r="G977" s="12">
        <f t="shared" si="39"/>
        <v>102.18181818181819</v>
      </c>
    </row>
    <row r="978" spans="1:7" ht="13">
      <c r="A978" s="4" t="s">
        <v>115</v>
      </c>
      <c r="B978" s="1">
        <v>8.6999999999999993</v>
      </c>
      <c r="C978" s="1">
        <v>845</v>
      </c>
      <c r="D978" s="1" t="s">
        <v>11</v>
      </c>
      <c r="E978" s="1" t="s">
        <v>9</v>
      </c>
      <c r="F978" s="1">
        <f t="shared" si="38"/>
        <v>869.99999999999989</v>
      </c>
      <c r="G978" s="12">
        <f t="shared" si="39"/>
        <v>97.1264367816092</v>
      </c>
    </row>
    <row r="979" spans="1:7" ht="13">
      <c r="A979" s="4" t="s">
        <v>115</v>
      </c>
      <c r="B979" s="1">
        <v>6.1</v>
      </c>
      <c r="C979" s="1">
        <v>551</v>
      </c>
      <c r="D979" s="1" t="s">
        <v>48</v>
      </c>
      <c r="E979" s="1" t="s">
        <v>23</v>
      </c>
      <c r="F979" s="1">
        <f t="shared" si="38"/>
        <v>610</v>
      </c>
      <c r="G979" s="12">
        <f t="shared" si="39"/>
        <v>90.327868852459019</v>
      </c>
    </row>
    <row r="980" spans="1:7" ht="13">
      <c r="A980" s="4" t="s">
        <v>115</v>
      </c>
      <c r="B980" s="1">
        <v>8.6</v>
      </c>
      <c r="C980" s="1">
        <v>840</v>
      </c>
      <c r="D980" s="1" t="s">
        <v>33</v>
      </c>
      <c r="E980" s="1" t="s">
        <v>8</v>
      </c>
      <c r="F980" s="1">
        <f t="shared" si="38"/>
        <v>860</v>
      </c>
      <c r="G980" s="12">
        <f t="shared" si="39"/>
        <v>97.674418604651166</v>
      </c>
    </row>
    <row r="981" spans="1:7" ht="13">
      <c r="A981" s="4" t="s">
        <v>115</v>
      </c>
      <c r="B981" s="1">
        <v>7.65</v>
      </c>
      <c r="C981" s="1">
        <v>761</v>
      </c>
      <c r="D981" s="1" t="s">
        <v>11</v>
      </c>
      <c r="E981" s="1" t="s">
        <v>16</v>
      </c>
      <c r="F981" s="1">
        <f t="shared" si="38"/>
        <v>765</v>
      </c>
      <c r="G981" s="12">
        <f t="shared" si="39"/>
        <v>99.477124183006538</v>
      </c>
    </row>
    <row r="982" spans="1:7" ht="13">
      <c r="A982" s="4" t="s">
        <v>115</v>
      </c>
      <c r="B982" s="1">
        <v>4</v>
      </c>
      <c r="C982" s="1">
        <v>364</v>
      </c>
      <c r="D982" s="1" t="s">
        <v>11</v>
      </c>
      <c r="E982" s="1" t="s">
        <v>28</v>
      </c>
      <c r="F982" s="1">
        <f t="shared" si="38"/>
        <v>400</v>
      </c>
      <c r="G982" s="12">
        <f t="shared" si="39"/>
        <v>91</v>
      </c>
    </row>
    <row r="983" spans="1:7" ht="13">
      <c r="A983" s="4" t="s">
        <v>115</v>
      </c>
      <c r="B983" s="1">
        <v>7.6</v>
      </c>
      <c r="C983" s="1">
        <v>602</v>
      </c>
      <c r="D983" s="1" t="s">
        <v>33</v>
      </c>
      <c r="E983" s="1" t="s">
        <v>17</v>
      </c>
      <c r="F983" s="1">
        <f t="shared" si="38"/>
        <v>760</v>
      </c>
      <c r="G983" s="12">
        <f t="shared" si="39"/>
        <v>79.21052631578948</v>
      </c>
    </row>
    <row r="984" spans="1:7" ht="13">
      <c r="A984" s="4" t="s">
        <v>115</v>
      </c>
      <c r="B984" s="1">
        <v>4</v>
      </c>
      <c r="C984" s="1">
        <v>426</v>
      </c>
      <c r="D984" s="1" t="s">
        <v>11</v>
      </c>
      <c r="E984" s="1" t="s">
        <v>9</v>
      </c>
      <c r="F984" s="1">
        <f t="shared" si="38"/>
        <v>400</v>
      </c>
      <c r="G984" s="12">
        <f t="shared" si="39"/>
        <v>106.5</v>
      </c>
    </row>
    <row r="985" spans="1:7" ht="13">
      <c r="A985" s="4" t="s">
        <v>115</v>
      </c>
      <c r="B985" s="1">
        <v>6.15</v>
      </c>
      <c r="C985" s="1">
        <v>637</v>
      </c>
      <c r="D985" s="1" t="s">
        <v>11</v>
      </c>
      <c r="E985" s="1" t="s">
        <v>8</v>
      </c>
      <c r="F985" s="1">
        <f t="shared" si="38"/>
        <v>615</v>
      </c>
      <c r="G985" s="12">
        <f t="shared" si="39"/>
        <v>103.57723577235772</v>
      </c>
    </row>
    <row r="986" spans="1:7" ht="13">
      <c r="A986" s="4" t="s">
        <v>115</v>
      </c>
      <c r="B986" s="1">
        <v>6.1</v>
      </c>
      <c r="C986" s="1">
        <v>693</v>
      </c>
      <c r="D986" s="1" t="s">
        <v>38</v>
      </c>
      <c r="E986" s="1" t="s">
        <v>25</v>
      </c>
      <c r="F986" s="1">
        <f t="shared" si="38"/>
        <v>610</v>
      </c>
      <c r="G986" s="12">
        <f t="shared" si="39"/>
        <v>113.60655737704919</v>
      </c>
    </row>
    <row r="987" spans="1:7" ht="13">
      <c r="A987" s="4" t="s">
        <v>115</v>
      </c>
      <c r="B987" s="1">
        <v>6</v>
      </c>
      <c r="C987" s="1">
        <v>545</v>
      </c>
      <c r="D987" s="1" t="s">
        <v>88</v>
      </c>
      <c r="E987" s="1" t="s">
        <v>8</v>
      </c>
      <c r="F987" s="1">
        <f t="shared" si="38"/>
        <v>600</v>
      </c>
      <c r="G987" s="12">
        <f t="shared" si="39"/>
        <v>90.833333333333329</v>
      </c>
    </row>
    <row r="988" spans="1:7" ht="13">
      <c r="A988" s="4" t="s">
        <v>115</v>
      </c>
      <c r="B988" s="1">
        <v>9.6</v>
      </c>
      <c r="C988" s="1">
        <v>917</v>
      </c>
      <c r="D988" s="1" t="s">
        <v>33</v>
      </c>
      <c r="E988" s="1" t="s">
        <v>12</v>
      </c>
      <c r="F988" s="1">
        <f t="shared" si="38"/>
        <v>960</v>
      </c>
      <c r="G988" s="12">
        <f t="shared" si="39"/>
        <v>95.520833333333343</v>
      </c>
    </row>
    <row r="989" spans="1:7" ht="13">
      <c r="A989" s="4" t="s">
        <v>115</v>
      </c>
      <c r="B989" s="1">
        <v>5.6</v>
      </c>
      <c r="C989" s="1">
        <v>515.42999999999995</v>
      </c>
      <c r="D989" s="1" t="s">
        <v>11</v>
      </c>
      <c r="E989" s="1" t="s">
        <v>8</v>
      </c>
      <c r="F989" s="1">
        <f t="shared" si="38"/>
        <v>560</v>
      </c>
      <c r="G989" s="12">
        <f t="shared" si="39"/>
        <v>92.041071428571428</v>
      </c>
    </row>
    <row r="990" spans="1:7" ht="13">
      <c r="A990" s="4" t="s">
        <v>115</v>
      </c>
      <c r="B990" s="1">
        <v>19.600000000000001</v>
      </c>
      <c r="C990" s="1">
        <v>2045</v>
      </c>
      <c r="D990" s="1" t="s">
        <v>43</v>
      </c>
      <c r="E990" s="1" t="s">
        <v>23</v>
      </c>
      <c r="F990" s="1">
        <f t="shared" si="38"/>
        <v>1960.0000000000002</v>
      </c>
      <c r="G990" s="12">
        <f t="shared" si="39"/>
        <v>104.33673469387755</v>
      </c>
    </row>
    <row r="991" spans="1:7" ht="13">
      <c r="A991" s="4" t="s">
        <v>115</v>
      </c>
      <c r="B991" s="1">
        <v>5</v>
      </c>
      <c r="C991" s="1">
        <v>654</v>
      </c>
      <c r="D991" s="1" t="s">
        <v>33</v>
      </c>
      <c r="E991" s="1" t="s">
        <v>32</v>
      </c>
      <c r="F991" s="1">
        <f t="shared" si="38"/>
        <v>500</v>
      </c>
      <c r="G991" s="12">
        <f t="shared" si="39"/>
        <v>130.80000000000001</v>
      </c>
    </row>
    <row r="992" spans="1:7" ht="13">
      <c r="A992" s="4" t="s">
        <v>115</v>
      </c>
      <c r="B992" s="1">
        <v>5.59</v>
      </c>
      <c r="C992" s="1">
        <v>528</v>
      </c>
      <c r="D992" s="1" t="s">
        <v>36</v>
      </c>
      <c r="E992" s="1" t="s">
        <v>9</v>
      </c>
      <c r="F992" s="1">
        <f t="shared" si="38"/>
        <v>559</v>
      </c>
      <c r="G992" s="12">
        <f t="shared" si="39"/>
        <v>94.45438282647585</v>
      </c>
    </row>
    <row r="993" spans="1:7" ht="13">
      <c r="A993" s="4" t="s">
        <v>115</v>
      </c>
      <c r="B993" s="1">
        <v>7.7</v>
      </c>
      <c r="C993" s="1">
        <v>769</v>
      </c>
      <c r="D993" s="1" t="s">
        <v>11</v>
      </c>
      <c r="E993" s="1" t="s">
        <v>22</v>
      </c>
      <c r="F993" s="1">
        <f t="shared" si="38"/>
        <v>770</v>
      </c>
      <c r="G993" s="12">
        <f t="shared" si="39"/>
        <v>99.870129870129873</v>
      </c>
    </row>
    <row r="994" spans="1:7" ht="13">
      <c r="A994" s="4" t="s">
        <v>115</v>
      </c>
      <c r="B994" s="1">
        <v>5.2</v>
      </c>
      <c r="C994" s="1">
        <v>557</v>
      </c>
      <c r="D994" s="1" t="s">
        <v>42</v>
      </c>
      <c r="E994" s="1" t="s">
        <v>30</v>
      </c>
      <c r="F994" s="1">
        <f t="shared" si="38"/>
        <v>520</v>
      </c>
      <c r="G994" s="12">
        <f t="shared" si="39"/>
        <v>107.11538461538461</v>
      </c>
    </row>
    <row r="995" spans="1:7" ht="13">
      <c r="A995" s="4" t="s">
        <v>115</v>
      </c>
      <c r="B995" s="1">
        <v>7.74</v>
      </c>
      <c r="C995" s="1">
        <v>840</v>
      </c>
      <c r="D995" s="1" t="s">
        <v>11</v>
      </c>
      <c r="E995" s="1" t="s">
        <v>20</v>
      </c>
      <c r="F995" s="1">
        <f t="shared" si="38"/>
        <v>774</v>
      </c>
      <c r="G995" s="12">
        <f t="shared" si="39"/>
        <v>108.52713178294573</v>
      </c>
    </row>
    <row r="996" spans="1:7" ht="13">
      <c r="A996" s="4" t="s">
        <v>115</v>
      </c>
      <c r="B996" s="1">
        <v>7.74</v>
      </c>
      <c r="C996" s="1">
        <v>737</v>
      </c>
      <c r="D996" s="1" t="s">
        <v>33</v>
      </c>
      <c r="E996" s="1" t="s">
        <v>9</v>
      </c>
      <c r="F996" s="1">
        <f t="shared" si="38"/>
        <v>774</v>
      </c>
      <c r="G996" s="12">
        <f t="shared" si="39"/>
        <v>95.21963824289405</v>
      </c>
    </row>
    <row r="997" spans="1:7" ht="13">
      <c r="A997" s="4" t="s">
        <v>115</v>
      </c>
      <c r="B997" s="1">
        <v>7.3</v>
      </c>
      <c r="C997" s="1">
        <v>696</v>
      </c>
      <c r="D997" s="1" t="s">
        <v>47</v>
      </c>
      <c r="E997" s="1" t="s">
        <v>28</v>
      </c>
      <c r="F997" s="1">
        <f t="shared" si="38"/>
        <v>730</v>
      </c>
      <c r="G997" s="12">
        <f t="shared" si="39"/>
        <v>95.342465753424662</v>
      </c>
    </row>
    <row r="998" spans="1:7" ht="13">
      <c r="A998" s="4" t="s">
        <v>115</v>
      </c>
      <c r="B998" s="1">
        <v>7.7</v>
      </c>
      <c r="C998" s="1">
        <v>683</v>
      </c>
      <c r="D998" s="1" t="s">
        <v>35</v>
      </c>
      <c r="E998" s="1" t="s">
        <v>8</v>
      </c>
      <c r="F998" s="1">
        <f t="shared" si="38"/>
        <v>770</v>
      </c>
      <c r="G998" s="12">
        <f t="shared" si="39"/>
        <v>88.701298701298697</v>
      </c>
    </row>
    <row r="999" spans="1:7" ht="13">
      <c r="A999" s="4" t="s">
        <v>115</v>
      </c>
      <c r="B999" s="1">
        <v>7.4</v>
      </c>
      <c r="C999" s="1">
        <v>430</v>
      </c>
      <c r="D999" s="1" t="s">
        <v>33</v>
      </c>
      <c r="E999" s="1" t="s">
        <v>17</v>
      </c>
      <c r="F999" s="1">
        <f t="shared" si="38"/>
        <v>740</v>
      </c>
      <c r="G999" s="12">
        <f t="shared" si="39"/>
        <v>58.108108108108105</v>
      </c>
    </row>
    <row r="1000" spans="1:7" ht="13">
      <c r="A1000" s="4" t="s">
        <v>115</v>
      </c>
      <c r="B1000" s="1">
        <v>9.57</v>
      </c>
      <c r="C1000" s="1">
        <v>830</v>
      </c>
      <c r="D1000" s="1" t="s">
        <v>42</v>
      </c>
      <c r="E1000" s="1" t="s">
        <v>22</v>
      </c>
      <c r="F1000" s="1">
        <f t="shared" si="38"/>
        <v>957</v>
      </c>
      <c r="G1000" s="12">
        <f t="shared" si="39"/>
        <v>86.729362591431553</v>
      </c>
    </row>
    <row r="1001" spans="1:7" ht="13">
      <c r="A1001" s="4" t="s">
        <v>115</v>
      </c>
      <c r="B1001" s="1">
        <v>8</v>
      </c>
      <c r="C1001" s="1">
        <v>630</v>
      </c>
      <c r="D1001" s="1" t="s">
        <v>11</v>
      </c>
      <c r="E1001" s="1" t="s">
        <v>68</v>
      </c>
      <c r="F1001" s="1">
        <f t="shared" si="38"/>
        <v>800</v>
      </c>
      <c r="G1001" s="12">
        <f t="shared" si="39"/>
        <v>78.75</v>
      </c>
    </row>
    <row r="1002" spans="1:7" ht="13">
      <c r="A1002" s="4" t="s">
        <v>115</v>
      </c>
      <c r="B1002" s="1">
        <v>7.7</v>
      </c>
      <c r="C1002" s="1">
        <v>681</v>
      </c>
      <c r="D1002" s="1" t="s">
        <v>39</v>
      </c>
      <c r="E1002" s="1" t="s">
        <v>16</v>
      </c>
      <c r="F1002" s="1">
        <f t="shared" si="38"/>
        <v>770</v>
      </c>
      <c r="G1002" s="12">
        <f t="shared" si="39"/>
        <v>88.441558441558442</v>
      </c>
    </row>
    <row r="1003" spans="1:7" ht="13">
      <c r="A1003" s="4" t="s">
        <v>115</v>
      </c>
      <c r="B1003" s="1">
        <v>4.3</v>
      </c>
      <c r="C1003" s="1">
        <v>456</v>
      </c>
      <c r="D1003" s="1" t="s">
        <v>11</v>
      </c>
      <c r="E1003" s="1" t="s">
        <v>9</v>
      </c>
      <c r="F1003" s="1">
        <f t="shared" si="38"/>
        <v>430</v>
      </c>
      <c r="G1003" s="12">
        <f t="shared" si="39"/>
        <v>106.04651162790698</v>
      </c>
    </row>
    <row r="1004" spans="1:7" ht="13">
      <c r="A1004" s="4" t="s">
        <v>115</v>
      </c>
      <c r="B1004" s="1">
        <v>4.3499999999999996</v>
      </c>
      <c r="C1004" s="1">
        <v>448.38</v>
      </c>
      <c r="D1004" s="1" t="s">
        <v>11</v>
      </c>
      <c r="E1004" s="1" t="s">
        <v>15</v>
      </c>
      <c r="F1004" s="1">
        <f t="shared" si="38"/>
        <v>434.99999999999994</v>
      </c>
      <c r="G1004" s="12">
        <f t="shared" si="39"/>
        <v>103.07586206896552</v>
      </c>
    </row>
    <row r="1005" spans="1:7" ht="13">
      <c r="A1005" s="4" t="s">
        <v>115</v>
      </c>
      <c r="B1005" s="1">
        <v>7.6</v>
      </c>
      <c r="C1005" s="1">
        <v>775</v>
      </c>
      <c r="D1005" s="1" t="s">
        <v>11</v>
      </c>
      <c r="E1005" s="1" t="s">
        <v>16</v>
      </c>
      <c r="F1005" s="1">
        <f t="shared" si="38"/>
        <v>760</v>
      </c>
      <c r="G1005" s="12">
        <f t="shared" si="39"/>
        <v>101.97368421052632</v>
      </c>
    </row>
    <row r="1006" spans="1:7" ht="13">
      <c r="A1006" s="4" t="s">
        <v>115</v>
      </c>
      <c r="B1006" s="1">
        <v>4.3499999999999996</v>
      </c>
      <c r="C1006" s="1">
        <v>385</v>
      </c>
      <c r="D1006" s="1" t="s">
        <v>33</v>
      </c>
      <c r="E1006" s="1" t="s">
        <v>19</v>
      </c>
      <c r="F1006" s="1">
        <f t="shared" si="38"/>
        <v>434.99999999999994</v>
      </c>
      <c r="G1006" s="12">
        <f t="shared" si="39"/>
        <v>88.505747126436788</v>
      </c>
    </row>
    <row r="1007" spans="1:7" ht="13">
      <c r="A1007" s="4" t="s">
        <v>115</v>
      </c>
      <c r="B1007" s="1">
        <v>6</v>
      </c>
      <c r="C1007" s="1">
        <v>630</v>
      </c>
      <c r="D1007" s="1" t="s">
        <v>39</v>
      </c>
      <c r="E1007" s="1" t="s">
        <v>9</v>
      </c>
      <c r="F1007" s="1">
        <f t="shared" si="38"/>
        <v>600</v>
      </c>
      <c r="G1007" s="12">
        <f t="shared" si="39"/>
        <v>105</v>
      </c>
    </row>
    <row r="1008" spans="1:7" ht="13">
      <c r="A1008" s="4" t="s">
        <v>115</v>
      </c>
      <c r="B1008" s="1">
        <v>5.5</v>
      </c>
      <c r="C1008" s="1">
        <v>620</v>
      </c>
      <c r="D1008" s="1" t="s">
        <v>11</v>
      </c>
      <c r="E1008" s="1" t="s">
        <v>10</v>
      </c>
      <c r="F1008" s="1">
        <f t="shared" si="38"/>
        <v>550</v>
      </c>
      <c r="G1008" s="12">
        <f t="shared" si="39"/>
        <v>112.72727272727273</v>
      </c>
    </row>
    <row r="1009" spans="1:7" ht="13">
      <c r="A1009" s="4" t="s">
        <v>115</v>
      </c>
      <c r="B1009" s="1">
        <v>7.92</v>
      </c>
      <c r="C1009" s="1">
        <v>740</v>
      </c>
      <c r="D1009" s="1" t="s">
        <v>67</v>
      </c>
      <c r="E1009" s="1" t="s">
        <v>12</v>
      </c>
      <c r="F1009" s="1">
        <f t="shared" si="38"/>
        <v>792</v>
      </c>
      <c r="G1009" s="12">
        <f t="shared" si="39"/>
        <v>93.434343434343432</v>
      </c>
    </row>
    <row r="1010" spans="1:7" ht="13">
      <c r="A1010" s="4" t="s">
        <v>115</v>
      </c>
      <c r="B1010" s="1">
        <v>6.5</v>
      </c>
      <c r="C1010" s="1">
        <v>728</v>
      </c>
      <c r="D1010" s="1" t="s">
        <v>11</v>
      </c>
      <c r="E1010" s="1" t="s">
        <v>18</v>
      </c>
      <c r="F1010" s="1">
        <f t="shared" si="38"/>
        <v>650</v>
      </c>
      <c r="G1010" s="12">
        <f t="shared" si="39"/>
        <v>112</v>
      </c>
    </row>
    <row r="1011" spans="1:7" ht="13">
      <c r="A1011" s="4" t="s">
        <v>115</v>
      </c>
      <c r="B1011" s="1">
        <v>7.3</v>
      </c>
      <c r="C1011" s="1">
        <v>753</v>
      </c>
      <c r="D1011" s="1" t="s">
        <v>53</v>
      </c>
      <c r="E1011" s="1" t="s">
        <v>17</v>
      </c>
      <c r="F1011" s="1">
        <f t="shared" si="38"/>
        <v>730</v>
      </c>
      <c r="G1011" s="12">
        <f t="shared" si="39"/>
        <v>103.15068493150685</v>
      </c>
    </row>
    <row r="1012" spans="1:7" ht="13">
      <c r="A1012" s="4" t="s">
        <v>115</v>
      </c>
      <c r="B1012" s="1">
        <v>7.6</v>
      </c>
      <c r="C1012" s="1">
        <v>758</v>
      </c>
      <c r="D1012" s="1" t="s">
        <v>33</v>
      </c>
      <c r="E1012" s="1" t="s">
        <v>12</v>
      </c>
      <c r="F1012" s="1">
        <f t="shared" si="38"/>
        <v>760</v>
      </c>
      <c r="G1012" s="12">
        <f t="shared" si="39"/>
        <v>99.736842105263165</v>
      </c>
    </row>
    <row r="1013" spans="1:7" ht="13">
      <c r="A1013" s="4" t="s">
        <v>115</v>
      </c>
      <c r="B1013" s="1">
        <v>5.4</v>
      </c>
      <c r="C1013" s="1">
        <v>402</v>
      </c>
      <c r="D1013" s="1" t="s">
        <v>59</v>
      </c>
      <c r="E1013" s="1" t="s">
        <v>16</v>
      </c>
      <c r="F1013" s="1">
        <f t="shared" si="38"/>
        <v>540</v>
      </c>
      <c r="G1013" s="12">
        <f t="shared" si="39"/>
        <v>74.444444444444443</v>
      </c>
    </row>
    <row r="1014" spans="1:7" ht="13">
      <c r="A1014" s="4" t="s">
        <v>115</v>
      </c>
      <c r="B1014" s="1">
        <v>8.4</v>
      </c>
      <c r="C1014" s="1">
        <v>780</v>
      </c>
      <c r="D1014" s="1" t="s">
        <v>33</v>
      </c>
      <c r="E1014" s="1" t="s">
        <v>25</v>
      </c>
      <c r="F1014" s="1">
        <f t="shared" si="38"/>
        <v>840</v>
      </c>
      <c r="G1014" s="12">
        <f t="shared" si="39"/>
        <v>92.857142857142847</v>
      </c>
    </row>
    <row r="1015" spans="1:7" ht="13">
      <c r="A1015" s="4" t="s">
        <v>115</v>
      </c>
      <c r="B1015" s="1">
        <v>5</v>
      </c>
      <c r="C1015" s="1">
        <v>448</v>
      </c>
      <c r="D1015" s="1" t="s">
        <v>40</v>
      </c>
      <c r="E1015" s="1" t="s">
        <v>12</v>
      </c>
      <c r="F1015" s="1">
        <f t="shared" si="38"/>
        <v>500</v>
      </c>
      <c r="G1015" s="12">
        <f t="shared" si="39"/>
        <v>89.6</v>
      </c>
    </row>
    <row r="1016" spans="1:7" ht="13">
      <c r="A1016" s="4" t="s">
        <v>115</v>
      </c>
      <c r="B1016" s="1">
        <v>6.7</v>
      </c>
      <c r="C1016" s="1">
        <v>676</v>
      </c>
      <c r="D1016" s="1" t="s">
        <v>11</v>
      </c>
      <c r="E1016" s="1" t="s">
        <v>16</v>
      </c>
      <c r="F1016" s="1">
        <f t="shared" si="38"/>
        <v>670</v>
      </c>
      <c r="G1016" s="12">
        <f t="shared" si="39"/>
        <v>100.8955223880597</v>
      </c>
    </row>
    <row r="1017" spans="1:7" ht="13">
      <c r="A1017" s="4" t="s">
        <v>115</v>
      </c>
      <c r="B1017" s="1">
        <v>6</v>
      </c>
      <c r="C1017" s="1">
        <v>632</v>
      </c>
      <c r="D1017" s="1" t="s">
        <v>33</v>
      </c>
      <c r="E1017" s="1" t="s">
        <v>7</v>
      </c>
      <c r="F1017" s="1">
        <f t="shared" si="38"/>
        <v>600</v>
      </c>
      <c r="G1017" s="12">
        <f t="shared" si="39"/>
        <v>105.33333333333333</v>
      </c>
    </row>
    <row r="1018" spans="1:7" ht="13">
      <c r="A1018" s="4" t="s">
        <v>115</v>
      </c>
      <c r="B1018" s="1">
        <v>5.0999999999999996</v>
      </c>
      <c r="C1018" s="1">
        <v>429</v>
      </c>
      <c r="D1018" s="1" t="s">
        <v>33</v>
      </c>
      <c r="E1018" s="1" t="s">
        <v>15</v>
      </c>
      <c r="F1018" s="1">
        <f t="shared" si="38"/>
        <v>509.99999999999994</v>
      </c>
      <c r="G1018" s="12">
        <f t="shared" si="39"/>
        <v>84.117647058823536</v>
      </c>
    </row>
    <row r="1019" spans="1:7" ht="13">
      <c r="A1019" s="4" t="s">
        <v>115</v>
      </c>
      <c r="B1019" s="1">
        <v>4.3499999999999996</v>
      </c>
      <c r="C1019" s="1">
        <v>469</v>
      </c>
      <c r="D1019" s="1" t="s">
        <v>47</v>
      </c>
      <c r="E1019" s="1" t="s">
        <v>9</v>
      </c>
      <c r="F1019" s="1">
        <f t="shared" si="38"/>
        <v>434.99999999999994</v>
      </c>
      <c r="G1019" s="12">
        <f t="shared" si="39"/>
        <v>107.81609195402299</v>
      </c>
    </row>
    <row r="1020" spans="1:7" ht="13">
      <c r="A1020" s="4" t="s">
        <v>115</v>
      </c>
      <c r="B1020" s="1">
        <v>8.3000000000000007</v>
      </c>
      <c r="C1020" s="1">
        <v>861</v>
      </c>
      <c r="D1020" s="1" t="s">
        <v>11</v>
      </c>
      <c r="E1020" s="1" t="s">
        <v>17</v>
      </c>
      <c r="F1020" s="1">
        <f t="shared" si="38"/>
        <v>830.00000000000011</v>
      </c>
      <c r="G1020" s="12">
        <f t="shared" si="39"/>
        <v>103.73493975903614</v>
      </c>
    </row>
    <row r="1021" spans="1:7" ht="13">
      <c r="A1021" s="4" t="s">
        <v>115</v>
      </c>
      <c r="B1021" s="1">
        <v>7.3949999999999996</v>
      </c>
      <c r="C1021" s="1">
        <v>726</v>
      </c>
      <c r="D1021" s="1" t="s">
        <v>42</v>
      </c>
      <c r="E1021" s="1" t="s">
        <v>25</v>
      </c>
      <c r="F1021" s="1">
        <f t="shared" si="38"/>
        <v>739.5</v>
      </c>
      <c r="G1021" s="12">
        <f t="shared" si="39"/>
        <v>98.174442190669382</v>
      </c>
    </row>
    <row r="1022" spans="1:7" ht="13">
      <c r="A1022" s="4" t="s">
        <v>115</v>
      </c>
      <c r="B1022" s="1">
        <v>4.5</v>
      </c>
      <c r="C1022" s="1">
        <v>431</v>
      </c>
      <c r="D1022" s="1" t="s">
        <v>33</v>
      </c>
      <c r="E1022" s="1" t="s">
        <v>17</v>
      </c>
      <c r="F1022" s="1">
        <f t="shared" si="38"/>
        <v>450</v>
      </c>
      <c r="G1022" s="12">
        <f t="shared" si="39"/>
        <v>95.777777777777771</v>
      </c>
    </row>
    <row r="1023" spans="1:7" ht="13">
      <c r="A1023" s="4" t="s">
        <v>115</v>
      </c>
      <c r="B1023" s="1">
        <v>5.2</v>
      </c>
      <c r="C1023" s="1">
        <v>459</v>
      </c>
      <c r="D1023" s="1" t="s">
        <v>60</v>
      </c>
      <c r="E1023" s="1" t="s">
        <v>24</v>
      </c>
      <c r="F1023" s="1">
        <f t="shared" si="38"/>
        <v>520</v>
      </c>
      <c r="G1023" s="12">
        <f t="shared" si="39"/>
        <v>88.269230769230759</v>
      </c>
    </row>
    <row r="1024" spans="1:7" ht="13">
      <c r="A1024" s="4" t="s">
        <v>115</v>
      </c>
      <c r="B1024" s="1">
        <v>4.5</v>
      </c>
      <c r="C1024" s="1">
        <v>447.3</v>
      </c>
      <c r="D1024" s="1" t="s">
        <v>43</v>
      </c>
      <c r="E1024" s="1" t="s">
        <v>15</v>
      </c>
      <c r="F1024" s="1">
        <f t="shared" si="38"/>
        <v>450</v>
      </c>
      <c r="G1024" s="12">
        <f t="shared" si="39"/>
        <v>99.4</v>
      </c>
    </row>
    <row r="1025" spans="1:7" ht="13">
      <c r="A1025" s="4" t="s">
        <v>115</v>
      </c>
      <c r="B1025" s="1">
        <v>9.1300000000000008</v>
      </c>
      <c r="C1025" s="1">
        <v>1024</v>
      </c>
      <c r="D1025" s="1" t="s">
        <v>11</v>
      </c>
      <c r="E1025" s="1" t="s">
        <v>23</v>
      </c>
      <c r="F1025" s="1">
        <f t="shared" si="38"/>
        <v>913.00000000000011</v>
      </c>
      <c r="G1025" s="12">
        <f t="shared" si="39"/>
        <v>112.15772179627601</v>
      </c>
    </row>
    <row r="1026" spans="1:7" ht="13">
      <c r="A1026" s="4" t="s">
        <v>115</v>
      </c>
      <c r="B1026" s="1">
        <v>4.8</v>
      </c>
      <c r="C1026" s="1">
        <v>360</v>
      </c>
      <c r="D1026" s="1" t="s">
        <v>43</v>
      </c>
      <c r="E1026" s="1" t="s">
        <v>22</v>
      </c>
      <c r="F1026" s="1">
        <f t="shared" si="38"/>
        <v>480</v>
      </c>
      <c r="G1026" s="12">
        <f t="shared" si="39"/>
        <v>75</v>
      </c>
    </row>
    <row r="1027" spans="1:7" ht="13">
      <c r="A1027" s="4" t="s">
        <v>115</v>
      </c>
      <c r="B1027" s="1">
        <v>3.4</v>
      </c>
      <c r="C1027" s="1">
        <v>342</v>
      </c>
      <c r="D1027" s="1" t="s">
        <v>11</v>
      </c>
      <c r="E1027" s="1" t="s">
        <v>15</v>
      </c>
      <c r="F1027" s="1">
        <f t="shared" ref="F1027:F1090" si="40">B1027*100</f>
        <v>340</v>
      </c>
      <c r="G1027" s="12">
        <f t="shared" ref="G1027:G1090" si="41">C1027/B1027</f>
        <v>100.58823529411765</v>
      </c>
    </row>
    <row r="1028" spans="1:7" ht="13">
      <c r="A1028" s="4" t="s">
        <v>115</v>
      </c>
      <c r="B1028" s="1">
        <v>7.5</v>
      </c>
      <c r="C1028" s="1">
        <v>658</v>
      </c>
      <c r="D1028" s="1" t="s">
        <v>34</v>
      </c>
      <c r="E1028" s="1" t="s">
        <v>22</v>
      </c>
      <c r="F1028" s="1">
        <f t="shared" si="40"/>
        <v>750</v>
      </c>
      <c r="G1028" s="12">
        <f t="shared" si="41"/>
        <v>87.733333333333334</v>
      </c>
    </row>
    <row r="1029" spans="1:7" ht="13">
      <c r="A1029" s="4" t="s">
        <v>115</v>
      </c>
      <c r="B1029" s="1">
        <v>6.96</v>
      </c>
      <c r="C1029" s="1">
        <v>729</v>
      </c>
      <c r="D1029" s="1" t="s">
        <v>11</v>
      </c>
      <c r="E1029" s="1" t="s">
        <v>31</v>
      </c>
      <c r="F1029" s="1">
        <f t="shared" si="40"/>
        <v>696</v>
      </c>
      <c r="G1029" s="12">
        <f t="shared" si="41"/>
        <v>104.74137931034483</v>
      </c>
    </row>
    <row r="1030" spans="1:7" ht="13">
      <c r="A1030" s="4" t="s">
        <v>115</v>
      </c>
      <c r="B1030" s="1">
        <v>7.78</v>
      </c>
      <c r="C1030" s="1">
        <v>761</v>
      </c>
      <c r="D1030" s="1" t="s">
        <v>47</v>
      </c>
      <c r="E1030" s="1" t="s">
        <v>23</v>
      </c>
      <c r="F1030" s="1">
        <f t="shared" si="40"/>
        <v>778</v>
      </c>
      <c r="G1030" s="12">
        <f t="shared" si="41"/>
        <v>97.814910025706936</v>
      </c>
    </row>
    <row r="1031" spans="1:7" ht="13">
      <c r="A1031" s="4" t="s">
        <v>115</v>
      </c>
      <c r="B1031" s="1">
        <v>5.6</v>
      </c>
      <c r="C1031" s="1">
        <v>620</v>
      </c>
      <c r="D1031" s="1" t="s">
        <v>33</v>
      </c>
      <c r="E1031" s="1" t="s">
        <v>12</v>
      </c>
      <c r="F1031" s="1">
        <f t="shared" si="40"/>
        <v>560</v>
      </c>
      <c r="G1031" s="12">
        <f t="shared" si="41"/>
        <v>110.71428571428572</v>
      </c>
    </row>
    <row r="1032" spans="1:7" ht="13">
      <c r="A1032" s="4" t="s">
        <v>115</v>
      </c>
      <c r="B1032" s="1">
        <v>5</v>
      </c>
      <c r="C1032" s="1">
        <v>446</v>
      </c>
      <c r="D1032" s="1" t="s">
        <v>50</v>
      </c>
      <c r="E1032" s="1" t="s">
        <v>22</v>
      </c>
      <c r="F1032" s="1">
        <f t="shared" si="40"/>
        <v>500</v>
      </c>
      <c r="G1032" s="12">
        <f t="shared" si="41"/>
        <v>89.2</v>
      </c>
    </row>
    <row r="1033" spans="1:7" ht="13">
      <c r="A1033" s="4" t="s">
        <v>115</v>
      </c>
      <c r="B1033" s="1">
        <v>6.96</v>
      </c>
      <c r="C1033" s="1">
        <v>765</v>
      </c>
      <c r="D1033" s="1" t="s">
        <v>11</v>
      </c>
      <c r="E1033" s="1" t="s">
        <v>8</v>
      </c>
      <c r="F1033" s="1">
        <f t="shared" si="40"/>
        <v>696</v>
      </c>
      <c r="G1033" s="12">
        <f t="shared" si="41"/>
        <v>109.91379310344827</v>
      </c>
    </row>
    <row r="1034" spans="1:7" ht="13">
      <c r="A1034" s="4" t="s">
        <v>115</v>
      </c>
      <c r="B1034" s="1">
        <v>6.9</v>
      </c>
      <c r="C1034" s="1">
        <v>464</v>
      </c>
      <c r="D1034" s="1" t="s">
        <v>36</v>
      </c>
      <c r="E1034" s="1" t="s">
        <v>26</v>
      </c>
      <c r="F1034" s="1">
        <f t="shared" si="40"/>
        <v>690</v>
      </c>
      <c r="G1034" s="12">
        <f t="shared" si="41"/>
        <v>67.246376811594203</v>
      </c>
    </row>
    <row r="1035" spans="1:7" ht="13">
      <c r="A1035" s="4" t="s">
        <v>115</v>
      </c>
      <c r="B1035" s="1">
        <v>7.56</v>
      </c>
      <c r="C1035" s="1">
        <v>852</v>
      </c>
      <c r="D1035" s="1" t="s">
        <v>11</v>
      </c>
      <c r="E1035" s="1" t="s">
        <v>9</v>
      </c>
      <c r="F1035" s="1">
        <f t="shared" si="40"/>
        <v>756</v>
      </c>
      <c r="G1035" s="12">
        <f t="shared" si="41"/>
        <v>112.69841269841271</v>
      </c>
    </row>
    <row r="1036" spans="1:7" ht="13">
      <c r="A1036" s="4" t="s">
        <v>115</v>
      </c>
      <c r="B1036" s="1">
        <v>6.3</v>
      </c>
      <c r="C1036" s="1">
        <v>594.95000000000005</v>
      </c>
      <c r="D1036" s="1" t="s">
        <v>43</v>
      </c>
      <c r="E1036" s="1" t="s">
        <v>29</v>
      </c>
      <c r="F1036" s="1">
        <f t="shared" si="40"/>
        <v>630</v>
      </c>
      <c r="G1036" s="12">
        <f t="shared" si="41"/>
        <v>94.436507936507951</v>
      </c>
    </row>
    <row r="1037" spans="1:7" ht="13">
      <c r="A1037" s="4" t="s">
        <v>115</v>
      </c>
      <c r="B1037" s="1">
        <v>5.4</v>
      </c>
      <c r="C1037" s="1">
        <v>512</v>
      </c>
      <c r="D1037" s="1" t="s">
        <v>35</v>
      </c>
      <c r="E1037" s="1" t="s">
        <v>8</v>
      </c>
      <c r="F1037" s="1">
        <f t="shared" si="40"/>
        <v>540</v>
      </c>
      <c r="G1037" s="12">
        <f t="shared" si="41"/>
        <v>94.81481481481481</v>
      </c>
    </row>
    <row r="1038" spans="1:7" ht="13">
      <c r="A1038" s="4" t="s">
        <v>115</v>
      </c>
      <c r="B1038" s="1">
        <v>4.05</v>
      </c>
      <c r="C1038" s="1">
        <v>381</v>
      </c>
      <c r="D1038" s="1" t="s">
        <v>34</v>
      </c>
      <c r="E1038" s="1" t="s">
        <v>30</v>
      </c>
      <c r="F1038" s="1">
        <f t="shared" si="40"/>
        <v>405</v>
      </c>
      <c r="G1038" s="12">
        <f t="shared" si="41"/>
        <v>94.074074074074076</v>
      </c>
    </row>
    <row r="1039" spans="1:7" ht="13">
      <c r="A1039" s="4" t="s">
        <v>115</v>
      </c>
      <c r="B1039" s="1">
        <v>9</v>
      </c>
      <c r="C1039" s="1">
        <v>1036</v>
      </c>
      <c r="D1039" s="1" t="s">
        <v>11</v>
      </c>
      <c r="E1039" s="1" t="s">
        <v>12</v>
      </c>
      <c r="F1039" s="1">
        <f t="shared" si="40"/>
        <v>900</v>
      </c>
      <c r="G1039" s="12">
        <f t="shared" si="41"/>
        <v>115.11111111111111</v>
      </c>
    </row>
    <row r="1040" spans="1:7" ht="13">
      <c r="A1040" s="4" t="s">
        <v>115</v>
      </c>
      <c r="B1040" s="1">
        <v>7.3</v>
      </c>
      <c r="C1040" s="1">
        <v>590</v>
      </c>
      <c r="D1040" s="1" t="s">
        <v>39</v>
      </c>
      <c r="E1040" s="1" t="s">
        <v>31</v>
      </c>
      <c r="F1040" s="1">
        <f t="shared" si="40"/>
        <v>730</v>
      </c>
      <c r="G1040" s="12">
        <f t="shared" si="41"/>
        <v>80.821917808219183</v>
      </c>
    </row>
    <row r="1041" spans="1:7" ht="13">
      <c r="A1041" s="4" t="s">
        <v>115</v>
      </c>
      <c r="B1041" s="1">
        <v>6.4</v>
      </c>
      <c r="C1041" s="1">
        <v>610</v>
      </c>
      <c r="D1041" s="1" t="s">
        <v>11</v>
      </c>
      <c r="E1041" s="1" t="s">
        <v>17</v>
      </c>
      <c r="F1041" s="1">
        <f t="shared" si="40"/>
        <v>640</v>
      </c>
      <c r="G1041" s="12">
        <f t="shared" si="41"/>
        <v>95.3125</v>
      </c>
    </row>
    <row r="1042" spans="1:7" ht="13">
      <c r="A1042" s="4" t="s">
        <v>115</v>
      </c>
      <c r="B1042" s="1">
        <v>9.5</v>
      </c>
      <c r="C1042" s="1">
        <v>830</v>
      </c>
      <c r="D1042" s="1" t="s">
        <v>33</v>
      </c>
      <c r="E1042" s="1" t="s">
        <v>18</v>
      </c>
      <c r="F1042" s="1">
        <f t="shared" si="40"/>
        <v>950</v>
      </c>
      <c r="G1042" s="12">
        <f t="shared" si="41"/>
        <v>87.368421052631575</v>
      </c>
    </row>
    <row r="1043" spans="1:7" ht="13">
      <c r="A1043" s="4" t="s">
        <v>115</v>
      </c>
      <c r="B1043" s="1">
        <v>7.29</v>
      </c>
      <c r="C1043" s="1">
        <v>475.5</v>
      </c>
      <c r="D1043" s="1" t="s">
        <v>43</v>
      </c>
      <c r="E1043" s="1" t="s">
        <v>24</v>
      </c>
      <c r="F1043" s="1">
        <f t="shared" si="40"/>
        <v>729</v>
      </c>
      <c r="G1043" s="12">
        <f t="shared" si="41"/>
        <v>65.226337448559676</v>
      </c>
    </row>
    <row r="1044" spans="1:7" ht="13">
      <c r="A1044" s="4" t="s">
        <v>115</v>
      </c>
      <c r="B1044" s="1">
        <v>8.6999999999999993</v>
      </c>
      <c r="C1044" s="1">
        <v>856</v>
      </c>
      <c r="D1044" s="1" t="s">
        <v>11</v>
      </c>
      <c r="E1044" s="1" t="s">
        <v>26</v>
      </c>
      <c r="F1044" s="1">
        <f t="shared" si="40"/>
        <v>869.99999999999989</v>
      </c>
      <c r="G1044" s="12">
        <f t="shared" si="41"/>
        <v>98.390804597701162</v>
      </c>
    </row>
    <row r="1045" spans="1:7" ht="13">
      <c r="A1045" s="4" t="s">
        <v>115</v>
      </c>
      <c r="B1045" s="1">
        <v>3.9</v>
      </c>
      <c r="C1045" s="1">
        <v>399</v>
      </c>
      <c r="D1045" s="1" t="s">
        <v>89</v>
      </c>
      <c r="E1045" s="1" t="s">
        <v>16</v>
      </c>
      <c r="F1045" s="1">
        <f t="shared" si="40"/>
        <v>390</v>
      </c>
      <c r="G1045" s="12">
        <f t="shared" si="41"/>
        <v>102.30769230769231</v>
      </c>
    </row>
    <row r="1046" spans="1:7" ht="13">
      <c r="A1046" s="4" t="s">
        <v>115</v>
      </c>
      <c r="B1046" s="1">
        <v>6.88</v>
      </c>
      <c r="C1046" s="1">
        <v>638</v>
      </c>
      <c r="D1046" s="1" t="s">
        <v>33</v>
      </c>
      <c r="E1046" s="1" t="s">
        <v>10</v>
      </c>
      <c r="F1046" s="1">
        <f t="shared" si="40"/>
        <v>688</v>
      </c>
      <c r="G1046" s="12">
        <f t="shared" si="41"/>
        <v>92.732558139534888</v>
      </c>
    </row>
    <row r="1047" spans="1:7" ht="13">
      <c r="A1047" s="4" t="s">
        <v>115</v>
      </c>
      <c r="B1047" s="1">
        <v>7.4</v>
      </c>
      <c r="C1047" s="1">
        <v>686</v>
      </c>
      <c r="D1047" s="1" t="s">
        <v>47</v>
      </c>
      <c r="E1047" s="1" t="s">
        <v>26</v>
      </c>
      <c r="F1047" s="1">
        <f t="shared" si="40"/>
        <v>740</v>
      </c>
      <c r="G1047" s="12">
        <f t="shared" si="41"/>
        <v>92.702702702702695</v>
      </c>
    </row>
    <row r="1048" spans="1:7" ht="13">
      <c r="A1048" s="4" t="s">
        <v>115</v>
      </c>
      <c r="B1048" s="1">
        <v>5.88</v>
      </c>
      <c r="C1048" s="1">
        <v>587</v>
      </c>
      <c r="D1048" s="1" t="s">
        <v>11</v>
      </c>
      <c r="E1048" s="1" t="s">
        <v>15</v>
      </c>
      <c r="F1048" s="1">
        <f t="shared" si="40"/>
        <v>588</v>
      </c>
      <c r="G1048" s="12">
        <f t="shared" si="41"/>
        <v>99.829931972789112</v>
      </c>
    </row>
    <row r="1049" spans="1:7" ht="13">
      <c r="A1049" s="4" t="s">
        <v>115</v>
      </c>
      <c r="B1049" s="1">
        <v>4.8</v>
      </c>
      <c r="C1049" s="1">
        <v>405</v>
      </c>
      <c r="D1049" s="1" t="s">
        <v>11</v>
      </c>
      <c r="E1049" s="1" t="s">
        <v>10</v>
      </c>
      <c r="F1049" s="1">
        <f t="shared" si="40"/>
        <v>480</v>
      </c>
      <c r="G1049" s="12">
        <f t="shared" si="41"/>
        <v>84.375</v>
      </c>
    </row>
    <row r="1050" spans="1:7" ht="13">
      <c r="A1050" s="4" t="s">
        <v>115</v>
      </c>
      <c r="B1050" s="1">
        <v>7.74</v>
      </c>
      <c r="C1050" s="1">
        <v>689</v>
      </c>
      <c r="D1050" s="1" t="s">
        <v>37</v>
      </c>
      <c r="E1050" s="1" t="s">
        <v>16</v>
      </c>
      <c r="F1050" s="1">
        <f t="shared" si="40"/>
        <v>774</v>
      </c>
      <c r="G1050" s="12">
        <f t="shared" si="41"/>
        <v>89.018087855297154</v>
      </c>
    </row>
    <row r="1051" spans="1:7" ht="13">
      <c r="A1051" s="4" t="s">
        <v>115</v>
      </c>
      <c r="B1051" s="1">
        <v>7.74</v>
      </c>
      <c r="C1051" s="1">
        <v>734</v>
      </c>
      <c r="D1051" s="1" t="s">
        <v>36</v>
      </c>
      <c r="E1051" s="1" t="s">
        <v>9</v>
      </c>
      <c r="F1051" s="1">
        <f t="shared" si="40"/>
        <v>774</v>
      </c>
      <c r="G1051" s="12">
        <f t="shared" si="41"/>
        <v>94.832041343669246</v>
      </c>
    </row>
    <row r="1052" spans="1:7" ht="13">
      <c r="A1052" s="4" t="s">
        <v>115</v>
      </c>
      <c r="B1052" s="1">
        <v>8.1999999999999993</v>
      </c>
      <c r="C1052" s="1">
        <v>777</v>
      </c>
      <c r="D1052" s="1" t="s">
        <v>11</v>
      </c>
      <c r="E1052" s="1" t="s">
        <v>12</v>
      </c>
      <c r="F1052" s="1">
        <f t="shared" si="40"/>
        <v>819.99999999999989</v>
      </c>
      <c r="G1052" s="12">
        <f t="shared" si="41"/>
        <v>94.756097560975618</v>
      </c>
    </row>
    <row r="1053" spans="1:7" ht="13">
      <c r="A1053" s="4" t="s">
        <v>115</v>
      </c>
      <c r="B1053" s="1">
        <v>4.3</v>
      </c>
      <c r="C1053" s="1">
        <v>461</v>
      </c>
      <c r="D1053" s="1" t="s">
        <v>39</v>
      </c>
      <c r="E1053" s="1" t="s">
        <v>15</v>
      </c>
      <c r="F1053" s="1">
        <f t="shared" si="40"/>
        <v>430</v>
      </c>
      <c r="G1053" s="12">
        <f t="shared" si="41"/>
        <v>107.2093023255814</v>
      </c>
    </row>
    <row r="1054" spans="1:7" ht="13">
      <c r="A1054" s="4" t="s">
        <v>115</v>
      </c>
      <c r="B1054" s="1">
        <v>4</v>
      </c>
      <c r="C1054" s="1">
        <v>276</v>
      </c>
      <c r="D1054" s="1" t="s">
        <v>50</v>
      </c>
      <c r="E1054" s="1" t="s">
        <v>15</v>
      </c>
      <c r="F1054" s="1">
        <f t="shared" si="40"/>
        <v>400</v>
      </c>
      <c r="G1054" s="12">
        <f t="shared" si="41"/>
        <v>69</v>
      </c>
    </row>
    <row r="1055" spans="1:7" ht="13">
      <c r="A1055" s="4" t="s">
        <v>115</v>
      </c>
      <c r="B1055" s="1">
        <v>6375</v>
      </c>
      <c r="C1055" s="1">
        <v>661</v>
      </c>
      <c r="D1055" s="1" t="s">
        <v>11</v>
      </c>
      <c r="E1055" s="1" t="s">
        <v>12</v>
      </c>
      <c r="F1055" s="1">
        <f t="shared" si="40"/>
        <v>637500</v>
      </c>
      <c r="G1055" s="12">
        <f t="shared" si="41"/>
        <v>0.10368627450980392</v>
      </c>
    </row>
    <row r="1056" spans="1:7" ht="13">
      <c r="A1056" s="4" t="s">
        <v>115</v>
      </c>
      <c r="B1056" s="1">
        <v>4.8</v>
      </c>
      <c r="C1056" s="1">
        <v>511</v>
      </c>
      <c r="D1056" s="1" t="s">
        <v>11</v>
      </c>
      <c r="E1056" s="1" t="s">
        <v>21</v>
      </c>
      <c r="F1056" s="1">
        <f t="shared" si="40"/>
        <v>480</v>
      </c>
      <c r="G1056" s="12">
        <f t="shared" si="41"/>
        <v>106.45833333333334</v>
      </c>
    </row>
    <row r="1057" spans="1:7" ht="13">
      <c r="A1057" s="4" t="s">
        <v>115</v>
      </c>
      <c r="B1057" s="1">
        <v>6.24</v>
      </c>
      <c r="C1057" s="1">
        <v>795</v>
      </c>
      <c r="D1057" s="1" t="s">
        <v>11</v>
      </c>
      <c r="E1057" s="1" t="s">
        <v>17</v>
      </c>
      <c r="F1057" s="1">
        <f t="shared" si="40"/>
        <v>624</v>
      </c>
      <c r="G1057" s="12">
        <f t="shared" si="41"/>
        <v>127.40384615384615</v>
      </c>
    </row>
    <row r="1058" spans="1:7" ht="13">
      <c r="A1058" s="4" t="s">
        <v>115</v>
      </c>
      <c r="B1058" s="1">
        <v>5.85</v>
      </c>
      <c r="C1058" s="1">
        <v>540</v>
      </c>
      <c r="D1058" s="1" t="s">
        <v>45</v>
      </c>
      <c r="E1058" s="1" t="s">
        <v>15</v>
      </c>
      <c r="F1058" s="1">
        <f t="shared" si="40"/>
        <v>585</v>
      </c>
      <c r="G1058" s="12">
        <f t="shared" si="41"/>
        <v>92.307692307692307</v>
      </c>
    </row>
    <row r="1059" spans="1:7" ht="13">
      <c r="A1059" s="4" t="s">
        <v>115</v>
      </c>
      <c r="B1059" s="1">
        <v>2.6</v>
      </c>
      <c r="C1059" s="1">
        <v>1741</v>
      </c>
      <c r="D1059" s="1" t="s">
        <v>43</v>
      </c>
      <c r="E1059" s="1" t="s">
        <v>22</v>
      </c>
      <c r="F1059" s="1">
        <f t="shared" si="40"/>
        <v>260</v>
      </c>
      <c r="G1059" s="12">
        <f t="shared" si="41"/>
        <v>669.61538461538464</v>
      </c>
    </row>
    <row r="1060" spans="1:7" ht="13">
      <c r="A1060" s="4" t="s">
        <v>115</v>
      </c>
      <c r="B1060" s="1">
        <v>5.0999999999999996</v>
      </c>
      <c r="C1060" s="1">
        <v>523</v>
      </c>
      <c r="D1060" s="1" t="s">
        <v>59</v>
      </c>
      <c r="E1060" s="1" t="s">
        <v>18</v>
      </c>
      <c r="F1060" s="1">
        <f t="shared" si="40"/>
        <v>509.99999999999994</v>
      </c>
      <c r="G1060" s="12">
        <f t="shared" si="41"/>
        <v>102.54901960784315</v>
      </c>
    </row>
    <row r="1061" spans="1:7" ht="13">
      <c r="A1061" s="4" t="s">
        <v>115</v>
      </c>
      <c r="B1061" s="1">
        <v>6.88</v>
      </c>
      <c r="C1061" s="1">
        <v>669</v>
      </c>
      <c r="D1061" s="1" t="s">
        <v>47</v>
      </c>
      <c r="E1061" s="1" t="s">
        <v>28</v>
      </c>
      <c r="F1061" s="1">
        <f t="shared" si="40"/>
        <v>688</v>
      </c>
      <c r="G1061" s="12">
        <f t="shared" si="41"/>
        <v>97.238372093023258</v>
      </c>
    </row>
    <row r="1062" spans="1:7" ht="13">
      <c r="A1062" s="4" t="s">
        <v>115</v>
      </c>
      <c r="B1062" s="1">
        <v>8</v>
      </c>
      <c r="C1062" s="1">
        <v>635</v>
      </c>
      <c r="D1062" s="1" t="s">
        <v>52</v>
      </c>
      <c r="E1062" s="1" t="s">
        <v>16</v>
      </c>
      <c r="F1062" s="1">
        <f t="shared" si="40"/>
        <v>800</v>
      </c>
      <c r="G1062" s="12">
        <f t="shared" si="41"/>
        <v>79.375</v>
      </c>
    </row>
    <row r="1063" spans="1:7" ht="13">
      <c r="A1063" s="4" t="s">
        <v>115</v>
      </c>
      <c r="B1063" s="1">
        <v>6</v>
      </c>
      <c r="C1063" s="1">
        <v>628</v>
      </c>
      <c r="D1063" s="1" t="s">
        <v>33</v>
      </c>
      <c r="E1063" s="1" t="s">
        <v>32</v>
      </c>
      <c r="F1063" s="1">
        <f t="shared" si="40"/>
        <v>600</v>
      </c>
      <c r="G1063" s="12">
        <f t="shared" si="41"/>
        <v>104.66666666666667</v>
      </c>
    </row>
    <row r="1064" spans="1:7" ht="13">
      <c r="A1064" s="4" t="s">
        <v>115</v>
      </c>
      <c r="B1064" s="1">
        <v>6.7</v>
      </c>
      <c r="C1064" s="1">
        <v>674</v>
      </c>
      <c r="D1064" s="1" t="s">
        <v>11</v>
      </c>
      <c r="E1064" s="1" t="s">
        <v>17</v>
      </c>
      <c r="F1064" s="1">
        <f t="shared" si="40"/>
        <v>670</v>
      </c>
      <c r="G1064" s="12">
        <f t="shared" si="41"/>
        <v>100.59701492537313</v>
      </c>
    </row>
    <row r="1065" spans="1:7" ht="13">
      <c r="A1065" s="4" t="s">
        <v>115</v>
      </c>
      <c r="B1065" s="1">
        <v>6.88</v>
      </c>
      <c r="C1065" s="1">
        <v>676</v>
      </c>
      <c r="D1065" s="1" t="s">
        <v>33</v>
      </c>
      <c r="E1065" s="1" t="s">
        <v>8</v>
      </c>
      <c r="F1065" s="1">
        <f t="shared" si="40"/>
        <v>688</v>
      </c>
      <c r="G1065" s="12">
        <f t="shared" si="41"/>
        <v>98.255813953488371</v>
      </c>
    </row>
    <row r="1066" spans="1:7" ht="13">
      <c r="A1066" s="4" t="s">
        <v>115</v>
      </c>
      <c r="B1066" s="1">
        <v>7.8</v>
      </c>
      <c r="C1066" s="1">
        <v>750</v>
      </c>
      <c r="D1066" s="1" t="s">
        <v>47</v>
      </c>
      <c r="E1066" s="1" t="s">
        <v>21</v>
      </c>
      <c r="F1066" s="1">
        <f t="shared" si="40"/>
        <v>780</v>
      </c>
      <c r="G1066" s="12">
        <f t="shared" si="41"/>
        <v>96.15384615384616</v>
      </c>
    </row>
    <row r="1067" spans="1:7" ht="13">
      <c r="A1067" s="4" t="s">
        <v>115</v>
      </c>
      <c r="B1067" s="1">
        <v>6.75</v>
      </c>
      <c r="C1067" s="1">
        <v>629</v>
      </c>
      <c r="D1067" s="1" t="s">
        <v>11</v>
      </c>
      <c r="E1067" s="1" t="s">
        <v>26</v>
      </c>
      <c r="F1067" s="1">
        <f t="shared" si="40"/>
        <v>675</v>
      </c>
      <c r="G1067" s="12">
        <f t="shared" si="41"/>
        <v>93.18518518518519</v>
      </c>
    </row>
    <row r="1068" spans="1:7" ht="13">
      <c r="A1068" s="4" t="s">
        <v>115</v>
      </c>
      <c r="B1068" s="1">
        <v>5.46</v>
      </c>
      <c r="C1068" s="1">
        <v>561</v>
      </c>
      <c r="D1068" s="1" t="s">
        <v>43</v>
      </c>
      <c r="E1068" s="1" t="s">
        <v>15</v>
      </c>
      <c r="F1068" s="1">
        <f t="shared" si="40"/>
        <v>546</v>
      </c>
      <c r="G1068" s="12">
        <f t="shared" si="41"/>
        <v>102.74725274725274</v>
      </c>
    </row>
    <row r="1069" spans="1:7" ht="13">
      <c r="A1069" s="4" t="s">
        <v>115</v>
      </c>
      <c r="B1069" s="1">
        <v>6.15</v>
      </c>
      <c r="C1069" s="1">
        <v>540</v>
      </c>
      <c r="D1069" s="1" t="s">
        <v>37</v>
      </c>
      <c r="E1069" s="1" t="s">
        <v>17</v>
      </c>
      <c r="F1069" s="1">
        <f t="shared" si="40"/>
        <v>615</v>
      </c>
      <c r="G1069" s="12">
        <f t="shared" si="41"/>
        <v>87.804878048780481</v>
      </c>
    </row>
    <row r="1070" spans="1:7" ht="13">
      <c r="A1070" s="4" t="s">
        <v>115</v>
      </c>
      <c r="B1070" s="1">
        <v>5.22</v>
      </c>
      <c r="C1070" s="1">
        <v>592</v>
      </c>
      <c r="D1070" s="1" t="s">
        <v>11</v>
      </c>
      <c r="E1070" s="1" t="s">
        <v>8</v>
      </c>
      <c r="F1070" s="1">
        <f t="shared" si="40"/>
        <v>522</v>
      </c>
      <c r="G1070" s="12">
        <f t="shared" si="41"/>
        <v>113.40996168582376</v>
      </c>
    </row>
    <row r="1071" spans="1:7" ht="13">
      <c r="A1071" s="4" t="s">
        <v>115</v>
      </c>
      <c r="B1071" s="1">
        <v>8.6999999999999993</v>
      </c>
      <c r="C1071" s="1">
        <v>888</v>
      </c>
      <c r="D1071" s="1" t="s">
        <v>11</v>
      </c>
      <c r="E1071" s="1" t="s">
        <v>10</v>
      </c>
      <c r="F1071" s="1">
        <f t="shared" si="40"/>
        <v>869.99999999999989</v>
      </c>
      <c r="G1071" s="12">
        <f t="shared" si="41"/>
        <v>102.06896551724138</v>
      </c>
    </row>
    <row r="1072" spans="1:7" ht="13">
      <c r="A1072" s="4" t="s">
        <v>115</v>
      </c>
      <c r="B1072" s="1">
        <v>8.4</v>
      </c>
      <c r="C1072" s="1">
        <v>763</v>
      </c>
      <c r="D1072" s="1" t="s">
        <v>11</v>
      </c>
      <c r="E1072" s="1" t="s">
        <v>24</v>
      </c>
      <c r="F1072" s="1">
        <f t="shared" si="40"/>
        <v>840</v>
      </c>
      <c r="G1072" s="12">
        <f t="shared" si="41"/>
        <v>90.833333333333329</v>
      </c>
    </row>
    <row r="1073" spans="1:7" ht="13">
      <c r="A1073" s="4" t="s">
        <v>115</v>
      </c>
      <c r="B1073" s="1">
        <v>6.4</v>
      </c>
      <c r="C1073" s="1">
        <v>644</v>
      </c>
      <c r="D1073" s="1" t="s">
        <v>38</v>
      </c>
      <c r="E1073" s="1" t="s">
        <v>9</v>
      </c>
      <c r="F1073" s="1">
        <f t="shared" si="40"/>
        <v>640</v>
      </c>
      <c r="G1073" s="12">
        <f t="shared" si="41"/>
        <v>100.625</v>
      </c>
    </row>
    <row r="1074" spans="1:7" ht="13">
      <c r="A1074" s="4" t="s">
        <v>115</v>
      </c>
      <c r="B1074" s="1">
        <v>4</v>
      </c>
      <c r="C1074" s="1">
        <v>404</v>
      </c>
      <c r="D1074" s="1" t="s">
        <v>11</v>
      </c>
      <c r="E1074" s="1" t="s">
        <v>8</v>
      </c>
      <c r="F1074" s="1">
        <f t="shared" si="40"/>
        <v>400</v>
      </c>
      <c r="G1074" s="12">
        <f t="shared" si="41"/>
        <v>101</v>
      </c>
    </row>
    <row r="1075" spans="1:7" ht="13">
      <c r="A1075" s="4" t="s">
        <v>115</v>
      </c>
      <c r="B1075" s="1">
        <v>6.96</v>
      </c>
      <c r="C1075" s="1">
        <v>643</v>
      </c>
      <c r="D1075" s="1" t="s">
        <v>78</v>
      </c>
      <c r="E1075" s="1" t="s">
        <v>15</v>
      </c>
      <c r="F1075" s="1">
        <f t="shared" si="40"/>
        <v>696</v>
      </c>
      <c r="G1075" s="12">
        <f t="shared" si="41"/>
        <v>92.385057471264375</v>
      </c>
    </row>
    <row r="1076" spans="1:7" ht="13">
      <c r="A1076" s="4" t="s">
        <v>115</v>
      </c>
      <c r="B1076" s="1">
        <v>5.67</v>
      </c>
      <c r="C1076" s="1">
        <v>520</v>
      </c>
      <c r="D1076" s="1" t="s">
        <v>33</v>
      </c>
      <c r="E1076" s="1" t="s">
        <v>14</v>
      </c>
      <c r="F1076" s="1">
        <f t="shared" si="40"/>
        <v>567</v>
      </c>
      <c r="G1076" s="12">
        <f t="shared" si="41"/>
        <v>91.710758377425051</v>
      </c>
    </row>
    <row r="1077" spans="1:7" ht="13">
      <c r="A1077" s="4" t="s">
        <v>115</v>
      </c>
      <c r="B1077" s="1">
        <v>8.6</v>
      </c>
      <c r="C1077" s="1">
        <v>771</v>
      </c>
      <c r="D1077" s="1" t="s">
        <v>11</v>
      </c>
      <c r="E1077" s="1" t="s">
        <v>68</v>
      </c>
      <c r="F1077" s="1">
        <f t="shared" si="40"/>
        <v>860</v>
      </c>
      <c r="G1077" s="12">
        <f t="shared" si="41"/>
        <v>89.651162790697683</v>
      </c>
    </row>
    <row r="1078" spans="1:7" ht="13">
      <c r="A1078" s="4" t="s">
        <v>115</v>
      </c>
      <c r="B1078" s="1">
        <v>7.2</v>
      </c>
      <c r="C1078" s="1">
        <v>956</v>
      </c>
      <c r="D1078" s="1" t="s">
        <v>38</v>
      </c>
      <c r="E1078" s="1" t="s">
        <v>8</v>
      </c>
      <c r="F1078" s="1">
        <f t="shared" si="40"/>
        <v>720</v>
      </c>
      <c r="G1078" s="12">
        <f t="shared" si="41"/>
        <v>132.77777777777777</v>
      </c>
    </row>
    <row r="1079" spans="1:7" ht="13">
      <c r="A1079" s="4" t="s">
        <v>115</v>
      </c>
      <c r="B1079" s="1">
        <v>5.6</v>
      </c>
      <c r="C1079" s="1">
        <v>492</v>
      </c>
      <c r="D1079" s="1" t="s">
        <v>33</v>
      </c>
      <c r="E1079" s="1" t="s">
        <v>16</v>
      </c>
      <c r="F1079" s="1">
        <f t="shared" si="40"/>
        <v>560</v>
      </c>
      <c r="G1079" s="12">
        <f t="shared" si="41"/>
        <v>87.857142857142861</v>
      </c>
    </row>
    <row r="1080" spans="1:7" ht="13">
      <c r="A1080" s="4" t="s">
        <v>115</v>
      </c>
      <c r="B1080" s="1">
        <v>7.38</v>
      </c>
      <c r="C1080" s="1">
        <v>675</v>
      </c>
      <c r="D1080" s="1" t="s">
        <v>33</v>
      </c>
      <c r="E1080" s="1" t="s">
        <v>8</v>
      </c>
      <c r="F1080" s="1">
        <f t="shared" si="40"/>
        <v>738</v>
      </c>
      <c r="G1080" s="12">
        <f t="shared" si="41"/>
        <v>91.463414634146346</v>
      </c>
    </row>
    <row r="1081" spans="1:7" ht="13">
      <c r="A1081" s="4" t="s">
        <v>115</v>
      </c>
      <c r="B1081" s="1">
        <v>3.6</v>
      </c>
      <c r="C1081" s="1">
        <v>365</v>
      </c>
      <c r="D1081" s="1" t="s">
        <v>47</v>
      </c>
      <c r="E1081" s="1" t="s">
        <v>28</v>
      </c>
      <c r="F1081" s="1">
        <f t="shared" si="40"/>
        <v>360</v>
      </c>
      <c r="G1081" s="12">
        <f t="shared" si="41"/>
        <v>101.38888888888889</v>
      </c>
    </row>
    <row r="1082" spans="1:7" ht="13">
      <c r="A1082" s="4" t="s">
        <v>115</v>
      </c>
      <c r="B1082" s="1">
        <v>4.5</v>
      </c>
      <c r="C1082" s="1">
        <v>438</v>
      </c>
      <c r="D1082" s="1" t="s">
        <v>39</v>
      </c>
      <c r="E1082" s="1" t="s">
        <v>15</v>
      </c>
      <c r="F1082" s="1">
        <f t="shared" si="40"/>
        <v>450</v>
      </c>
      <c r="G1082" s="12">
        <f t="shared" si="41"/>
        <v>97.333333333333329</v>
      </c>
    </row>
    <row r="1083" spans="1:7" ht="13">
      <c r="A1083" s="4" t="s">
        <v>115</v>
      </c>
      <c r="B1083" s="1">
        <v>4.8</v>
      </c>
      <c r="C1083" s="1">
        <v>416</v>
      </c>
      <c r="D1083" s="1" t="s">
        <v>33</v>
      </c>
      <c r="E1083" s="1" t="s">
        <v>10</v>
      </c>
      <c r="F1083" s="1">
        <f t="shared" si="40"/>
        <v>480</v>
      </c>
      <c r="G1083" s="12">
        <f t="shared" si="41"/>
        <v>86.666666666666671</v>
      </c>
    </row>
    <row r="1084" spans="1:7" ht="13">
      <c r="A1084" s="4" t="s">
        <v>115</v>
      </c>
      <c r="B1084" s="1">
        <v>6</v>
      </c>
      <c r="C1084" s="1">
        <v>594</v>
      </c>
      <c r="D1084" s="1" t="s">
        <v>11</v>
      </c>
      <c r="E1084" s="1" t="s">
        <v>14</v>
      </c>
      <c r="F1084" s="1">
        <f t="shared" si="40"/>
        <v>600</v>
      </c>
      <c r="G1084" s="12">
        <f t="shared" si="41"/>
        <v>99</v>
      </c>
    </row>
    <row r="1085" spans="1:7" ht="13">
      <c r="A1085" s="4" t="s">
        <v>115</v>
      </c>
      <c r="B1085" s="1">
        <v>6.88</v>
      </c>
      <c r="C1085" s="1">
        <v>579</v>
      </c>
      <c r="D1085" s="1" t="s">
        <v>43</v>
      </c>
      <c r="E1085" s="1" t="s">
        <v>16</v>
      </c>
      <c r="F1085" s="1">
        <f t="shared" si="40"/>
        <v>688</v>
      </c>
      <c r="G1085" s="12">
        <f t="shared" si="41"/>
        <v>84.156976744186053</v>
      </c>
    </row>
    <row r="1086" spans="1:7" ht="13">
      <c r="A1086" s="4" t="s">
        <v>115</v>
      </c>
      <c r="B1086" s="1">
        <v>6</v>
      </c>
      <c r="C1086" s="1">
        <v>612</v>
      </c>
      <c r="D1086" s="1" t="s">
        <v>47</v>
      </c>
      <c r="E1086" s="1" t="s">
        <v>29</v>
      </c>
      <c r="F1086" s="1">
        <f t="shared" si="40"/>
        <v>600</v>
      </c>
      <c r="G1086" s="12">
        <f t="shared" si="41"/>
        <v>102</v>
      </c>
    </row>
    <row r="1087" spans="1:7" ht="13">
      <c r="A1087" s="4" t="s">
        <v>115</v>
      </c>
      <c r="B1087" s="1">
        <v>5</v>
      </c>
      <c r="C1087" s="1">
        <v>596</v>
      </c>
      <c r="D1087" s="1" t="s">
        <v>42</v>
      </c>
      <c r="E1087" s="1" t="s">
        <v>24</v>
      </c>
      <c r="F1087" s="1">
        <f t="shared" si="40"/>
        <v>500</v>
      </c>
      <c r="G1087" s="12">
        <f t="shared" si="41"/>
        <v>119.2</v>
      </c>
    </row>
    <row r="1088" spans="1:7" ht="13">
      <c r="A1088" s="4" t="s">
        <v>115</v>
      </c>
      <c r="B1088" s="1">
        <v>4</v>
      </c>
      <c r="C1088" s="1">
        <v>372</v>
      </c>
      <c r="D1088" s="1" t="s">
        <v>43</v>
      </c>
      <c r="E1088" s="1" t="s">
        <v>68</v>
      </c>
      <c r="F1088" s="1">
        <f t="shared" si="40"/>
        <v>400</v>
      </c>
      <c r="G1088" s="12">
        <f t="shared" si="41"/>
        <v>93</v>
      </c>
    </row>
    <row r="1089" spans="1:7" ht="13">
      <c r="A1089" s="4" t="s">
        <v>115</v>
      </c>
      <c r="B1089" s="1">
        <v>6</v>
      </c>
      <c r="C1089" s="1">
        <v>596</v>
      </c>
      <c r="D1089" s="1" t="s">
        <v>47</v>
      </c>
      <c r="E1089" s="1" t="s">
        <v>20</v>
      </c>
      <c r="F1089" s="1">
        <f t="shared" si="40"/>
        <v>600</v>
      </c>
      <c r="G1089" s="12">
        <f t="shared" si="41"/>
        <v>99.333333333333329</v>
      </c>
    </row>
    <row r="1090" spans="1:7" ht="13">
      <c r="A1090" s="4" t="s">
        <v>115</v>
      </c>
      <c r="B1090" s="1">
        <v>6.7</v>
      </c>
      <c r="C1090" s="1">
        <v>604</v>
      </c>
      <c r="D1090" s="1" t="s">
        <v>33</v>
      </c>
      <c r="E1090" s="1" t="s">
        <v>15</v>
      </c>
      <c r="F1090" s="1">
        <f t="shared" si="40"/>
        <v>670</v>
      </c>
      <c r="G1090" s="12">
        <f t="shared" si="41"/>
        <v>90.149253731343279</v>
      </c>
    </row>
    <row r="1091" spans="1:7" ht="13">
      <c r="A1091" s="4" t="s">
        <v>115</v>
      </c>
      <c r="B1091" s="1">
        <v>5.16</v>
      </c>
      <c r="C1091" s="1">
        <v>492</v>
      </c>
      <c r="D1091" s="1" t="s">
        <v>42</v>
      </c>
      <c r="E1091" s="1" t="s">
        <v>22</v>
      </c>
      <c r="F1091" s="1">
        <f t="shared" ref="F1091:F1154" si="42">B1091*100</f>
        <v>516</v>
      </c>
      <c r="G1091" s="12">
        <f t="shared" ref="G1091:G1154" si="43">C1091/B1091</f>
        <v>95.348837209302317</v>
      </c>
    </row>
    <row r="1092" spans="1:7" ht="13">
      <c r="A1092" s="4" t="s">
        <v>115</v>
      </c>
      <c r="B1092" s="1">
        <v>10</v>
      </c>
      <c r="C1092" s="1">
        <v>800.51</v>
      </c>
      <c r="D1092" s="1" t="s">
        <v>47</v>
      </c>
      <c r="E1092" s="1" t="s">
        <v>22</v>
      </c>
      <c r="F1092" s="1">
        <f t="shared" si="42"/>
        <v>1000</v>
      </c>
      <c r="G1092" s="12">
        <f t="shared" si="43"/>
        <v>80.051000000000002</v>
      </c>
    </row>
    <row r="1093" spans="1:7" ht="13">
      <c r="A1093" s="4" t="s">
        <v>115</v>
      </c>
      <c r="B1093" s="1">
        <v>6</v>
      </c>
      <c r="C1093" s="1">
        <v>786</v>
      </c>
      <c r="D1093" s="1" t="s">
        <v>43</v>
      </c>
      <c r="E1093" s="1" t="s">
        <v>32</v>
      </c>
      <c r="F1093" s="1">
        <f t="shared" si="42"/>
        <v>600</v>
      </c>
      <c r="G1093" s="12">
        <f t="shared" si="43"/>
        <v>131</v>
      </c>
    </row>
    <row r="1094" spans="1:7" ht="13">
      <c r="A1094" s="4" t="s">
        <v>115</v>
      </c>
      <c r="B1094" s="1">
        <v>5.0999999999999996</v>
      </c>
      <c r="C1094" s="1">
        <v>526</v>
      </c>
      <c r="D1094" s="1" t="s">
        <v>79</v>
      </c>
      <c r="E1094" s="1" t="s">
        <v>69</v>
      </c>
      <c r="F1094" s="1">
        <f t="shared" si="42"/>
        <v>509.99999999999994</v>
      </c>
      <c r="G1094" s="12">
        <f t="shared" si="43"/>
        <v>103.13725490196079</v>
      </c>
    </row>
    <row r="1095" spans="1:7" ht="13">
      <c r="A1095" s="4" t="s">
        <v>116</v>
      </c>
      <c r="B1095" s="1">
        <v>7.74</v>
      </c>
      <c r="C1095" s="1">
        <v>760</v>
      </c>
      <c r="D1095" s="1" t="s">
        <v>11</v>
      </c>
      <c r="E1095" s="1" t="s">
        <v>17</v>
      </c>
      <c r="F1095" s="1">
        <f t="shared" si="42"/>
        <v>774</v>
      </c>
      <c r="G1095" s="12">
        <f t="shared" si="43"/>
        <v>98.191214470284237</v>
      </c>
    </row>
    <row r="1096" spans="1:7" ht="13">
      <c r="A1096" s="4" t="s">
        <v>116</v>
      </c>
      <c r="B1096" s="1">
        <v>6.8</v>
      </c>
      <c r="C1096" s="1">
        <v>769</v>
      </c>
      <c r="D1096" s="1" t="s">
        <v>11</v>
      </c>
      <c r="E1096" s="1" t="s">
        <v>23</v>
      </c>
      <c r="F1096" s="1">
        <f t="shared" si="42"/>
        <v>680</v>
      </c>
      <c r="G1096" s="12">
        <f t="shared" si="43"/>
        <v>113.08823529411765</v>
      </c>
    </row>
    <row r="1097" spans="1:7" ht="13">
      <c r="A1097" s="4" t="s">
        <v>116</v>
      </c>
      <c r="B1097" s="1">
        <v>8.6</v>
      </c>
      <c r="C1097" s="1">
        <v>781</v>
      </c>
      <c r="D1097" s="1" t="s">
        <v>79</v>
      </c>
      <c r="E1097" s="1" t="s">
        <v>22</v>
      </c>
      <c r="F1097" s="1">
        <f t="shared" si="42"/>
        <v>860</v>
      </c>
      <c r="G1097" s="12">
        <f t="shared" si="43"/>
        <v>90.813953488372093</v>
      </c>
    </row>
    <row r="1098" spans="1:7" ht="13">
      <c r="A1098" s="4" t="s">
        <v>116</v>
      </c>
      <c r="B1098" s="1">
        <v>7.3949999999999996</v>
      </c>
      <c r="C1098" s="1">
        <v>822</v>
      </c>
      <c r="D1098" s="1" t="s">
        <v>43</v>
      </c>
      <c r="E1098" s="1" t="s">
        <v>20</v>
      </c>
      <c r="F1098" s="1">
        <f t="shared" si="42"/>
        <v>739.5</v>
      </c>
      <c r="G1098" s="12">
        <f t="shared" si="43"/>
        <v>111.15618661257606</v>
      </c>
    </row>
    <row r="1099" spans="1:7" ht="13">
      <c r="A1099" s="4" t="s">
        <v>116</v>
      </c>
      <c r="B1099" s="1">
        <v>9.5</v>
      </c>
      <c r="C1099" s="1">
        <v>998</v>
      </c>
      <c r="D1099" s="1" t="s">
        <v>11</v>
      </c>
      <c r="E1099" s="1" t="s">
        <v>31</v>
      </c>
      <c r="F1099" s="1">
        <f t="shared" si="42"/>
        <v>950</v>
      </c>
      <c r="G1099" s="12">
        <f t="shared" si="43"/>
        <v>105.05263157894737</v>
      </c>
    </row>
    <row r="1100" spans="1:7" ht="13">
      <c r="A1100" s="4" t="s">
        <v>116</v>
      </c>
      <c r="B1100" s="1">
        <v>5.4</v>
      </c>
      <c r="C1100" s="1">
        <v>677</v>
      </c>
      <c r="D1100" s="1" t="s">
        <v>11</v>
      </c>
      <c r="E1100" s="1" t="s">
        <v>8</v>
      </c>
      <c r="F1100" s="1">
        <f t="shared" si="42"/>
        <v>540</v>
      </c>
      <c r="G1100" s="12">
        <f t="shared" si="43"/>
        <v>125.37037037037037</v>
      </c>
    </row>
    <row r="1101" spans="1:7" ht="13">
      <c r="A1101" s="4" t="s">
        <v>116</v>
      </c>
      <c r="B1101" s="1">
        <v>5.915</v>
      </c>
      <c r="C1101" s="1">
        <v>637</v>
      </c>
      <c r="D1101" s="1" t="s">
        <v>44</v>
      </c>
      <c r="E1101" s="1" t="s">
        <v>24</v>
      </c>
      <c r="F1101" s="1">
        <f t="shared" si="42"/>
        <v>591.5</v>
      </c>
      <c r="G1101" s="12">
        <f t="shared" si="43"/>
        <v>107.69230769230769</v>
      </c>
    </row>
    <row r="1102" spans="1:7" ht="13">
      <c r="A1102" s="4" t="s">
        <v>116</v>
      </c>
      <c r="B1102" s="1">
        <v>10.3</v>
      </c>
      <c r="C1102" s="1">
        <v>1140</v>
      </c>
      <c r="D1102" s="1" t="s">
        <v>37</v>
      </c>
      <c r="E1102" s="1" t="s">
        <v>26</v>
      </c>
      <c r="F1102" s="1">
        <f t="shared" si="42"/>
        <v>1030</v>
      </c>
      <c r="G1102" s="12">
        <f t="shared" si="43"/>
        <v>110.67961165048543</v>
      </c>
    </row>
    <row r="1103" spans="1:7" ht="13">
      <c r="A1103" s="4" t="s">
        <v>116</v>
      </c>
      <c r="B1103" s="1">
        <v>6.5250000000000004</v>
      </c>
      <c r="C1103" s="1">
        <v>681</v>
      </c>
      <c r="D1103" s="1" t="s">
        <v>11</v>
      </c>
      <c r="E1103" s="1" t="s">
        <v>17</v>
      </c>
      <c r="F1103" s="1">
        <f t="shared" si="42"/>
        <v>652.5</v>
      </c>
      <c r="G1103" s="12">
        <f t="shared" si="43"/>
        <v>104.36781609195401</v>
      </c>
    </row>
    <row r="1104" spans="1:7" ht="13">
      <c r="A1104" s="4" t="s">
        <v>116</v>
      </c>
      <c r="B1104" s="1">
        <v>6.09</v>
      </c>
      <c r="C1104" s="1">
        <v>732</v>
      </c>
      <c r="D1104" s="1" t="s">
        <v>11</v>
      </c>
      <c r="E1104" s="1" t="s">
        <v>26</v>
      </c>
      <c r="F1104" s="1">
        <f t="shared" si="42"/>
        <v>609</v>
      </c>
      <c r="G1104" s="12">
        <f t="shared" si="43"/>
        <v>120.19704433497537</v>
      </c>
    </row>
    <row r="1105" spans="1:7" ht="13">
      <c r="A1105" s="4" t="s">
        <v>116</v>
      </c>
      <c r="B1105" s="1">
        <v>5.2</v>
      </c>
      <c r="C1105" s="1">
        <v>583</v>
      </c>
      <c r="D1105" s="1" t="s">
        <v>45</v>
      </c>
      <c r="E1105" s="1" t="s">
        <v>15</v>
      </c>
      <c r="F1105" s="1">
        <f t="shared" si="42"/>
        <v>520</v>
      </c>
      <c r="G1105" s="12">
        <f t="shared" si="43"/>
        <v>112.11538461538461</v>
      </c>
    </row>
    <row r="1106" spans="1:7" ht="13">
      <c r="A1106" s="4" t="s">
        <v>116</v>
      </c>
      <c r="B1106" s="1">
        <v>6.8</v>
      </c>
      <c r="C1106" s="1">
        <v>638</v>
      </c>
      <c r="D1106" s="1" t="s">
        <v>33</v>
      </c>
      <c r="E1106" s="1" t="s">
        <v>20</v>
      </c>
      <c r="F1106" s="1">
        <f t="shared" si="42"/>
        <v>680</v>
      </c>
      <c r="G1106" s="12">
        <f t="shared" si="43"/>
        <v>93.82352941176471</v>
      </c>
    </row>
    <row r="1107" spans="1:7" ht="13">
      <c r="A1107" s="4" t="s">
        <v>116</v>
      </c>
      <c r="B1107" s="1">
        <v>6.4</v>
      </c>
      <c r="C1107" s="1">
        <v>723.4</v>
      </c>
      <c r="D1107" s="1" t="s">
        <v>33</v>
      </c>
      <c r="E1107" s="1" t="s">
        <v>15</v>
      </c>
      <c r="F1107" s="1">
        <f t="shared" si="42"/>
        <v>640</v>
      </c>
      <c r="G1107" s="12">
        <f t="shared" si="43"/>
        <v>113.03124999999999</v>
      </c>
    </row>
    <row r="1108" spans="1:7" ht="13">
      <c r="A1108" s="4" t="s">
        <v>116</v>
      </c>
      <c r="B1108" s="1">
        <v>7.5</v>
      </c>
      <c r="C1108" s="1">
        <v>902</v>
      </c>
      <c r="D1108" s="1" t="s">
        <v>11</v>
      </c>
      <c r="E1108" s="1" t="s">
        <v>10</v>
      </c>
      <c r="F1108" s="1">
        <f t="shared" si="42"/>
        <v>750</v>
      </c>
      <c r="G1108" s="12">
        <f t="shared" si="43"/>
        <v>120.26666666666667</v>
      </c>
    </row>
    <row r="1109" spans="1:7" ht="13">
      <c r="A1109" s="4" t="s">
        <v>116</v>
      </c>
      <c r="B1109" s="1">
        <v>3.2</v>
      </c>
      <c r="C1109" s="1">
        <v>361</v>
      </c>
      <c r="D1109" s="1" t="s">
        <v>11</v>
      </c>
      <c r="E1109" s="1" t="s">
        <v>9</v>
      </c>
      <c r="F1109" s="1">
        <f t="shared" si="42"/>
        <v>320</v>
      </c>
      <c r="G1109" s="12">
        <f t="shared" si="43"/>
        <v>112.8125</v>
      </c>
    </row>
    <row r="1110" spans="1:7" ht="13">
      <c r="A1110" s="4" t="s">
        <v>116</v>
      </c>
      <c r="B1110" s="1">
        <v>6.5</v>
      </c>
      <c r="C1110" s="1">
        <v>823</v>
      </c>
      <c r="D1110" s="1" t="s">
        <v>11</v>
      </c>
      <c r="E1110" s="1" t="s">
        <v>18</v>
      </c>
      <c r="F1110" s="1">
        <f t="shared" si="42"/>
        <v>650</v>
      </c>
      <c r="G1110" s="12">
        <f t="shared" si="43"/>
        <v>126.61538461538461</v>
      </c>
    </row>
    <row r="1111" spans="1:7" ht="13">
      <c r="A1111" s="4" t="s">
        <v>116</v>
      </c>
      <c r="B1111" s="1">
        <v>7.3</v>
      </c>
      <c r="C1111" s="1">
        <v>898</v>
      </c>
      <c r="D1111" s="1" t="s">
        <v>47</v>
      </c>
      <c r="E1111" s="1" t="s">
        <v>10</v>
      </c>
      <c r="F1111" s="1">
        <f t="shared" si="42"/>
        <v>730</v>
      </c>
      <c r="G1111" s="12">
        <f t="shared" si="43"/>
        <v>123.01369863013699</v>
      </c>
    </row>
    <row r="1112" spans="1:7" ht="13">
      <c r="A1112" s="4" t="s">
        <v>116</v>
      </c>
      <c r="B1112" s="1">
        <v>5.6</v>
      </c>
      <c r="C1112" s="1">
        <v>584</v>
      </c>
      <c r="D1112" s="1" t="s">
        <v>11</v>
      </c>
      <c r="E1112" s="1" t="s">
        <v>21</v>
      </c>
      <c r="F1112" s="1">
        <f t="shared" si="42"/>
        <v>560</v>
      </c>
      <c r="G1112" s="12">
        <f t="shared" si="43"/>
        <v>104.28571428571429</v>
      </c>
    </row>
    <row r="1113" spans="1:7" ht="13">
      <c r="A1113" s="4" t="s">
        <v>116</v>
      </c>
      <c r="B1113" s="1">
        <v>6.4</v>
      </c>
      <c r="C1113" s="1">
        <v>755</v>
      </c>
      <c r="D1113" s="1" t="s">
        <v>85</v>
      </c>
      <c r="E1113" s="1" t="s">
        <v>8</v>
      </c>
      <c r="F1113" s="1">
        <f t="shared" si="42"/>
        <v>640</v>
      </c>
      <c r="G1113" s="12">
        <f t="shared" si="43"/>
        <v>117.96875</v>
      </c>
    </row>
    <row r="1114" spans="1:7" ht="13">
      <c r="A1114" s="4" t="s">
        <v>116</v>
      </c>
      <c r="B1114" s="1">
        <v>8.1</v>
      </c>
      <c r="C1114" s="1">
        <v>1040</v>
      </c>
      <c r="D1114" s="1" t="s">
        <v>42</v>
      </c>
      <c r="E1114" s="1" t="s">
        <v>10</v>
      </c>
      <c r="F1114" s="1">
        <f t="shared" si="42"/>
        <v>810</v>
      </c>
      <c r="G1114" s="12">
        <f t="shared" si="43"/>
        <v>128.39506172839506</v>
      </c>
    </row>
    <row r="1115" spans="1:7" ht="13">
      <c r="A1115" s="4" t="s">
        <v>116</v>
      </c>
      <c r="B1115" s="1">
        <v>9.3000000000000007</v>
      </c>
      <c r="C1115" s="1">
        <v>1095</v>
      </c>
      <c r="D1115" s="1" t="s">
        <v>45</v>
      </c>
      <c r="E1115" s="1" t="s">
        <v>10</v>
      </c>
      <c r="F1115" s="1">
        <f t="shared" si="42"/>
        <v>930.00000000000011</v>
      </c>
      <c r="G1115" s="12">
        <f t="shared" si="43"/>
        <v>117.74193548387096</v>
      </c>
    </row>
    <row r="1116" spans="1:7" ht="13">
      <c r="A1116" s="4" t="s">
        <v>116</v>
      </c>
      <c r="B1116" s="1">
        <v>8.1</v>
      </c>
      <c r="C1116" s="1">
        <v>863</v>
      </c>
      <c r="D1116" s="1" t="s">
        <v>35</v>
      </c>
      <c r="E1116" s="1" t="s">
        <v>7</v>
      </c>
      <c r="F1116" s="1">
        <f t="shared" si="42"/>
        <v>810</v>
      </c>
      <c r="G1116" s="12">
        <f t="shared" si="43"/>
        <v>106.54320987654322</v>
      </c>
    </row>
    <row r="1117" spans="1:7" ht="13">
      <c r="A1117" s="4" t="s">
        <v>116</v>
      </c>
      <c r="B1117" s="1">
        <v>7.8</v>
      </c>
      <c r="C1117" s="1">
        <v>835</v>
      </c>
      <c r="D1117" s="1" t="s">
        <v>47</v>
      </c>
      <c r="E1117" s="1" t="s">
        <v>23</v>
      </c>
      <c r="F1117" s="1">
        <f t="shared" si="42"/>
        <v>780</v>
      </c>
      <c r="G1117" s="12">
        <f t="shared" si="43"/>
        <v>107.05128205128206</v>
      </c>
    </row>
    <row r="1118" spans="1:7" ht="13">
      <c r="A1118" s="4" t="s">
        <v>116</v>
      </c>
      <c r="B1118" s="1">
        <v>5.6</v>
      </c>
      <c r="C1118" s="1">
        <v>564</v>
      </c>
      <c r="D1118" s="1" t="s">
        <v>53</v>
      </c>
      <c r="E1118" s="1" t="s">
        <v>8</v>
      </c>
      <c r="F1118" s="1">
        <f t="shared" si="42"/>
        <v>560</v>
      </c>
      <c r="G1118" s="12">
        <f t="shared" si="43"/>
        <v>100.71428571428572</v>
      </c>
    </row>
    <row r="1119" spans="1:7" ht="13">
      <c r="A1119" s="4" t="s">
        <v>116</v>
      </c>
      <c r="B1119" s="1">
        <v>5.1100000000000003</v>
      </c>
      <c r="C1119" s="1">
        <v>569</v>
      </c>
      <c r="D1119" s="1" t="s">
        <v>43</v>
      </c>
      <c r="E1119" s="1" t="s">
        <v>8</v>
      </c>
      <c r="F1119" s="1">
        <f t="shared" si="42"/>
        <v>511.00000000000006</v>
      </c>
      <c r="G1119" s="12">
        <f t="shared" si="43"/>
        <v>111.35029354207435</v>
      </c>
    </row>
    <row r="1120" spans="1:7" ht="13">
      <c r="A1120" s="4" t="s">
        <v>116</v>
      </c>
      <c r="B1120" s="1">
        <v>6.96</v>
      </c>
      <c r="C1120" s="1">
        <v>973</v>
      </c>
      <c r="D1120" s="1" t="s">
        <v>38</v>
      </c>
      <c r="E1120" s="1" t="s">
        <v>8</v>
      </c>
      <c r="F1120" s="1">
        <f t="shared" si="42"/>
        <v>696</v>
      </c>
      <c r="G1120" s="12">
        <f t="shared" si="43"/>
        <v>139.79885057471265</v>
      </c>
    </row>
    <row r="1121" spans="1:7" ht="13">
      <c r="A1121" s="4" t="s">
        <v>116</v>
      </c>
      <c r="B1121" s="1">
        <v>9.1999999999999993</v>
      </c>
      <c r="C1121" s="1">
        <v>1080</v>
      </c>
      <c r="D1121" s="1" t="s">
        <v>33</v>
      </c>
      <c r="E1121" s="1" t="s">
        <v>20</v>
      </c>
      <c r="F1121" s="1">
        <f t="shared" si="42"/>
        <v>919.99999999999989</v>
      </c>
      <c r="G1121" s="12">
        <f t="shared" si="43"/>
        <v>117.39130434782609</v>
      </c>
    </row>
    <row r="1122" spans="1:7" ht="13">
      <c r="A1122" s="4" t="s">
        <v>116</v>
      </c>
      <c r="B1122" s="1">
        <v>4.8</v>
      </c>
      <c r="C1122" s="1">
        <v>430</v>
      </c>
      <c r="D1122" s="1" t="s">
        <v>43</v>
      </c>
      <c r="E1122" s="1" t="s">
        <v>22</v>
      </c>
      <c r="F1122" s="1">
        <f t="shared" si="42"/>
        <v>480</v>
      </c>
      <c r="G1122" s="12">
        <f t="shared" si="43"/>
        <v>89.583333333333343</v>
      </c>
    </row>
    <row r="1123" spans="1:7" ht="13">
      <c r="A1123" s="4" t="s">
        <v>116</v>
      </c>
      <c r="B1123" s="1">
        <v>9.1999999999999993</v>
      </c>
      <c r="C1123" s="1">
        <v>1080</v>
      </c>
      <c r="D1123" s="1" t="s">
        <v>33</v>
      </c>
      <c r="E1123" s="1" t="s">
        <v>20</v>
      </c>
      <c r="F1123" s="1">
        <f t="shared" si="42"/>
        <v>919.99999999999989</v>
      </c>
      <c r="G1123" s="12">
        <f t="shared" si="43"/>
        <v>117.39130434782609</v>
      </c>
    </row>
    <row r="1124" spans="1:7" ht="13">
      <c r="A1124" s="4" t="s">
        <v>116</v>
      </c>
      <c r="B1124" s="1">
        <v>9.5</v>
      </c>
      <c r="C1124" s="1">
        <v>1113</v>
      </c>
      <c r="D1124" s="1" t="s">
        <v>90</v>
      </c>
      <c r="E1124" s="1" t="s">
        <v>26</v>
      </c>
      <c r="F1124" s="1">
        <f t="shared" si="42"/>
        <v>950</v>
      </c>
      <c r="G1124" s="12">
        <f t="shared" si="43"/>
        <v>117.15789473684211</v>
      </c>
    </row>
    <row r="1125" spans="1:7" ht="13">
      <c r="A1125" s="4" t="s">
        <v>116</v>
      </c>
      <c r="B1125" s="1">
        <v>8.6</v>
      </c>
      <c r="C1125" s="1">
        <v>954</v>
      </c>
      <c r="D1125" s="1" t="s">
        <v>40</v>
      </c>
      <c r="E1125" s="1" t="s">
        <v>9</v>
      </c>
      <c r="F1125" s="1">
        <f t="shared" si="42"/>
        <v>860</v>
      </c>
      <c r="G1125" s="12">
        <f t="shared" si="43"/>
        <v>110.93023255813954</v>
      </c>
    </row>
    <row r="1126" spans="1:7" ht="13">
      <c r="A1126" s="4" t="s">
        <v>116</v>
      </c>
      <c r="B1126" s="1">
        <v>7.36</v>
      </c>
      <c r="C1126" s="1">
        <v>770</v>
      </c>
      <c r="D1126" s="1" t="s">
        <v>37</v>
      </c>
      <c r="E1126" s="1" t="s">
        <v>15</v>
      </c>
      <c r="F1126" s="1">
        <f t="shared" si="42"/>
        <v>736</v>
      </c>
      <c r="G1126" s="12">
        <f t="shared" si="43"/>
        <v>104.6195652173913</v>
      </c>
    </row>
    <row r="1127" spans="1:7" ht="13">
      <c r="A1127" s="4" t="s">
        <v>116</v>
      </c>
      <c r="B1127" s="1">
        <v>6.24</v>
      </c>
      <c r="C1127" s="1">
        <v>592</v>
      </c>
      <c r="D1127" s="1" t="s">
        <v>33</v>
      </c>
      <c r="E1127" s="1" t="s">
        <v>15</v>
      </c>
      <c r="F1127" s="1">
        <f t="shared" si="42"/>
        <v>624</v>
      </c>
      <c r="G1127" s="12">
        <f t="shared" si="43"/>
        <v>94.871794871794862</v>
      </c>
    </row>
    <row r="1128" spans="1:7" ht="13">
      <c r="A1128" s="4" t="s">
        <v>116</v>
      </c>
      <c r="B1128" s="1">
        <v>5.25</v>
      </c>
      <c r="C1128" s="1">
        <v>640</v>
      </c>
      <c r="D1128" s="1" t="s">
        <v>47</v>
      </c>
      <c r="E1128" s="1" t="s">
        <v>26</v>
      </c>
      <c r="F1128" s="1">
        <f t="shared" si="42"/>
        <v>525</v>
      </c>
      <c r="G1128" s="12">
        <f t="shared" si="43"/>
        <v>121.9047619047619</v>
      </c>
    </row>
    <row r="1129" spans="1:7" ht="13">
      <c r="A1129" s="4" t="s">
        <v>116</v>
      </c>
      <c r="B1129" s="1">
        <v>4.5599999999999996</v>
      </c>
      <c r="C1129" s="1">
        <v>533</v>
      </c>
      <c r="D1129" s="1" t="s">
        <v>33</v>
      </c>
      <c r="E1129" s="1" t="s">
        <v>17</v>
      </c>
      <c r="F1129" s="1">
        <f t="shared" si="42"/>
        <v>455.99999999999994</v>
      </c>
      <c r="G1129" s="12">
        <f t="shared" si="43"/>
        <v>116.88596491228071</v>
      </c>
    </row>
    <row r="1130" spans="1:7" ht="13">
      <c r="A1130" s="4" t="s">
        <v>116</v>
      </c>
      <c r="B1130" s="1">
        <v>7.94</v>
      </c>
      <c r="C1130" s="1">
        <v>877</v>
      </c>
      <c r="D1130" s="1" t="s">
        <v>42</v>
      </c>
      <c r="E1130" s="1" t="s">
        <v>17</v>
      </c>
      <c r="F1130" s="1">
        <f t="shared" si="42"/>
        <v>794</v>
      </c>
      <c r="G1130" s="12">
        <f t="shared" si="43"/>
        <v>110.45340050377833</v>
      </c>
    </row>
    <row r="1131" spans="1:7" ht="13">
      <c r="A1131" s="4" t="s">
        <v>116</v>
      </c>
      <c r="B1131" s="1">
        <v>9.6</v>
      </c>
      <c r="C1131" s="1">
        <v>939</v>
      </c>
      <c r="D1131" s="1" t="s">
        <v>88</v>
      </c>
      <c r="E1131" s="1" t="s">
        <v>26</v>
      </c>
      <c r="F1131" s="1">
        <f t="shared" si="42"/>
        <v>960</v>
      </c>
      <c r="G1131" s="12">
        <f t="shared" si="43"/>
        <v>97.8125</v>
      </c>
    </row>
    <row r="1132" spans="1:7" ht="13">
      <c r="A1132" s="4" t="s">
        <v>116</v>
      </c>
      <c r="B1132" s="1">
        <v>6.56</v>
      </c>
      <c r="C1132" s="1">
        <v>768</v>
      </c>
      <c r="D1132" s="1" t="s">
        <v>11</v>
      </c>
      <c r="E1132" s="1" t="s">
        <v>18</v>
      </c>
      <c r="F1132" s="1">
        <f t="shared" si="42"/>
        <v>656</v>
      </c>
      <c r="G1132" s="12">
        <f t="shared" si="43"/>
        <v>117.07317073170732</v>
      </c>
    </row>
    <row r="1133" spans="1:7" ht="13">
      <c r="A1133" s="4" t="s">
        <v>116</v>
      </c>
      <c r="B1133" s="1">
        <v>8.6</v>
      </c>
      <c r="C1133" s="1">
        <v>917.37</v>
      </c>
      <c r="D1133" s="1" t="s">
        <v>39</v>
      </c>
      <c r="E1133" s="1" t="s">
        <v>17</v>
      </c>
      <c r="F1133" s="1">
        <f t="shared" si="42"/>
        <v>860</v>
      </c>
      <c r="G1133" s="12">
        <f t="shared" si="43"/>
        <v>106.67093023255815</v>
      </c>
    </row>
    <row r="1134" spans="1:7" ht="13">
      <c r="A1134" s="4" t="s">
        <v>116</v>
      </c>
      <c r="B1134" s="1">
        <v>5.0999999999999996</v>
      </c>
      <c r="C1134" s="1">
        <v>524</v>
      </c>
      <c r="D1134" s="1" t="s">
        <v>33</v>
      </c>
      <c r="E1134" s="1" t="s">
        <v>15</v>
      </c>
      <c r="F1134" s="1">
        <f t="shared" si="42"/>
        <v>509.99999999999994</v>
      </c>
      <c r="G1134" s="12">
        <f t="shared" si="43"/>
        <v>102.74509803921569</v>
      </c>
    </row>
    <row r="1135" spans="1:7" ht="13">
      <c r="A1135" s="4" t="s">
        <v>116</v>
      </c>
      <c r="B1135" s="1">
        <v>6</v>
      </c>
      <c r="C1135" s="1">
        <v>701</v>
      </c>
      <c r="D1135" s="1" t="s">
        <v>11</v>
      </c>
      <c r="E1135" s="1" t="s">
        <v>28</v>
      </c>
      <c r="F1135" s="1">
        <f t="shared" si="42"/>
        <v>600</v>
      </c>
      <c r="G1135" s="12">
        <f t="shared" si="43"/>
        <v>116.83333333333333</v>
      </c>
    </row>
    <row r="1136" spans="1:7" ht="13">
      <c r="A1136" s="4" t="s">
        <v>116</v>
      </c>
      <c r="B1136" s="1">
        <v>6</v>
      </c>
      <c r="C1136" s="1">
        <v>608</v>
      </c>
      <c r="D1136" s="1" t="s">
        <v>39</v>
      </c>
      <c r="E1136" s="1" t="s">
        <v>30</v>
      </c>
      <c r="F1136" s="1">
        <f t="shared" si="42"/>
        <v>600</v>
      </c>
      <c r="G1136" s="12">
        <f t="shared" si="43"/>
        <v>101.33333333333333</v>
      </c>
    </row>
    <row r="1137" spans="1:7" ht="13">
      <c r="A1137" s="4" t="s">
        <v>116</v>
      </c>
      <c r="B1137" s="1">
        <v>4.8</v>
      </c>
      <c r="C1137" s="1">
        <v>526</v>
      </c>
      <c r="D1137" s="1" t="s">
        <v>39</v>
      </c>
      <c r="E1137" s="1" t="s">
        <v>16</v>
      </c>
      <c r="F1137" s="1">
        <f t="shared" si="42"/>
        <v>480</v>
      </c>
      <c r="G1137" s="12">
        <f t="shared" si="43"/>
        <v>109.58333333333334</v>
      </c>
    </row>
    <row r="1138" spans="1:7" ht="13">
      <c r="A1138" s="4" t="s">
        <v>116</v>
      </c>
      <c r="B1138" s="1">
        <v>8.6999999999999993</v>
      </c>
      <c r="C1138" s="1">
        <v>756</v>
      </c>
      <c r="D1138" s="1" t="s">
        <v>39</v>
      </c>
      <c r="E1138" s="1" t="s">
        <v>15</v>
      </c>
      <c r="F1138" s="1">
        <f t="shared" si="42"/>
        <v>869.99999999999989</v>
      </c>
      <c r="G1138" s="12">
        <f t="shared" si="43"/>
        <v>86.896551724137936</v>
      </c>
    </row>
    <row r="1139" spans="1:7" ht="13">
      <c r="A1139" s="4" t="s">
        <v>116</v>
      </c>
      <c r="B1139" s="1">
        <v>6.09</v>
      </c>
      <c r="C1139" s="1">
        <v>500</v>
      </c>
      <c r="D1139" s="1" t="s">
        <v>42</v>
      </c>
      <c r="E1139" s="1" t="s">
        <v>15</v>
      </c>
      <c r="F1139" s="1">
        <f t="shared" si="42"/>
        <v>609</v>
      </c>
      <c r="G1139" s="12">
        <f t="shared" si="43"/>
        <v>82.101806239737272</v>
      </c>
    </row>
    <row r="1140" spans="1:7" ht="13">
      <c r="A1140" s="4" t="s">
        <v>116</v>
      </c>
      <c r="B1140" s="1">
        <v>6</v>
      </c>
      <c r="C1140" s="1">
        <v>720</v>
      </c>
      <c r="D1140" s="1" t="s">
        <v>39</v>
      </c>
      <c r="E1140" s="1" t="s">
        <v>9</v>
      </c>
      <c r="F1140" s="1">
        <f t="shared" si="42"/>
        <v>600</v>
      </c>
      <c r="G1140" s="12">
        <f t="shared" si="43"/>
        <v>120</v>
      </c>
    </row>
    <row r="1141" spans="1:7" ht="13">
      <c r="A1141" s="4" t="s">
        <v>116</v>
      </c>
      <c r="B1141" s="1">
        <v>7.4</v>
      </c>
      <c r="C1141" s="1">
        <v>820</v>
      </c>
      <c r="D1141" s="1" t="s">
        <v>11</v>
      </c>
      <c r="E1141" s="1" t="s">
        <v>20</v>
      </c>
      <c r="F1141" s="1">
        <f t="shared" si="42"/>
        <v>740</v>
      </c>
      <c r="G1141" s="12">
        <f t="shared" si="43"/>
        <v>110.81081081081081</v>
      </c>
    </row>
    <row r="1142" spans="1:7" ht="13">
      <c r="A1142" s="4" t="s">
        <v>116</v>
      </c>
      <c r="B1142" s="1">
        <v>7.74</v>
      </c>
      <c r="C1142" s="1">
        <v>840</v>
      </c>
      <c r="D1142" s="1" t="s">
        <v>91</v>
      </c>
      <c r="E1142" s="1" t="s">
        <v>8</v>
      </c>
      <c r="F1142" s="1">
        <f t="shared" si="42"/>
        <v>774</v>
      </c>
      <c r="G1142" s="12">
        <f t="shared" si="43"/>
        <v>108.52713178294573</v>
      </c>
    </row>
    <row r="1143" spans="1:7" ht="13">
      <c r="A1143" s="4" t="s">
        <v>116</v>
      </c>
      <c r="B1143" s="1">
        <v>7.2</v>
      </c>
      <c r="C1143" s="1">
        <v>911</v>
      </c>
      <c r="D1143" s="1" t="s">
        <v>42</v>
      </c>
      <c r="E1143" s="1" t="s">
        <v>26</v>
      </c>
      <c r="F1143" s="1">
        <f t="shared" si="42"/>
        <v>720</v>
      </c>
      <c r="G1143" s="12">
        <f t="shared" si="43"/>
        <v>126.52777777777777</v>
      </c>
    </row>
    <row r="1144" spans="1:7" ht="13">
      <c r="A1144" s="4" t="s">
        <v>116</v>
      </c>
      <c r="B1144" s="1">
        <v>3.44</v>
      </c>
      <c r="C1144" s="1">
        <v>478</v>
      </c>
      <c r="D1144" s="1" t="s">
        <v>43</v>
      </c>
      <c r="E1144" s="1" t="s">
        <v>8</v>
      </c>
      <c r="F1144" s="1">
        <f t="shared" si="42"/>
        <v>344</v>
      </c>
      <c r="G1144" s="12">
        <f t="shared" si="43"/>
        <v>138.95348837209303</v>
      </c>
    </row>
    <row r="1145" spans="1:7" ht="13">
      <c r="A1145" s="4" t="s">
        <v>116</v>
      </c>
      <c r="B1145" s="1">
        <v>8.5</v>
      </c>
      <c r="C1145" s="1">
        <v>1080</v>
      </c>
      <c r="D1145" s="1" t="s">
        <v>58</v>
      </c>
      <c r="E1145" s="1" t="s">
        <v>20</v>
      </c>
      <c r="F1145" s="1">
        <f t="shared" si="42"/>
        <v>850</v>
      </c>
      <c r="G1145" s="12">
        <f t="shared" si="43"/>
        <v>127.05882352941177</v>
      </c>
    </row>
    <row r="1146" spans="1:7" ht="13">
      <c r="A1146" s="4" t="s">
        <v>116</v>
      </c>
      <c r="B1146" s="1">
        <v>7.5</v>
      </c>
      <c r="C1146" s="1">
        <v>758.7</v>
      </c>
      <c r="D1146" s="1" t="s">
        <v>34</v>
      </c>
      <c r="E1146" s="1" t="s">
        <v>22</v>
      </c>
      <c r="F1146" s="1">
        <f t="shared" si="42"/>
        <v>750</v>
      </c>
      <c r="G1146" s="12">
        <f t="shared" si="43"/>
        <v>101.16000000000001</v>
      </c>
    </row>
    <row r="1147" spans="1:7" ht="13">
      <c r="A1147" s="4" t="s">
        <v>116</v>
      </c>
      <c r="B1147" s="1">
        <v>10.199999999999999</v>
      </c>
      <c r="C1147" s="1">
        <v>860</v>
      </c>
      <c r="D1147" s="1" t="s">
        <v>47</v>
      </c>
      <c r="E1147" s="1" t="s">
        <v>7</v>
      </c>
      <c r="F1147" s="1">
        <f t="shared" si="42"/>
        <v>1019.9999999999999</v>
      </c>
      <c r="G1147" s="12">
        <f t="shared" si="43"/>
        <v>84.313725490196077</v>
      </c>
    </row>
    <row r="1148" spans="1:7" ht="13">
      <c r="A1148" s="4" t="s">
        <v>116</v>
      </c>
      <c r="B1148" s="1">
        <v>4.3</v>
      </c>
      <c r="C1148" s="1">
        <v>551</v>
      </c>
      <c r="D1148" s="1" t="s">
        <v>33</v>
      </c>
      <c r="E1148" s="1" t="s">
        <v>16</v>
      </c>
      <c r="F1148" s="1">
        <f t="shared" si="42"/>
        <v>430</v>
      </c>
      <c r="G1148" s="12">
        <f t="shared" si="43"/>
        <v>128.13953488372093</v>
      </c>
    </row>
    <row r="1149" spans="1:7" ht="13">
      <c r="A1149" s="4" t="s">
        <v>116</v>
      </c>
      <c r="B1149" s="1">
        <v>6.7</v>
      </c>
      <c r="C1149" s="1">
        <v>781</v>
      </c>
      <c r="D1149" s="1" t="s">
        <v>11</v>
      </c>
      <c r="E1149" s="1" t="s">
        <v>16</v>
      </c>
      <c r="F1149" s="1">
        <f t="shared" si="42"/>
        <v>670</v>
      </c>
      <c r="G1149" s="12">
        <f t="shared" si="43"/>
        <v>116.56716417910448</v>
      </c>
    </row>
    <row r="1150" spans="1:7" ht="13">
      <c r="A1150" s="4" t="s">
        <v>116</v>
      </c>
      <c r="B1150" s="1">
        <v>5.8</v>
      </c>
      <c r="C1150" s="1">
        <v>618</v>
      </c>
      <c r="D1150" s="1" t="s">
        <v>53</v>
      </c>
      <c r="E1150" s="1" t="s">
        <v>10</v>
      </c>
      <c r="F1150" s="1">
        <f t="shared" si="42"/>
        <v>580</v>
      </c>
      <c r="G1150" s="12">
        <f t="shared" si="43"/>
        <v>106.55172413793103</v>
      </c>
    </row>
    <row r="1151" spans="1:7" ht="13">
      <c r="A1151" s="4" t="s">
        <v>116</v>
      </c>
      <c r="B1151" s="1">
        <v>6.4</v>
      </c>
      <c r="C1151" s="1">
        <v>750</v>
      </c>
      <c r="D1151" s="1" t="s">
        <v>38</v>
      </c>
      <c r="E1151" s="1" t="s">
        <v>24</v>
      </c>
      <c r="F1151" s="1">
        <f t="shared" si="42"/>
        <v>640</v>
      </c>
      <c r="G1151" s="12">
        <f t="shared" si="43"/>
        <v>117.1875</v>
      </c>
    </row>
    <row r="1152" spans="1:7" ht="13">
      <c r="A1152" s="4" t="s">
        <v>116</v>
      </c>
      <c r="B1152" s="1">
        <v>6.4</v>
      </c>
      <c r="C1152" s="1">
        <v>630</v>
      </c>
      <c r="D1152" s="1" t="s">
        <v>37</v>
      </c>
      <c r="E1152" s="1" t="s">
        <v>20</v>
      </c>
      <c r="F1152" s="1">
        <f t="shared" si="42"/>
        <v>640</v>
      </c>
      <c r="G1152" s="12">
        <f t="shared" si="43"/>
        <v>98.4375</v>
      </c>
    </row>
    <row r="1153" spans="1:7" ht="13">
      <c r="A1153" s="4" t="s">
        <v>116</v>
      </c>
      <c r="B1153" s="1">
        <v>6</v>
      </c>
      <c r="C1153" s="1">
        <v>662</v>
      </c>
      <c r="D1153" s="1" t="s">
        <v>33</v>
      </c>
      <c r="E1153" s="1" t="s">
        <v>16</v>
      </c>
      <c r="F1153" s="1">
        <f t="shared" si="42"/>
        <v>600</v>
      </c>
      <c r="G1153" s="12">
        <f t="shared" si="43"/>
        <v>110.33333333333333</v>
      </c>
    </row>
    <row r="1154" spans="1:7" ht="13">
      <c r="A1154" s="4" t="s">
        <v>116</v>
      </c>
      <c r="B1154" s="1">
        <v>7</v>
      </c>
      <c r="C1154" s="1">
        <v>887</v>
      </c>
      <c r="D1154" s="1" t="s">
        <v>11</v>
      </c>
      <c r="E1154" s="1" t="s">
        <v>8</v>
      </c>
      <c r="F1154" s="1">
        <f t="shared" si="42"/>
        <v>700</v>
      </c>
      <c r="G1154" s="12">
        <f t="shared" si="43"/>
        <v>126.71428571428571</v>
      </c>
    </row>
    <row r="1155" spans="1:7" ht="13">
      <c r="A1155" s="4" t="s">
        <v>116</v>
      </c>
      <c r="B1155" s="1">
        <v>5.2</v>
      </c>
      <c r="C1155" s="1">
        <v>559</v>
      </c>
      <c r="D1155" s="1" t="s">
        <v>39</v>
      </c>
      <c r="E1155" s="1" t="s">
        <v>25</v>
      </c>
      <c r="F1155" s="1">
        <f t="shared" ref="F1155:F1218" si="44">B1155*100</f>
        <v>520</v>
      </c>
      <c r="G1155" s="12">
        <f t="shared" ref="G1155:G1218" si="45">C1155/B1155</f>
        <v>107.5</v>
      </c>
    </row>
    <row r="1156" spans="1:7" ht="13">
      <c r="A1156" s="4" t="s">
        <v>116</v>
      </c>
      <c r="B1156" s="1">
        <v>8.1999999999999993</v>
      </c>
      <c r="C1156" s="1">
        <v>868</v>
      </c>
      <c r="D1156" s="1" t="s">
        <v>67</v>
      </c>
      <c r="E1156" s="1" t="s">
        <v>16</v>
      </c>
      <c r="F1156" s="1">
        <f t="shared" si="44"/>
        <v>819.99999999999989</v>
      </c>
      <c r="G1156" s="12">
        <f t="shared" si="45"/>
        <v>105.85365853658537</v>
      </c>
    </row>
    <row r="1157" spans="1:7" ht="13">
      <c r="A1157" s="4" t="s">
        <v>116</v>
      </c>
      <c r="B1157" s="1">
        <v>7.74</v>
      </c>
      <c r="C1157" s="1">
        <v>860</v>
      </c>
      <c r="D1157" s="1" t="s">
        <v>33</v>
      </c>
      <c r="E1157" s="1" t="s">
        <v>16</v>
      </c>
      <c r="F1157" s="1">
        <f t="shared" si="44"/>
        <v>774</v>
      </c>
      <c r="G1157" s="12">
        <f t="shared" si="45"/>
        <v>111.11111111111111</v>
      </c>
    </row>
    <row r="1158" spans="1:7" ht="13">
      <c r="A1158" s="4" t="s">
        <v>116</v>
      </c>
      <c r="B1158" s="1">
        <v>7</v>
      </c>
      <c r="C1158" s="1">
        <v>745</v>
      </c>
      <c r="D1158" s="1" t="s">
        <v>33</v>
      </c>
      <c r="E1158" s="1" t="s">
        <v>20</v>
      </c>
      <c r="F1158" s="1">
        <f t="shared" si="44"/>
        <v>700</v>
      </c>
      <c r="G1158" s="12">
        <f t="shared" si="45"/>
        <v>106.42857142857143</v>
      </c>
    </row>
    <row r="1159" spans="1:7" ht="13">
      <c r="A1159" s="4" t="s">
        <v>116</v>
      </c>
      <c r="B1159" s="1">
        <v>5</v>
      </c>
      <c r="C1159" s="1">
        <v>605</v>
      </c>
      <c r="D1159" s="1" t="s">
        <v>11</v>
      </c>
      <c r="E1159" s="1" t="s">
        <v>22</v>
      </c>
      <c r="F1159" s="1">
        <f t="shared" si="44"/>
        <v>500</v>
      </c>
      <c r="G1159" s="12">
        <f t="shared" si="45"/>
        <v>121</v>
      </c>
    </row>
    <row r="1160" spans="1:7" ht="13">
      <c r="A1160" s="4" t="s">
        <v>116</v>
      </c>
      <c r="B1160" s="1">
        <v>6</v>
      </c>
      <c r="C1160" s="1">
        <v>673</v>
      </c>
      <c r="D1160" s="1" t="s">
        <v>11</v>
      </c>
      <c r="E1160" s="1" t="s">
        <v>17</v>
      </c>
      <c r="F1160" s="1">
        <f t="shared" si="44"/>
        <v>600</v>
      </c>
      <c r="G1160" s="12">
        <f t="shared" si="45"/>
        <v>112.16666666666667</v>
      </c>
    </row>
    <row r="1161" spans="1:7" ht="13">
      <c r="A1161" s="4" t="s">
        <v>116</v>
      </c>
      <c r="B1161" s="1">
        <v>6.88</v>
      </c>
      <c r="C1161" s="1">
        <v>867</v>
      </c>
      <c r="D1161" s="1" t="s">
        <v>11</v>
      </c>
      <c r="E1161" s="1" t="s">
        <v>8</v>
      </c>
      <c r="F1161" s="1">
        <f t="shared" si="44"/>
        <v>688</v>
      </c>
      <c r="G1161" s="12">
        <f t="shared" si="45"/>
        <v>126.01744186046511</v>
      </c>
    </row>
    <row r="1162" spans="1:7" ht="13">
      <c r="A1162" s="4" t="s">
        <v>116</v>
      </c>
      <c r="B1162" s="1">
        <v>10</v>
      </c>
      <c r="C1162" s="1">
        <v>934</v>
      </c>
      <c r="D1162" s="1" t="s">
        <v>43</v>
      </c>
      <c r="E1162" s="1" t="s">
        <v>20</v>
      </c>
      <c r="F1162" s="1">
        <f t="shared" si="44"/>
        <v>1000</v>
      </c>
      <c r="G1162" s="12">
        <f t="shared" si="45"/>
        <v>93.4</v>
      </c>
    </row>
    <row r="1163" spans="1:7" ht="13">
      <c r="A1163" s="4" t="s">
        <v>116</v>
      </c>
      <c r="B1163" s="1">
        <v>6.4</v>
      </c>
      <c r="C1163" s="1">
        <v>707.62</v>
      </c>
      <c r="D1163" s="1" t="s">
        <v>33</v>
      </c>
      <c r="E1163" s="1" t="s">
        <v>15</v>
      </c>
      <c r="F1163" s="1">
        <f t="shared" si="44"/>
        <v>640</v>
      </c>
      <c r="G1163" s="12">
        <f t="shared" si="45"/>
        <v>110.565625</v>
      </c>
    </row>
    <row r="1164" spans="1:7" ht="13">
      <c r="A1164" s="4" t="s">
        <v>116</v>
      </c>
      <c r="B1164" s="1">
        <v>6.72</v>
      </c>
      <c r="C1164" s="1">
        <v>677</v>
      </c>
      <c r="D1164" s="1" t="s">
        <v>33</v>
      </c>
      <c r="E1164" s="1" t="s">
        <v>27</v>
      </c>
      <c r="F1164" s="1">
        <f t="shared" si="44"/>
        <v>672</v>
      </c>
      <c r="G1164" s="12">
        <f t="shared" si="45"/>
        <v>100.74404761904762</v>
      </c>
    </row>
    <row r="1165" spans="1:7" ht="13">
      <c r="A1165" s="4" t="s">
        <v>116</v>
      </c>
      <c r="B1165" s="1">
        <v>8.6</v>
      </c>
      <c r="C1165" s="1">
        <v>915</v>
      </c>
      <c r="D1165" s="1" t="s">
        <v>11</v>
      </c>
      <c r="E1165" s="1" t="s">
        <v>68</v>
      </c>
      <c r="F1165" s="1">
        <f t="shared" si="44"/>
        <v>860</v>
      </c>
      <c r="G1165" s="12">
        <f t="shared" si="45"/>
        <v>106.39534883720931</v>
      </c>
    </row>
    <row r="1166" spans="1:7" ht="13">
      <c r="A1166" s="4" t="s">
        <v>116</v>
      </c>
      <c r="B1166" s="1">
        <v>4.3</v>
      </c>
      <c r="C1166" s="1">
        <v>482</v>
      </c>
      <c r="D1166" s="1" t="s">
        <v>35</v>
      </c>
      <c r="E1166" s="1" t="s">
        <v>31</v>
      </c>
      <c r="F1166" s="1">
        <f t="shared" si="44"/>
        <v>430</v>
      </c>
      <c r="G1166" s="12">
        <f t="shared" si="45"/>
        <v>112.09302325581396</v>
      </c>
    </row>
    <row r="1167" spans="1:7" ht="13">
      <c r="A1167" s="4" t="s">
        <v>116</v>
      </c>
      <c r="B1167" s="1">
        <v>7.8</v>
      </c>
      <c r="C1167" s="1">
        <v>823</v>
      </c>
      <c r="D1167" s="1" t="s">
        <v>42</v>
      </c>
      <c r="E1167" s="1" t="s">
        <v>49</v>
      </c>
      <c r="F1167" s="1">
        <f t="shared" si="44"/>
        <v>780</v>
      </c>
      <c r="G1167" s="12">
        <f t="shared" si="45"/>
        <v>105.51282051282051</v>
      </c>
    </row>
    <row r="1168" spans="1:7" ht="13">
      <c r="A1168" s="4" t="s">
        <v>116</v>
      </c>
      <c r="B1168" s="1">
        <v>5.2</v>
      </c>
      <c r="C1168" s="1">
        <v>716</v>
      </c>
      <c r="D1168" s="1" t="s">
        <v>38</v>
      </c>
      <c r="E1168" s="1" t="s">
        <v>15</v>
      </c>
      <c r="F1168" s="1">
        <f t="shared" si="44"/>
        <v>520</v>
      </c>
      <c r="G1168" s="12">
        <f t="shared" si="45"/>
        <v>137.69230769230768</v>
      </c>
    </row>
    <row r="1169" spans="1:7" ht="13">
      <c r="A1169" s="4" t="s">
        <v>116</v>
      </c>
      <c r="B1169" s="1">
        <v>2.9</v>
      </c>
      <c r="C1169" s="1">
        <v>370</v>
      </c>
      <c r="D1169" s="1" t="s">
        <v>40</v>
      </c>
      <c r="E1169" s="1" t="s">
        <v>16</v>
      </c>
      <c r="F1169" s="1">
        <f t="shared" si="44"/>
        <v>290</v>
      </c>
      <c r="G1169" s="12">
        <f t="shared" si="45"/>
        <v>127.58620689655173</v>
      </c>
    </row>
    <row r="1170" spans="1:7" ht="13">
      <c r="A1170" s="4" t="s">
        <v>116</v>
      </c>
      <c r="B1170" s="1">
        <v>6.3</v>
      </c>
      <c r="C1170" s="1">
        <v>714</v>
      </c>
      <c r="D1170" s="1" t="s">
        <v>59</v>
      </c>
      <c r="E1170" s="1" t="s">
        <v>8</v>
      </c>
      <c r="F1170" s="1">
        <f t="shared" si="44"/>
        <v>630</v>
      </c>
      <c r="G1170" s="12">
        <f t="shared" si="45"/>
        <v>113.33333333333334</v>
      </c>
    </row>
    <row r="1171" spans="1:7" ht="13">
      <c r="A1171" s="4" t="s">
        <v>116</v>
      </c>
      <c r="B1171" s="1">
        <v>6.72</v>
      </c>
      <c r="C1171" s="1">
        <v>843</v>
      </c>
      <c r="D1171" s="1" t="s">
        <v>11</v>
      </c>
      <c r="E1171" s="1" t="s">
        <v>15</v>
      </c>
      <c r="F1171" s="1">
        <f t="shared" si="44"/>
        <v>672</v>
      </c>
      <c r="G1171" s="12">
        <f t="shared" si="45"/>
        <v>125.44642857142857</v>
      </c>
    </row>
    <row r="1172" spans="1:7" ht="13">
      <c r="A1172" s="4" t="s">
        <v>116</v>
      </c>
      <c r="B1172" s="1">
        <v>6</v>
      </c>
      <c r="C1172" s="1">
        <v>930</v>
      </c>
      <c r="D1172" s="1" t="s">
        <v>43</v>
      </c>
      <c r="E1172" s="1" t="s">
        <v>17</v>
      </c>
      <c r="F1172" s="1">
        <f t="shared" si="44"/>
        <v>600</v>
      </c>
      <c r="G1172" s="12">
        <f t="shared" si="45"/>
        <v>155</v>
      </c>
    </row>
    <row r="1173" spans="1:7" ht="13">
      <c r="A1173" s="4" t="s">
        <v>116</v>
      </c>
      <c r="B1173" s="1">
        <v>7.56</v>
      </c>
      <c r="C1173" s="1">
        <v>1006</v>
      </c>
      <c r="D1173" s="1" t="s">
        <v>11</v>
      </c>
      <c r="E1173" s="1" t="s">
        <v>9</v>
      </c>
      <c r="F1173" s="1">
        <f t="shared" si="44"/>
        <v>756</v>
      </c>
      <c r="G1173" s="12">
        <f t="shared" si="45"/>
        <v>133.06878306878306</v>
      </c>
    </row>
    <row r="1174" spans="1:7" ht="13">
      <c r="A1174" s="4" t="s">
        <v>116</v>
      </c>
      <c r="B1174" s="1">
        <v>2.87</v>
      </c>
      <c r="C1174" s="1">
        <v>387</v>
      </c>
      <c r="D1174" s="1" t="s">
        <v>11</v>
      </c>
      <c r="E1174" s="1" t="s">
        <v>8</v>
      </c>
      <c r="F1174" s="1">
        <f t="shared" si="44"/>
        <v>287</v>
      </c>
      <c r="G1174" s="12">
        <f t="shared" si="45"/>
        <v>134.8432055749129</v>
      </c>
    </row>
    <row r="1175" spans="1:7" ht="13">
      <c r="A1175" s="4" t="s">
        <v>116</v>
      </c>
      <c r="B1175" s="1">
        <v>6.7</v>
      </c>
      <c r="C1175" s="1">
        <v>934</v>
      </c>
      <c r="D1175" s="1" t="s">
        <v>11</v>
      </c>
      <c r="E1175" s="1" t="s">
        <v>8</v>
      </c>
      <c r="F1175" s="1">
        <f t="shared" si="44"/>
        <v>670</v>
      </c>
      <c r="G1175" s="12">
        <f t="shared" si="45"/>
        <v>139.40298507462686</v>
      </c>
    </row>
    <row r="1176" spans="1:7" ht="13">
      <c r="A1176" s="4" t="s">
        <v>116</v>
      </c>
      <c r="B1176" s="1">
        <v>6.2</v>
      </c>
      <c r="C1176" s="1">
        <v>673</v>
      </c>
      <c r="D1176" s="1" t="s">
        <v>11</v>
      </c>
      <c r="E1176" s="1" t="s">
        <v>7</v>
      </c>
      <c r="F1176" s="1">
        <f t="shared" si="44"/>
        <v>620</v>
      </c>
      <c r="G1176" s="12">
        <f t="shared" si="45"/>
        <v>108.54838709677419</v>
      </c>
    </row>
    <row r="1177" spans="1:7" ht="13">
      <c r="A1177" s="4" t="s">
        <v>116</v>
      </c>
      <c r="B1177" s="1">
        <v>8.9</v>
      </c>
      <c r="C1177" s="1">
        <v>805</v>
      </c>
      <c r="D1177" s="1" t="s">
        <v>43</v>
      </c>
      <c r="E1177" s="1" t="s">
        <v>25</v>
      </c>
      <c r="F1177" s="1">
        <f t="shared" si="44"/>
        <v>890</v>
      </c>
      <c r="G1177" s="12">
        <f t="shared" si="45"/>
        <v>90.449438202247194</v>
      </c>
    </row>
    <row r="1178" spans="1:7" ht="13">
      <c r="A1178" s="4" t="s">
        <v>116</v>
      </c>
      <c r="B1178" s="1">
        <v>5.4</v>
      </c>
      <c r="C1178" s="1">
        <v>628</v>
      </c>
      <c r="D1178" s="1" t="s">
        <v>35</v>
      </c>
      <c r="E1178" s="1" t="s">
        <v>8</v>
      </c>
      <c r="F1178" s="1">
        <f t="shared" si="44"/>
        <v>540</v>
      </c>
      <c r="G1178" s="12">
        <f t="shared" si="45"/>
        <v>116.29629629629629</v>
      </c>
    </row>
    <row r="1179" spans="1:7" ht="13">
      <c r="A1179" s="4" t="s">
        <v>116</v>
      </c>
      <c r="B1179" s="1">
        <v>6.22</v>
      </c>
      <c r="C1179" s="1">
        <v>755</v>
      </c>
      <c r="D1179" s="1" t="s">
        <v>11</v>
      </c>
      <c r="E1179" s="1" t="s">
        <v>16</v>
      </c>
      <c r="F1179" s="1">
        <f t="shared" si="44"/>
        <v>622</v>
      </c>
      <c r="G1179" s="12">
        <f t="shared" si="45"/>
        <v>121.38263665594856</v>
      </c>
    </row>
    <row r="1180" spans="1:7" ht="13">
      <c r="A1180" s="4" t="s">
        <v>116</v>
      </c>
      <c r="B1180" s="1">
        <v>4.51</v>
      </c>
      <c r="C1180" s="1">
        <v>451</v>
      </c>
      <c r="D1180" s="1" t="s">
        <v>43</v>
      </c>
      <c r="E1180" s="1" t="s">
        <v>16</v>
      </c>
      <c r="F1180" s="1">
        <f t="shared" si="44"/>
        <v>451</v>
      </c>
      <c r="G1180" s="12">
        <f t="shared" si="45"/>
        <v>100</v>
      </c>
    </row>
    <row r="1181" spans="1:7" ht="13">
      <c r="A1181" s="4" t="s">
        <v>116</v>
      </c>
      <c r="B1181" s="1">
        <v>8.4</v>
      </c>
      <c r="C1181" s="1">
        <v>931</v>
      </c>
      <c r="D1181" s="1" t="s">
        <v>33</v>
      </c>
      <c r="E1181" s="1" t="s">
        <v>10</v>
      </c>
      <c r="F1181" s="1">
        <f t="shared" si="44"/>
        <v>840</v>
      </c>
      <c r="G1181" s="12">
        <f t="shared" si="45"/>
        <v>110.83333333333333</v>
      </c>
    </row>
    <row r="1182" spans="1:7" ht="13">
      <c r="A1182" s="4" t="s">
        <v>116</v>
      </c>
      <c r="B1182" s="1">
        <v>6.88</v>
      </c>
      <c r="C1182" s="1">
        <v>766</v>
      </c>
      <c r="D1182" s="1" t="s">
        <v>53</v>
      </c>
      <c r="E1182" s="1" t="s">
        <v>16</v>
      </c>
      <c r="F1182" s="1">
        <f t="shared" si="44"/>
        <v>688</v>
      </c>
      <c r="G1182" s="12">
        <f t="shared" si="45"/>
        <v>111.33720930232559</v>
      </c>
    </row>
    <row r="1183" spans="1:7" ht="13">
      <c r="A1183" s="4" t="s">
        <v>116</v>
      </c>
      <c r="B1183" s="1">
        <v>6.96</v>
      </c>
      <c r="C1183" s="1">
        <v>794</v>
      </c>
      <c r="D1183" s="1" t="s">
        <v>92</v>
      </c>
      <c r="E1183" s="1" t="s">
        <v>9</v>
      </c>
      <c r="F1183" s="1">
        <f t="shared" si="44"/>
        <v>696</v>
      </c>
      <c r="G1183" s="12">
        <f t="shared" si="45"/>
        <v>114.08045977011494</v>
      </c>
    </row>
    <row r="1184" spans="1:7" ht="13">
      <c r="A1184" s="4" t="s">
        <v>116</v>
      </c>
      <c r="B1184" s="1">
        <v>7.8</v>
      </c>
      <c r="C1184" s="1">
        <v>845</v>
      </c>
      <c r="D1184" s="1" t="s">
        <v>40</v>
      </c>
      <c r="E1184" s="1" t="s">
        <v>15</v>
      </c>
      <c r="F1184" s="1">
        <f t="shared" si="44"/>
        <v>780</v>
      </c>
      <c r="G1184" s="12">
        <f t="shared" si="45"/>
        <v>108.33333333333334</v>
      </c>
    </row>
    <row r="1185" spans="1:7" ht="13">
      <c r="A1185" s="4" t="s">
        <v>116</v>
      </c>
      <c r="B1185" s="1">
        <v>7.3949999999999996</v>
      </c>
      <c r="C1185" s="1">
        <v>828</v>
      </c>
      <c r="D1185" s="1" t="s">
        <v>11</v>
      </c>
      <c r="E1185" s="1" t="s">
        <v>20</v>
      </c>
      <c r="F1185" s="1">
        <f t="shared" si="44"/>
        <v>739.5</v>
      </c>
      <c r="G1185" s="12">
        <f t="shared" si="45"/>
        <v>111.96754563894524</v>
      </c>
    </row>
    <row r="1186" spans="1:7" ht="13">
      <c r="A1186" s="4" t="s">
        <v>116</v>
      </c>
      <c r="B1186" s="1">
        <v>5.6</v>
      </c>
      <c r="C1186" s="1">
        <v>680</v>
      </c>
      <c r="D1186" s="1" t="s">
        <v>33</v>
      </c>
      <c r="E1186" s="1" t="s">
        <v>12</v>
      </c>
      <c r="F1186" s="1">
        <f t="shared" si="44"/>
        <v>560</v>
      </c>
      <c r="G1186" s="12">
        <f t="shared" si="45"/>
        <v>121.42857142857143</v>
      </c>
    </row>
    <row r="1187" spans="1:7" ht="13">
      <c r="A1187" s="4" t="s">
        <v>116</v>
      </c>
      <c r="B1187" s="1">
        <v>6.96</v>
      </c>
      <c r="C1187" s="1">
        <v>775</v>
      </c>
      <c r="D1187" s="1" t="s">
        <v>11</v>
      </c>
      <c r="E1187" s="1" t="s">
        <v>26</v>
      </c>
      <c r="F1187" s="1">
        <f t="shared" si="44"/>
        <v>696</v>
      </c>
      <c r="G1187" s="12">
        <f t="shared" si="45"/>
        <v>111.35057471264368</v>
      </c>
    </row>
    <row r="1188" spans="1:7" ht="13">
      <c r="A1188" s="4" t="s">
        <v>116</v>
      </c>
      <c r="B1188" s="1">
        <v>7.4</v>
      </c>
      <c r="C1188" s="1">
        <v>794</v>
      </c>
      <c r="D1188" s="1" t="s">
        <v>47</v>
      </c>
      <c r="E1188" s="1" t="s">
        <v>17</v>
      </c>
      <c r="F1188" s="1">
        <f t="shared" si="44"/>
        <v>740</v>
      </c>
      <c r="G1188" s="12">
        <f t="shared" si="45"/>
        <v>107.29729729729729</v>
      </c>
    </row>
    <row r="1189" spans="1:7" ht="13">
      <c r="A1189" s="4" t="s">
        <v>116</v>
      </c>
      <c r="B1189" s="1">
        <v>5.6</v>
      </c>
      <c r="C1189" s="1">
        <v>648</v>
      </c>
      <c r="D1189" s="1" t="s">
        <v>11</v>
      </c>
      <c r="E1189" s="1" t="s">
        <v>68</v>
      </c>
      <c r="F1189" s="1">
        <f t="shared" si="44"/>
        <v>560</v>
      </c>
      <c r="G1189" s="12">
        <f t="shared" si="45"/>
        <v>115.71428571428572</v>
      </c>
    </row>
    <row r="1190" spans="1:7" ht="13">
      <c r="A1190" s="4" t="s">
        <v>116</v>
      </c>
      <c r="B1190" s="1">
        <v>4</v>
      </c>
      <c r="C1190" s="1">
        <v>492</v>
      </c>
      <c r="D1190" s="1" t="s">
        <v>11</v>
      </c>
      <c r="E1190" s="1" t="s">
        <v>9</v>
      </c>
      <c r="F1190" s="1">
        <f t="shared" si="44"/>
        <v>400</v>
      </c>
      <c r="G1190" s="12">
        <f t="shared" si="45"/>
        <v>123</v>
      </c>
    </row>
    <row r="1191" spans="1:7" ht="13">
      <c r="A1191" s="4" t="s">
        <v>116</v>
      </c>
      <c r="B1191" s="1">
        <v>6.3</v>
      </c>
      <c r="C1191" s="1">
        <v>635</v>
      </c>
      <c r="D1191" s="1" t="s">
        <v>43</v>
      </c>
      <c r="E1191" s="1" t="s">
        <v>15</v>
      </c>
      <c r="F1191" s="1">
        <f t="shared" si="44"/>
        <v>630</v>
      </c>
      <c r="G1191" s="12">
        <f t="shared" si="45"/>
        <v>100.7936507936508</v>
      </c>
    </row>
    <row r="1192" spans="1:7" ht="13">
      <c r="A1192" s="4" t="s">
        <v>116</v>
      </c>
      <c r="B1192" s="1">
        <v>13.76</v>
      </c>
      <c r="C1192" s="1">
        <v>1349</v>
      </c>
      <c r="D1192" s="1" t="s">
        <v>33</v>
      </c>
      <c r="E1192" s="1" t="s">
        <v>23</v>
      </c>
      <c r="F1192" s="1">
        <f t="shared" si="44"/>
        <v>1376</v>
      </c>
      <c r="G1192" s="12">
        <f t="shared" si="45"/>
        <v>98.037790697674424</v>
      </c>
    </row>
    <row r="1193" spans="1:7" ht="13">
      <c r="A1193" s="4" t="s">
        <v>116</v>
      </c>
      <c r="B1193" s="1">
        <v>6.96</v>
      </c>
      <c r="C1193" s="1">
        <v>779</v>
      </c>
      <c r="D1193" s="1" t="s">
        <v>38</v>
      </c>
      <c r="E1193" s="1" t="s">
        <v>8</v>
      </c>
      <c r="F1193" s="1">
        <f t="shared" si="44"/>
        <v>696</v>
      </c>
      <c r="G1193" s="12">
        <f t="shared" si="45"/>
        <v>111.92528735632185</v>
      </c>
    </row>
    <row r="1194" spans="1:7" ht="13">
      <c r="A1194" s="4" t="s">
        <v>116</v>
      </c>
      <c r="B1194" s="1">
        <v>6.8</v>
      </c>
      <c r="C1194" s="1">
        <v>759</v>
      </c>
      <c r="D1194" s="1" t="s">
        <v>38</v>
      </c>
      <c r="E1194" s="1" t="s">
        <v>41</v>
      </c>
      <c r="F1194" s="1">
        <f t="shared" si="44"/>
        <v>680</v>
      </c>
      <c r="G1194" s="12">
        <f t="shared" si="45"/>
        <v>111.61764705882354</v>
      </c>
    </row>
    <row r="1195" spans="1:7" ht="13">
      <c r="A1195" s="4" t="s">
        <v>116</v>
      </c>
      <c r="B1195" s="1">
        <v>4.3</v>
      </c>
      <c r="C1195" s="1">
        <v>539</v>
      </c>
      <c r="D1195" s="1" t="s">
        <v>11</v>
      </c>
      <c r="E1195" s="1" t="s">
        <v>15</v>
      </c>
      <c r="F1195" s="1">
        <f t="shared" si="44"/>
        <v>430</v>
      </c>
      <c r="G1195" s="12">
        <f t="shared" si="45"/>
        <v>125.34883720930233</v>
      </c>
    </row>
    <row r="1196" spans="1:7" ht="13">
      <c r="A1196" s="4" t="s">
        <v>116</v>
      </c>
      <c r="B1196" s="1">
        <v>6</v>
      </c>
      <c r="C1196" s="1">
        <v>42.28</v>
      </c>
      <c r="D1196" s="1" t="s">
        <v>11</v>
      </c>
      <c r="E1196" s="1" t="s">
        <v>27</v>
      </c>
      <c r="F1196" s="1">
        <f t="shared" si="44"/>
        <v>600</v>
      </c>
      <c r="G1196" s="12">
        <f t="shared" si="45"/>
        <v>7.0466666666666669</v>
      </c>
    </row>
    <row r="1197" spans="1:7" ht="13">
      <c r="A1197" s="4" t="s">
        <v>116</v>
      </c>
      <c r="B1197" s="1">
        <v>5.6</v>
      </c>
      <c r="C1197" s="1">
        <v>586</v>
      </c>
      <c r="D1197" s="1" t="s">
        <v>33</v>
      </c>
      <c r="E1197" s="1" t="s">
        <v>8</v>
      </c>
      <c r="F1197" s="1">
        <f t="shared" si="44"/>
        <v>560</v>
      </c>
      <c r="G1197" s="12">
        <f t="shared" si="45"/>
        <v>104.64285714285715</v>
      </c>
    </row>
    <row r="1198" spans="1:7" ht="13">
      <c r="A1198" s="4" t="s">
        <v>116</v>
      </c>
      <c r="B1198" s="1">
        <v>8.8000000000000007</v>
      </c>
      <c r="C1198" s="1">
        <v>796</v>
      </c>
      <c r="D1198" s="1" t="s">
        <v>47</v>
      </c>
      <c r="E1198" s="1" t="s">
        <v>30</v>
      </c>
      <c r="F1198" s="1">
        <f t="shared" si="44"/>
        <v>880.00000000000011</v>
      </c>
      <c r="G1198" s="12">
        <f t="shared" si="45"/>
        <v>90.454545454545453</v>
      </c>
    </row>
    <row r="1199" spans="1:7" ht="13">
      <c r="A1199" s="4" t="s">
        <v>116</v>
      </c>
      <c r="B1199" s="1">
        <v>6</v>
      </c>
      <c r="C1199" s="1">
        <v>713</v>
      </c>
      <c r="D1199" s="1" t="s">
        <v>11</v>
      </c>
      <c r="E1199" s="1" t="s">
        <v>27</v>
      </c>
      <c r="F1199" s="1">
        <f t="shared" si="44"/>
        <v>600</v>
      </c>
      <c r="G1199" s="12">
        <f t="shared" si="45"/>
        <v>118.83333333333333</v>
      </c>
    </row>
    <row r="1200" spans="1:7" ht="13">
      <c r="A1200" s="4" t="s">
        <v>116</v>
      </c>
      <c r="B1200" s="1">
        <v>7.56</v>
      </c>
      <c r="C1200" s="1">
        <v>899</v>
      </c>
      <c r="D1200" s="1" t="s">
        <v>11</v>
      </c>
      <c r="E1200" s="1" t="s">
        <v>7</v>
      </c>
      <c r="F1200" s="1">
        <f t="shared" si="44"/>
        <v>756</v>
      </c>
      <c r="G1200" s="12">
        <f t="shared" si="45"/>
        <v>118.91534391534393</v>
      </c>
    </row>
    <row r="1201" spans="1:7" ht="13">
      <c r="A1201" s="4" t="s">
        <v>116</v>
      </c>
      <c r="B1201" s="1">
        <v>4.2</v>
      </c>
      <c r="C1201" s="1">
        <v>520</v>
      </c>
      <c r="D1201" s="1" t="s">
        <v>11</v>
      </c>
      <c r="E1201" s="1" t="s">
        <v>15</v>
      </c>
      <c r="F1201" s="1">
        <f t="shared" si="44"/>
        <v>420</v>
      </c>
      <c r="G1201" s="12">
        <f t="shared" si="45"/>
        <v>123.80952380952381</v>
      </c>
    </row>
    <row r="1202" spans="1:7" ht="13">
      <c r="A1202" s="4" t="s">
        <v>116</v>
      </c>
      <c r="B1202" s="1">
        <v>5.2</v>
      </c>
      <c r="C1202" s="1">
        <v>671</v>
      </c>
      <c r="D1202" s="1" t="s">
        <v>39</v>
      </c>
      <c r="E1202" s="1" t="s">
        <v>8</v>
      </c>
      <c r="F1202" s="1">
        <f t="shared" si="44"/>
        <v>520</v>
      </c>
      <c r="G1202" s="12">
        <f t="shared" si="45"/>
        <v>129.03846153846155</v>
      </c>
    </row>
    <row r="1203" spans="1:7" ht="13">
      <c r="A1203" s="4" t="s">
        <v>116</v>
      </c>
      <c r="B1203" s="1">
        <v>5</v>
      </c>
      <c r="C1203" s="1">
        <v>645</v>
      </c>
      <c r="D1203" s="1" t="s">
        <v>38</v>
      </c>
      <c r="E1203" s="1" t="s">
        <v>8</v>
      </c>
      <c r="F1203" s="1">
        <f t="shared" si="44"/>
        <v>500</v>
      </c>
      <c r="G1203" s="12">
        <f t="shared" si="45"/>
        <v>129</v>
      </c>
    </row>
    <row r="1204" spans="1:7" ht="13">
      <c r="A1204" s="4" t="s">
        <v>116</v>
      </c>
      <c r="B1204" s="1">
        <v>7.74</v>
      </c>
      <c r="C1204" s="1">
        <v>829</v>
      </c>
      <c r="D1204" s="1" t="s">
        <v>11</v>
      </c>
      <c r="E1204" s="1" t="s">
        <v>30</v>
      </c>
      <c r="F1204" s="1">
        <f t="shared" si="44"/>
        <v>774</v>
      </c>
      <c r="G1204" s="12">
        <f t="shared" si="45"/>
        <v>107.10594315245477</v>
      </c>
    </row>
    <row r="1205" spans="1:7" ht="13">
      <c r="A1205" s="4" t="s">
        <v>116</v>
      </c>
      <c r="B1205" s="1">
        <v>5.92</v>
      </c>
      <c r="C1205" s="1">
        <v>670</v>
      </c>
      <c r="D1205" s="1" t="s">
        <v>11</v>
      </c>
      <c r="E1205" s="1" t="s">
        <v>17</v>
      </c>
      <c r="F1205" s="1">
        <f t="shared" si="44"/>
        <v>592</v>
      </c>
      <c r="G1205" s="12">
        <f t="shared" si="45"/>
        <v>113.17567567567568</v>
      </c>
    </row>
    <row r="1206" spans="1:7" ht="13">
      <c r="A1206" s="4" t="s">
        <v>116</v>
      </c>
      <c r="B1206" s="1">
        <v>16.5</v>
      </c>
      <c r="C1206" s="1">
        <v>1403</v>
      </c>
      <c r="D1206" s="1" t="s">
        <v>45</v>
      </c>
      <c r="E1206" s="1" t="s">
        <v>25</v>
      </c>
      <c r="F1206" s="1">
        <f t="shared" si="44"/>
        <v>1650</v>
      </c>
      <c r="G1206" s="12">
        <f t="shared" si="45"/>
        <v>85.030303030303031</v>
      </c>
    </row>
    <row r="1207" spans="1:7" ht="13">
      <c r="A1207" s="4" t="s">
        <v>116</v>
      </c>
      <c r="B1207" s="1">
        <v>5.0999999999999996</v>
      </c>
      <c r="C1207" s="1">
        <v>647</v>
      </c>
      <c r="D1207" s="1" t="s">
        <v>11</v>
      </c>
      <c r="E1207" s="1" t="s">
        <v>26</v>
      </c>
      <c r="F1207" s="1">
        <f t="shared" si="44"/>
        <v>509.99999999999994</v>
      </c>
      <c r="G1207" s="12">
        <f t="shared" si="45"/>
        <v>126.86274509803923</v>
      </c>
    </row>
    <row r="1208" spans="1:7" ht="13">
      <c r="A1208" s="4" t="s">
        <v>116</v>
      </c>
      <c r="B1208" s="1">
        <v>4.32</v>
      </c>
      <c r="C1208" s="1">
        <v>424</v>
      </c>
      <c r="D1208" s="1" t="s">
        <v>11</v>
      </c>
      <c r="E1208" s="1" t="s">
        <v>12</v>
      </c>
      <c r="F1208" s="1">
        <f t="shared" si="44"/>
        <v>432</v>
      </c>
      <c r="G1208" s="12">
        <f t="shared" si="45"/>
        <v>98.148148148148138</v>
      </c>
    </row>
    <row r="1209" spans="1:7" ht="13">
      <c r="A1209" s="4" t="s">
        <v>116</v>
      </c>
      <c r="B1209" s="1">
        <v>5</v>
      </c>
      <c r="C1209" s="1">
        <v>798</v>
      </c>
      <c r="D1209" s="1" t="s">
        <v>33</v>
      </c>
      <c r="E1209" s="1" t="s">
        <v>32</v>
      </c>
      <c r="F1209" s="1">
        <f t="shared" si="44"/>
        <v>500</v>
      </c>
      <c r="G1209" s="12">
        <f t="shared" si="45"/>
        <v>159.6</v>
      </c>
    </row>
    <row r="1210" spans="1:7" ht="13">
      <c r="A1210" s="4" t="s">
        <v>116</v>
      </c>
      <c r="B1210" s="1">
        <v>4.7</v>
      </c>
      <c r="C1210" s="1">
        <v>564</v>
      </c>
      <c r="D1210" s="1" t="s">
        <v>40</v>
      </c>
      <c r="E1210" s="1" t="s">
        <v>26</v>
      </c>
      <c r="F1210" s="1">
        <f t="shared" si="44"/>
        <v>470</v>
      </c>
      <c r="G1210" s="12">
        <f t="shared" si="45"/>
        <v>120</v>
      </c>
    </row>
    <row r="1211" spans="1:7" ht="13">
      <c r="A1211" s="4" t="s">
        <v>116</v>
      </c>
      <c r="B1211" s="1">
        <v>7.5</v>
      </c>
      <c r="C1211" s="1">
        <v>793</v>
      </c>
      <c r="D1211" s="1" t="s">
        <v>11</v>
      </c>
      <c r="E1211" s="1" t="s">
        <v>27</v>
      </c>
      <c r="F1211" s="1">
        <f t="shared" si="44"/>
        <v>750</v>
      </c>
      <c r="G1211" s="12">
        <f t="shared" si="45"/>
        <v>105.73333333333333</v>
      </c>
    </row>
    <row r="1212" spans="1:7" ht="13">
      <c r="A1212" s="4" t="s">
        <v>116</v>
      </c>
      <c r="B1212" s="1">
        <v>6.88</v>
      </c>
      <c r="C1212" s="1">
        <v>784</v>
      </c>
      <c r="D1212" s="1" t="s">
        <v>11</v>
      </c>
      <c r="E1212" s="1" t="s">
        <v>8</v>
      </c>
      <c r="F1212" s="1">
        <f t="shared" si="44"/>
        <v>688</v>
      </c>
      <c r="G1212" s="12">
        <f t="shared" si="45"/>
        <v>113.95348837209302</v>
      </c>
    </row>
    <row r="1213" spans="1:7" ht="13">
      <c r="A1213" s="4" t="s">
        <v>116</v>
      </c>
      <c r="B1213" s="1">
        <v>7.7</v>
      </c>
      <c r="C1213" s="1">
        <v>850</v>
      </c>
      <c r="D1213" s="1" t="s">
        <v>11</v>
      </c>
      <c r="E1213" s="1" t="s">
        <v>25</v>
      </c>
      <c r="F1213" s="1">
        <f t="shared" si="44"/>
        <v>770</v>
      </c>
      <c r="G1213" s="12">
        <f t="shared" si="45"/>
        <v>110.38961038961038</v>
      </c>
    </row>
    <row r="1214" spans="1:7" ht="13">
      <c r="A1214" s="4" t="s">
        <v>116</v>
      </c>
      <c r="B1214" s="1">
        <v>7.56</v>
      </c>
      <c r="C1214" s="1">
        <v>776</v>
      </c>
      <c r="D1214" s="1" t="s">
        <v>77</v>
      </c>
      <c r="E1214" s="1" t="s">
        <v>17</v>
      </c>
      <c r="F1214" s="1">
        <f t="shared" si="44"/>
        <v>756</v>
      </c>
      <c r="G1214" s="12">
        <f t="shared" si="45"/>
        <v>102.64550264550265</v>
      </c>
    </row>
    <row r="1215" spans="1:7" ht="13">
      <c r="A1215" s="4" t="s">
        <v>116</v>
      </c>
      <c r="B1215" s="1">
        <v>19.600000000000001</v>
      </c>
      <c r="C1215" s="1">
        <v>2205</v>
      </c>
      <c r="D1215" s="1" t="s">
        <v>11</v>
      </c>
      <c r="E1215" s="1" t="s">
        <v>23</v>
      </c>
      <c r="F1215" s="1">
        <f t="shared" si="44"/>
        <v>1960.0000000000002</v>
      </c>
      <c r="G1215" s="12">
        <f t="shared" si="45"/>
        <v>112.49999999999999</v>
      </c>
    </row>
    <row r="1216" spans="1:7" ht="13">
      <c r="A1216" s="4" t="s">
        <v>116</v>
      </c>
      <c r="B1216" s="1">
        <v>2.7</v>
      </c>
      <c r="C1216" s="1">
        <v>326</v>
      </c>
      <c r="D1216" s="1" t="s">
        <v>11</v>
      </c>
      <c r="E1216" s="1" t="s">
        <v>8</v>
      </c>
      <c r="F1216" s="1">
        <f t="shared" si="44"/>
        <v>270</v>
      </c>
      <c r="G1216" s="12">
        <f t="shared" si="45"/>
        <v>120.74074074074073</v>
      </c>
    </row>
    <row r="1217" spans="1:7" ht="13">
      <c r="A1217" s="4" t="s">
        <v>116</v>
      </c>
      <c r="B1217" s="1">
        <v>7.15</v>
      </c>
      <c r="C1217" s="1">
        <v>827</v>
      </c>
      <c r="D1217" s="1" t="s">
        <v>45</v>
      </c>
      <c r="E1217" s="1" t="s">
        <v>26</v>
      </c>
      <c r="F1217" s="1">
        <f t="shared" si="44"/>
        <v>715</v>
      </c>
      <c r="G1217" s="12">
        <f t="shared" si="45"/>
        <v>115.66433566433565</v>
      </c>
    </row>
    <row r="1218" spans="1:7" ht="13">
      <c r="A1218" s="4" t="s">
        <v>116</v>
      </c>
      <c r="B1218" s="1">
        <v>7.4</v>
      </c>
      <c r="C1218" s="1">
        <v>820</v>
      </c>
      <c r="D1218" s="1" t="s">
        <v>33</v>
      </c>
      <c r="E1218" s="1" t="s">
        <v>23</v>
      </c>
      <c r="F1218" s="1">
        <f t="shared" si="44"/>
        <v>740</v>
      </c>
      <c r="G1218" s="12">
        <f t="shared" si="45"/>
        <v>110.81081081081081</v>
      </c>
    </row>
    <row r="1219" spans="1:7" ht="13">
      <c r="A1219" s="4" t="s">
        <v>116</v>
      </c>
      <c r="B1219" s="1">
        <v>6</v>
      </c>
      <c r="C1219" s="1">
        <v>686</v>
      </c>
      <c r="D1219" s="1" t="s">
        <v>11</v>
      </c>
      <c r="E1219" s="1" t="s">
        <v>19</v>
      </c>
      <c r="F1219" s="1">
        <f t="shared" ref="F1219:F1282" si="46">B1219*100</f>
        <v>600</v>
      </c>
      <c r="G1219" s="12">
        <f t="shared" ref="G1219:G1282" si="47">C1219/B1219</f>
        <v>114.33333333333333</v>
      </c>
    </row>
    <row r="1220" spans="1:7" ht="13">
      <c r="A1220" s="4" t="s">
        <v>116</v>
      </c>
      <c r="B1220" s="1">
        <v>6</v>
      </c>
      <c r="C1220" s="1">
        <v>734</v>
      </c>
      <c r="D1220" s="1" t="s">
        <v>42</v>
      </c>
      <c r="E1220" s="1" t="s">
        <v>9</v>
      </c>
      <c r="F1220" s="1">
        <f t="shared" si="46"/>
        <v>600</v>
      </c>
      <c r="G1220" s="12">
        <f t="shared" si="47"/>
        <v>122.33333333333333</v>
      </c>
    </row>
    <row r="1221" spans="1:7" ht="13">
      <c r="A1221" s="4" t="s">
        <v>116</v>
      </c>
      <c r="B1221" s="1">
        <v>4.3</v>
      </c>
      <c r="C1221" s="1">
        <v>436</v>
      </c>
      <c r="D1221" s="1" t="s">
        <v>44</v>
      </c>
      <c r="E1221" s="1" t="s">
        <v>15</v>
      </c>
      <c r="F1221" s="1">
        <f t="shared" si="46"/>
        <v>430</v>
      </c>
      <c r="G1221" s="12">
        <f t="shared" si="47"/>
        <v>101.39534883720931</v>
      </c>
    </row>
    <row r="1222" spans="1:7" ht="13">
      <c r="A1222" s="4" t="s">
        <v>116</v>
      </c>
      <c r="B1222" s="1">
        <v>6</v>
      </c>
      <c r="C1222" s="1">
        <v>710</v>
      </c>
      <c r="D1222" s="1" t="s">
        <v>33</v>
      </c>
      <c r="E1222" s="1" t="s">
        <v>9</v>
      </c>
      <c r="F1222" s="1">
        <f t="shared" si="46"/>
        <v>600</v>
      </c>
      <c r="G1222" s="12">
        <f t="shared" si="47"/>
        <v>118.33333333333333</v>
      </c>
    </row>
    <row r="1223" spans="1:7" ht="13">
      <c r="A1223" s="4" t="s">
        <v>116</v>
      </c>
      <c r="B1223" s="1">
        <v>5</v>
      </c>
      <c r="C1223" s="1">
        <v>554</v>
      </c>
      <c r="D1223" s="1" t="s">
        <v>66</v>
      </c>
      <c r="E1223" s="1" t="s">
        <v>17</v>
      </c>
      <c r="F1223" s="1">
        <f t="shared" si="46"/>
        <v>500</v>
      </c>
      <c r="G1223" s="12">
        <f t="shared" si="47"/>
        <v>110.8</v>
      </c>
    </row>
    <row r="1224" spans="1:7" ht="13">
      <c r="A1224" s="4" t="s">
        <v>116</v>
      </c>
      <c r="B1224" s="1">
        <v>3.48</v>
      </c>
      <c r="C1224" s="1">
        <v>392</v>
      </c>
      <c r="D1224" s="1" t="s">
        <v>38</v>
      </c>
      <c r="E1224" s="1" t="s">
        <v>7</v>
      </c>
      <c r="F1224" s="1">
        <f t="shared" si="46"/>
        <v>348</v>
      </c>
      <c r="G1224" s="12">
        <f t="shared" si="47"/>
        <v>112.64367816091954</v>
      </c>
    </row>
    <row r="1225" spans="1:7" ht="13">
      <c r="A1225" s="4" t="s">
        <v>116</v>
      </c>
      <c r="B1225" s="1">
        <v>7.39</v>
      </c>
      <c r="C1225" s="1">
        <v>714</v>
      </c>
      <c r="D1225" s="1" t="s">
        <v>42</v>
      </c>
      <c r="E1225" s="1" t="s">
        <v>25</v>
      </c>
      <c r="F1225" s="1">
        <f t="shared" si="46"/>
        <v>739</v>
      </c>
      <c r="G1225" s="12">
        <f t="shared" si="47"/>
        <v>96.617050067659008</v>
      </c>
    </row>
    <row r="1226" spans="1:7" ht="13">
      <c r="A1226" s="4" t="s">
        <v>116</v>
      </c>
      <c r="B1226" s="1">
        <v>7.76</v>
      </c>
      <c r="C1226" s="1">
        <v>914</v>
      </c>
      <c r="D1226" s="1" t="s">
        <v>11</v>
      </c>
      <c r="E1226" s="1" t="s">
        <v>16</v>
      </c>
      <c r="F1226" s="1">
        <f t="shared" si="46"/>
        <v>776</v>
      </c>
      <c r="G1226" s="12">
        <f t="shared" si="47"/>
        <v>117.78350515463917</v>
      </c>
    </row>
    <row r="1227" spans="1:7" ht="13">
      <c r="A1227" s="4" t="s">
        <v>116</v>
      </c>
      <c r="B1227" s="1">
        <v>5.12</v>
      </c>
      <c r="C1227" s="1">
        <v>563</v>
      </c>
      <c r="D1227" s="1" t="s">
        <v>11</v>
      </c>
      <c r="E1227" s="1" t="s">
        <v>16</v>
      </c>
      <c r="F1227" s="1">
        <f t="shared" si="46"/>
        <v>512</v>
      </c>
      <c r="G1227" s="12">
        <f t="shared" si="47"/>
        <v>109.9609375</v>
      </c>
    </row>
    <row r="1228" spans="1:7" ht="13">
      <c r="A1228" s="4" t="s">
        <v>116</v>
      </c>
      <c r="B1228" s="1">
        <v>6.5</v>
      </c>
      <c r="C1228" s="1">
        <v>820</v>
      </c>
      <c r="D1228" s="1" t="s">
        <v>11</v>
      </c>
      <c r="E1228" s="1" t="s">
        <v>24</v>
      </c>
      <c r="F1228" s="1">
        <f t="shared" si="46"/>
        <v>650</v>
      </c>
      <c r="G1228" s="12">
        <f t="shared" si="47"/>
        <v>126.15384615384616</v>
      </c>
    </row>
    <row r="1229" spans="1:7" ht="13">
      <c r="A1229" s="4" t="s">
        <v>116</v>
      </c>
      <c r="B1229" s="1">
        <v>6.5</v>
      </c>
      <c r="C1229" s="1">
        <v>677</v>
      </c>
      <c r="D1229" s="1" t="s">
        <v>39</v>
      </c>
      <c r="E1229" s="1" t="s">
        <v>30</v>
      </c>
      <c r="F1229" s="1">
        <f t="shared" si="46"/>
        <v>650</v>
      </c>
      <c r="G1229" s="12">
        <f t="shared" si="47"/>
        <v>104.15384615384616</v>
      </c>
    </row>
    <row r="1230" spans="1:7" ht="13">
      <c r="A1230" s="4" t="s">
        <v>116</v>
      </c>
      <c r="B1230" s="1">
        <v>4</v>
      </c>
      <c r="C1230" s="1">
        <v>443</v>
      </c>
      <c r="D1230" s="1" t="s">
        <v>43</v>
      </c>
      <c r="E1230" s="1" t="s">
        <v>20</v>
      </c>
      <c r="F1230" s="1">
        <f t="shared" si="46"/>
        <v>400</v>
      </c>
      <c r="G1230" s="12">
        <f t="shared" si="47"/>
        <v>110.75</v>
      </c>
    </row>
    <row r="1231" spans="1:7" ht="13">
      <c r="A1231" s="4" t="s">
        <v>116</v>
      </c>
      <c r="B1231" s="1">
        <v>5.5</v>
      </c>
      <c r="C1231" s="1">
        <v>738.3</v>
      </c>
      <c r="D1231" s="1" t="s">
        <v>11</v>
      </c>
      <c r="E1231" s="1" t="s">
        <v>22</v>
      </c>
      <c r="F1231" s="1">
        <f t="shared" si="46"/>
        <v>550</v>
      </c>
      <c r="G1231" s="12">
        <f t="shared" si="47"/>
        <v>134.23636363636362</v>
      </c>
    </row>
    <row r="1232" spans="1:7" ht="13">
      <c r="A1232" s="4" t="s">
        <v>116</v>
      </c>
      <c r="B1232" s="1">
        <v>4.9000000000000004</v>
      </c>
      <c r="C1232" s="1">
        <v>552</v>
      </c>
      <c r="D1232" s="1" t="s">
        <v>44</v>
      </c>
      <c r="E1232" s="1" t="s">
        <v>15</v>
      </c>
      <c r="F1232" s="1">
        <f t="shared" si="46"/>
        <v>490.00000000000006</v>
      </c>
      <c r="G1232" s="12">
        <f t="shared" si="47"/>
        <v>112.65306122448979</v>
      </c>
    </row>
    <row r="1233" spans="1:7" ht="13">
      <c r="A1233" s="4" t="s">
        <v>116</v>
      </c>
      <c r="B1233" s="1">
        <v>6.1</v>
      </c>
      <c r="C1233" s="1">
        <v>657</v>
      </c>
      <c r="D1233" s="1" t="s">
        <v>39</v>
      </c>
      <c r="E1233" s="1" t="s">
        <v>17</v>
      </c>
      <c r="F1233" s="1">
        <f t="shared" si="46"/>
        <v>610</v>
      </c>
      <c r="G1233" s="12">
        <f t="shared" si="47"/>
        <v>107.70491803278689</v>
      </c>
    </row>
    <row r="1234" spans="1:7" ht="13">
      <c r="A1234" s="4" t="s">
        <v>116</v>
      </c>
      <c r="B1234" s="1">
        <v>5.8</v>
      </c>
      <c r="C1234" s="1">
        <v>731</v>
      </c>
      <c r="D1234" s="1" t="s">
        <v>11</v>
      </c>
      <c r="E1234" s="1" t="s">
        <v>8</v>
      </c>
      <c r="F1234" s="1">
        <f t="shared" si="46"/>
        <v>580</v>
      </c>
      <c r="G1234" s="12">
        <f t="shared" si="47"/>
        <v>126.0344827586207</v>
      </c>
    </row>
    <row r="1235" spans="1:7" ht="13">
      <c r="A1235" s="4" t="s">
        <v>116</v>
      </c>
      <c r="B1235" s="1">
        <v>6.88</v>
      </c>
      <c r="C1235" s="1">
        <v>834</v>
      </c>
      <c r="D1235" s="1" t="s">
        <v>53</v>
      </c>
      <c r="E1235" s="1" t="s">
        <v>20</v>
      </c>
      <c r="F1235" s="1">
        <f t="shared" si="46"/>
        <v>688</v>
      </c>
      <c r="G1235" s="12">
        <f t="shared" si="47"/>
        <v>121.22093023255815</v>
      </c>
    </row>
    <row r="1236" spans="1:7" ht="13">
      <c r="A1236" s="4" t="s">
        <v>116</v>
      </c>
      <c r="B1236" s="1">
        <v>6.4</v>
      </c>
      <c r="C1236" s="1">
        <v>720</v>
      </c>
      <c r="D1236" s="1" t="s">
        <v>42</v>
      </c>
      <c r="E1236" s="1" t="s">
        <v>18</v>
      </c>
      <c r="F1236" s="1">
        <f t="shared" si="46"/>
        <v>640</v>
      </c>
      <c r="G1236" s="12">
        <f t="shared" si="47"/>
        <v>112.5</v>
      </c>
    </row>
    <row r="1237" spans="1:7" ht="13">
      <c r="A1237" s="4" t="s">
        <v>116</v>
      </c>
      <c r="B1237" s="1">
        <v>9.1</v>
      </c>
      <c r="C1237" s="1">
        <v>843</v>
      </c>
      <c r="D1237" s="1" t="s">
        <v>37</v>
      </c>
      <c r="E1237" s="1" t="s">
        <v>18</v>
      </c>
      <c r="F1237" s="1">
        <f t="shared" si="46"/>
        <v>910</v>
      </c>
      <c r="G1237" s="12">
        <f t="shared" si="47"/>
        <v>92.637362637362642</v>
      </c>
    </row>
    <row r="1238" spans="1:7" ht="13">
      <c r="A1238" s="4" t="s">
        <v>116</v>
      </c>
      <c r="B1238" s="1">
        <v>6</v>
      </c>
      <c r="C1238" s="1">
        <v>683</v>
      </c>
      <c r="D1238" s="1" t="s">
        <v>11</v>
      </c>
      <c r="E1238" s="1" t="s">
        <v>22</v>
      </c>
      <c r="F1238" s="1">
        <f t="shared" si="46"/>
        <v>600</v>
      </c>
      <c r="G1238" s="12">
        <f t="shared" si="47"/>
        <v>113.83333333333333</v>
      </c>
    </row>
    <row r="1239" spans="1:7" ht="13">
      <c r="A1239" s="4" t="s">
        <v>116</v>
      </c>
      <c r="B1239" s="1">
        <v>4</v>
      </c>
      <c r="C1239" s="1">
        <v>384</v>
      </c>
      <c r="D1239" s="1" t="s">
        <v>11</v>
      </c>
      <c r="E1239" s="1" t="s">
        <v>28</v>
      </c>
      <c r="F1239" s="1">
        <f t="shared" si="46"/>
        <v>400</v>
      </c>
      <c r="G1239" s="12">
        <f t="shared" si="47"/>
        <v>96</v>
      </c>
    </row>
    <row r="1240" spans="1:7" ht="13">
      <c r="A1240" s="4" t="s">
        <v>116</v>
      </c>
      <c r="B1240" s="1">
        <v>4</v>
      </c>
      <c r="C1240" s="1">
        <v>465</v>
      </c>
      <c r="D1240" s="1" t="s">
        <v>11</v>
      </c>
      <c r="E1240" s="1" t="s">
        <v>20</v>
      </c>
      <c r="F1240" s="1">
        <f t="shared" si="46"/>
        <v>400</v>
      </c>
      <c r="G1240" s="12">
        <f t="shared" si="47"/>
        <v>116.25</v>
      </c>
    </row>
    <row r="1241" spans="1:7" ht="13">
      <c r="A1241" s="4" t="s">
        <v>116</v>
      </c>
      <c r="B1241" s="1">
        <v>6.88</v>
      </c>
      <c r="C1241" s="1">
        <v>809</v>
      </c>
      <c r="D1241" s="1" t="s">
        <v>33</v>
      </c>
      <c r="E1241" s="1" t="s">
        <v>10</v>
      </c>
      <c r="F1241" s="1">
        <f t="shared" si="46"/>
        <v>688</v>
      </c>
      <c r="G1241" s="12">
        <f t="shared" si="47"/>
        <v>117.58720930232559</v>
      </c>
    </row>
    <row r="1242" spans="1:7" ht="13">
      <c r="A1242" s="4" t="s">
        <v>116</v>
      </c>
      <c r="B1242" s="1">
        <v>6.33</v>
      </c>
      <c r="C1242" s="1">
        <v>714</v>
      </c>
      <c r="D1242" s="1" t="s">
        <v>67</v>
      </c>
      <c r="E1242" s="1" t="s">
        <v>62</v>
      </c>
      <c r="F1242" s="1">
        <f t="shared" si="46"/>
        <v>633</v>
      </c>
      <c r="G1242" s="12">
        <f t="shared" si="47"/>
        <v>112.79620853080569</v>
      </c>
    </row>
    <row r="1243" spans="1:7" ht="13">
      <c r="A1243" s="4" t="s">
        <v>116</v>
      </c>
      <c r="B1243" s="1">
        <v>6</v>
      </c>
      <c r="C1243" s="1">
        <v>756</v>
      </c>
      <c r="D1243" s="1" t="s">
        <v>11</v>
      </c>
      <c r="E1243" s="1" t="s">
        <v>23</v>
      </c>
      <c r="F1243" s="1">
        <f t="shared" si="46"/>
        <v>600</v>
      </c>
      <c r="G1243" s="12">
        <f t="shared" si="47"/>
        <v>126</v>
      </c>
    </row>
    <row r="1244" spans="1:7" ht="13">
      <c r="A1244" s="4" t="s">
        <v>116</v>
      </c>
      <c r="B1244" s="1">
        <v>4.3499999999999996</v>
      </c>
      <c r="C1244" s="1">
        <v>550</v>
      </c>
      <c r="D1244" s="1" t="s">
        <v>11</v>
      </c>
      <c r="E1244" s="1" t="s">
        <v>16</v>
      </c>
      <c r="F1244" s="1">
        <f t="shared" si="46"/>
        <v>434.99999999999994</v>
      </c>
      <c r="G1244" s="12">
        <f t="shared" si="47"/>
        <v>126.43678160919541</v>
      </c>
    </row>
    <row r="1245" spans="1:7" ht="13">
      <c r="A1245" s="4" t="s">
        <v>116</v>
      </c>
      <c r="B1245" s="1">
        <v>6</v>
      </c>
      <c r="C1245" s="1">
        <v>645</v>
      </c>
      <c r="D1245" s="1" t="s">
        <v>11</v>
      </c>
      <c r="E1245" s="1" t="s">
        <v>23</v>
      </c>
      <c r="F1245" s="1">
        <f t="shared" si="46"/>
        <v>600</v>
      </c>
      <c r="G1245" s="12">
        <f t="shared" si="47"/>
        <v>107.5</v>
      </c>
    </row>
    <row r="1246" spans="1:7" ht="13">
      <c r="A1246" s="4" t="s">
        <v>116</v>
      </c>
      <c r="B1246" s="1">
        <v>8</v>
      </c>
      <c r="C1246" s="1">
        <v>857</v>
      </c>
      <c r="D1246" s="1" t="s">
        <v>11</v>
      </c>
      <c r="E1246" s="1" t="s">
        <v>28</v>
      </c>
      <c r="F1246" s="1">
        <f t="shared" si="46"/>
        <v>800</v>
      </c>
      <c r="G1246" s="12">
        <f t="shared" si="47"/>
        <v>107.125</v>
      </c>
    </row>
    <row r="1247" spans="1:7" ht="13">
      <c r="A1247" s="4" t="s">
        <v>116</v>
      </c>
      <c r="B1247" s="1">
        <v>4.9800000000000004</v>
      </c>
      <c r="C1247" s="1">
        <v>456</v>
      </c>
      <c r="D1247" s="1" t="s">
        <v>43</v>
      </c>
      <c r="E1247" s="1" t="s">
        <v>25</v>
      </c>
      <c r="F1247" s="1">
        <f t="shared" si="46"/>
        <v>498.00000000000006</v>
      </c>
      <c r="G1247" s="12">
        <f t="shared" si="47"/>
        <v>91.566265060240951</v>
      </c>
    </row>
    <row r="1248" spans="1:7" ht="13">
      <c r="A1248" s="4" t="s">
        <v>116</v>
      </c>
      <c r="B1248" s="1">
        <v>7.29</v>
      </c>
      <c r="C1248" s="1">
        <v>824</v>
      </c>
      <c r="D1248" s="1" t="s">
        <v>33</v>
      </c>
      <c r="E1248" s="1" t="s">
        <v>17</v>
      </c>
      <c r="F1248" s="1">
        <f t="shared" si="46"/>
        <v>729</v>
      </c>
      <c r="G1248" s="12">
        <f t="shared" si="47"/>
        <v>113.03155006858711</v>
      </c>
    </row>
    <row r="1249" spans="1:7" ht="13">
      <c r="A1249" s="4" t="s">
        <v>116</v>
      </c>
      <c r="B1249" s="1">
        <v>5.6</v>
      </c>
      <c r="C1249" s="1">
        <v>497</v>
      </c>
      <c r="D1249" s="1" t="s">
        <v>33</v>
      </c>
      <c r="E1249" s="1" t="s">
        <v>29</v>
      </c>
      <c r="F1249" s="1">
        <f t="shared" si="46"/>
        <v>560</v>
      </c>
      <c r="G1249" s="12">
        <f t="shared" si="47"/>
        <v>88.75</v>
      </c>
    </row>
    <row r="1250" spans="1:7" ht="13">
      <c r="A1250" s="4" t="s">
        <v>116</v>
      </c>
      <c r="B1250" s="1">
        <v>7.2</v>
      </c>
      <c r="C1250" s="1">
        <v>862</v>
      </c>
      <c r="D1250" s="1" t="s">
        <v>11</v>
      </c>
      <c r="E1250" s="1" t="s">
        <v>10</v>
      </c>
      <c r="F1250" s="1">
        <f t="shared" si="46"/>
        <v>720</v>
      </c>
      <c r="G1250" s="12">
        <f t="shared" si="47"/>
        <v>119.72222222222221</v>
      </c>
    </row>
    <row r="1251" spans="1:7" ht="13">
      <c r="A1251" s="4" t="s">
        <v>116</v>
      </c>
      <c r="B1251" s="1">
        <v>7.2</v>
      </c>
      <c r="C1251" s="1">
        <v>818</v>
      </c>
      <c r="D1251" s="1" t="s">
        <v>33</v>
      </c>
      <c r="E1251" s="1" t="s">
        <v>8</v>
      </c>
      <c r="F1251" s="1">
        <f t="shared" si="46"/>
        <v>720</v>
      </c>
      <c r="G1251" s="12">
        <f t="shared" si="47"/>
        <v>113.61111111111111</v>
      </c>
    </row>
    <row r="1252" spans="1:7" ht="13">
      <c r="A1252" s="4" t="s">
        <v>116</v>
      </c>
      <c r="B1252" s="1">
        <v>8.6999999999999993</v>
      </c>
      <c r="C1252" s="1">
        <v>1031</v>
      </c>
      <c r="D1252" s="1" t="s">
        <v>34</v>
      </c>
      <c r="E1252" s="1" t="s">
        <v>10</v>
      </c>
      <c r="F1252" s="1">
        <f t="shared" si="46"/>
        <v>869.99999999999989</v>
      </c>
      <c r="G1252" s="12">
        <f t="shared" si="47"/>
        <v>118.50574712643679</v>
      </c>
    </row>
    <row r="1253" spans="1:7" ht="13">
      <c r="A1253" s="4" t="s">
        <v>116</v>
      </c>
      <c r="B1253" s="1">
        <v>5.5</v>
      </c>
      <c r="C1253" s="1">
        <v>730</v>
      </c>
      <c r="D1253" s="1" t="s">
        <v>11</v>
      </c>
      <c r="E1253" s="1" t="s">
        <v>10</v>
      </c>
      <c r="F1253" s="1">
        <f t="shared" si="46"/>
        <v>550</v>
      </c>
      <c r="G1253" s="12">
        <f t="shared" si="47"/>
        <v>132.72727272727272</v>
      </c>
    </row>
    <row r="1254" spans="1:7" ht="13">
      <c r="A1254" s="4" t="s">
        <v>116</v>
      </c>
      <c r="B1254" s="1">
        <v>8</v>
      </c>
      <c r="C1254" s="1">
        <v>807</v>
      </c>
      <c r="D1254" s="1" t="s">
        <v>39</v>
      </c>
      <c r="E1254" s="1" t="s">
        <v>32</v>
      </c>
      <c r="F1254" s="1">
        <f t="shared" si="46"/>
        <v>800</v>
      </c>
      <c r="G1254" s="12">
        <f t="shared" si="47"/>
        <v>100.875</v>
      </c>
    </row>
    <row r="1255" spans="1:7" ht="13">
      <c r="A1255" s="4" t="s">
        <v>116</v>
      </c>
      <c r="B1255" s="1">
        <v>8.6</v>
      </c>
      <c r="C1255" s="1">
        <v>1119</v>
      </c>
      <c r="D1255" s="1" t="s">
        <v>42</v>
      </c>
      <c r="E1255" s="1" t="s">
        <v>8</v>
      </c>
      <c r="F1255" s="1">
        <f t="shared" si="46"/>
        <v>860</v>
      </c>
      <c r="G1255" s="12">
        <f t="shared" si="47"/>
        <v>130.11627906976744</v>
      </c>
    </row>
    <row r="1256" spans="1:7" ht="13">
      <c r="A1256" s="4" t="s">
        <v>116</v>
      </c>
      <c r="B1256" s="1">
        <v>3</v>
      </c>
      <c r="C1256" s="1">
        <v>328</v>
      </c>
      <c r="D1256" s="1" t="s">
        <v>11</v>
      </c>
      <c r="E1256" s="1" t="s">
        <v>25</v>
      </c>
      <c r="F1256" s="1">
        <f t="shared" si="46"/>
        <v>300</v>
      </c>
      <c r="G1256" s="12">
        <f t="shared" si="47"/>
        <v>109.33333333333333</v>
      </c>
    </row>
    <row r="1257" spans="1:7" ht="13">
      <c r="A1257" s="4" t="s">
        <v>116</v>
      </c>
      <c r="B1257" s="1">
        <v>6.02</v>
      </c>
      <c r="C1257" s="1">
        <v>670</v>
      </c>
      <c r="D1257" s="1" t="s">
        <v>47</v>
      </c>
      <c r="E1257" s="1" t="s">
        <v>20</v>
      </c>
      <c r="F1257" s="1">
        <f t="shared" si="46"/>
        <v>602</v>
      </c>
      <c r="G1257" s="12">
        <f t="shared" si="47"/>
        <v>111.29568106312293</v>
      </c>
    </row>
    <row r="1258" spans="1:7" ht="13">
      <c r="A1258" s="4" t="s">
        <v>116</v>
      </c>
      <c r="B1258" s="1">
        <v>7.6</v>
      </c>
      <c r="C1258" s="1">
        <v>1001</v>
      </c>
      <c r="D1258" s="1" t="s">
        <v>79</v>
      </c>
      <c r="E1258" s="1" t="s">
        <v>10</v>
      </c>
      <c r="F1258" s="1">
        <f t="shared" si="46"/>
        <v>760</v>
      </c>
      <c r="G1258" s="12">
        <f t="shared" si="47"/>
        <v>131.71052631578948</v>
      </c>
    </row>
    <row r="1259" spans="1:7" ht="13">
      <c r="A1259" s="4" t="s">
        <v>116</v>
      </c>
      <c r="B1259" s="1">
        <v>6.9</v>
      </c>
      <c r="C1259" s="1">
        <v>780</v>
      </c>
      <c r="D1259" s="1" t="s">
        <v>47</v>
      </c>
      <c r="E1259" s="1" t="s">
        <v>68</v>
      </c>
      <c r="F1259" s="1">
        <f t="shared" si="46"/>
        <v>690</v>
      </c>
      <c r="G1259" s="12">
        <f t="shared" si="47"/>
        <v>113.04347826086956</v>
      </c>
    </row>
    <row r="1260" spans="1:7" ht="13">
      <c r="A1260" s="4" t="s">
        <v>116</v>
      </c>
      <c r="B1260" s="1">
        <v>7.3949999999999996</v>
      </c>
      <c r="C1260" s="1">
        <v>808</v>
      </c>
      <c r="D1260" s="1" t="s">
        <v>42</v>
      </c>
      <c r="E1260" s="1" t="s">
        <v>25</v>
      </c>
      <c r="F1260" s="1">
        <f t="shared" si="46"/>
        <v>739.5</v>
      </c>
      <c r="G1260" s="12">
        <f t="shared" si="47"/>
        <v>109.26301555104801</v>
      </c>
    </row>
    <row r="1261" spans="1:7" ht="13">
      <c r="A1261" s="4" t="s">
        <v>116</v>
      </c>
      <c r="B1261" s="1">
        <v>6</v>
      </c>
      <c r="C1261" s="1">
        <v>633</v>
      </c>
      <c r="D1261" s="1" t="s">
        <v>35</v>
      </c>
      <c r="E1261" s="1" t="s">
        <v>15</v>
      </c>
      <c r="F1261" s="1">
        <f t="shared" si="46"/>
        <v>600</v>
      </c>
      <c r="G1261" s="12">
        <f t="shared" si="47"/>
        <v>105.5</v>
      </c>
    </row>
    <row r="1262" spans="1:7" ht="13">
      <c r="A1262" s="4" t="s">
        <v>116</v>
      </c>
      <c r="B1262" s="1">
        <v>6.4</v>
      </c>
      <c r="C1262" s="1">
        <v>784</v>
      </c>
      <c r="D1262" s="1" t="s">
        <v>93</v>
      </c>
      <c r="E1262" s="1" t="s">
        <v>26</v>
      </c>
      <c r="F1262" s="1">
        <f t="shared" si="46"/>
        <v>640</v>
      </c>
      <c r="G1262" s="12">
        <f t="shared" si="47"/>
        <v>122.5</v>
      </c>
    </row>
    <row r="1263" spans="1:7" ht="13">
      <c r="A1263" s="4" t="s">
        <v>116</v>
      </c>
      <c r="B1263" s="1">
        <v>3.5</v>
      </c>
      <c r="C1263" s="1">
        <v>387</v>
      </c>
      <c r="D1263" s="1" t="s">
        <v>11</v>
      </c>
      <c r="E1263" s="1" t="s">
        <v>24</v>
      </c>
      <c r="F1263" s="1">
        <f t="shared" si="46"/>
        <v>350</v>
      </c>
      <c r="G1263" s="12">
        <f t="shared" si="47"/>
        <v>110.57142857142857</v>
      </c>
    </row>
    <row r="1264" spans="1:7" ht="13">
      <c r="A1264" s="4" t="s">
        <v>116</v>
      </c>
      <c r="B1264" s="1">
        <v>3</v>
      </c>
      <c r="C1264" s="1">
        <v>467</v>
      </c>
      <c r="D1264" s="1" t="s">
        <v>43</v>
      </c>
      <c r="E1264" s="1" t="s">
        <v>18</v>
      </c>
      <c r="F1264" s="1">
        <f t="shared" si="46"/>
        <v>300</v>
      </c>
      <c r="G1264" s="12">
        <f t="shared" si="47"/>
        <v>155.66666666666666</v>
      </c>
    </row>
    <row r="1265" spans="1:7" ht="13">
      <c r="A1265" s="4" t="s">
        <v>116</v>
      </c>
      <c r="B1265" s="1">
        <v>9.6999999999999993</v>
      </c>
      <c r="C1265" s="1">
        <v>1057</v>
      </c>
      <c r="D1265" s="1" t="s">
        <v>11</v>
      </c>
      <c r="E1265" s="1" t="s">
        <v>10</v>
      </c>
      <c r="F1265" s="1">
        <f t="shared" si="46"/>
        <v>969.99999999999989</v>
      </c>
      <c r="G1265" s="12">
        <f t="shared" si="47"/>
        <v>108.96907216494846</v>
      </c>
    </row>
    <row r="1266" spans="1:7" ht="13">
      <c r="A1266" s="4" t="s">
        <v>116</v>
      </c>
      <c r="B1266" s="1">
        <v>3</v>
      </c>
      <c r="C1266" s="1">
        <v>382</v>
      </c>
      <c r="D1266" s="1" t="s">
        <v>42</v>
      </c>
      <c r="E1266" s="1" t="s">
        <v>15</v>
      </c>
      <c r="F1266" s="1">
        <f t="shared" si="46"/>
        <v>300</v>
      </c>
      <c r="G1266" s="12">
        <f t="shared" si="47"/>
        <v>127.33333333333333</v>
      </c>
    </row>
    <row r="1267" spans="1:7" ht="13">
      <c r="A1267" s="4" t="s">
        <v>116</v>
      </c>
      <c r="B1267" s="1">
        <v>7.2</v>
      </c>
      <c r="C1267" s="1">
        <v>795</v>
      </c>
      <c r="D1267" s="1" t="s">
        <v>33</v>
      </c>
      <c r="E1267" s="1" t="s">
        <v>25</v>
      </c>
      <c r="F1267" s="1">
        <f t="shared" si="46"/>
        <v>720</v>
      </c>
      <c r="G1267" s="12">
        <f t="shared" si="47"/>
        <v>110.41666666666666</v>
      </c>
    </row>
    <row r="1268" spans="1:7" ht="13">
      <c r="A1268" s="4" t="s">
        <v>116</v>
      </c>
      <c r="B1268" s="1">
        <v>7.6</v>
      </c>
      <c r="C1268" s="1">
        <v>751</v>
      </c>
      <c r="D1268" s="1" t="s">
        <v>33</v>
      </c>
      <c r="E1268" s="1" t="s">
        <v>17</v>
      </c>
      <c r="F1268" s="1">
        <f t="shared" si="46"/>
        <v>760</v>
      </c>
      <c r="G1268" s="12">
        <f t="shared" si="47"/>
        <v>98.81578947368422</v>
      </c>
    </row>
    <row r="1269" spans="1:7" ht="13">
      <c r="A1269" s="4" t="s">
        <v>116</v>
      </c>
      <c r="B1269" s="1">
        <v>7.9</v>
      </c>
      <c r="C1269" s="1">
        <v>878</v>
      </c>
      <c r="D1269" s="1" t="s">
        <v>11</v>
      </c>
      <c r="E1269" s="1" t="s">
        <v>27</v>
      </c>
      <c r="F1269" s="1">
        <f t="shared" si="46"/>
        <v>790</v>
      </c>
      <c r="G1269" s="12">
        <f t="shared" si="47"/>
        <v>111.1392405063291</v>
      </c>
    </row>
    <row r="1270" spans="1:7" ht="13">
      <c r="A1270" s="4" t="s">
        <v>116</v>
      </c>
      <c r="B1270" s="1">
        <v>6.4</v>
      </c>
      <c r="C1270" s="1">
        <v>762</v>
      </c>
      <c r="D1270" s="1" t="s">
        <v>38</v>
      </c>
      <c r="E1270" s="1" t="s">
        <v>9</v>
      </c>
      <c r="F1270" s="1">
        <f t="shared" si="46"/>
        <v>640</v>
      </c>
      <c r="G1270" s="12">
        <f t="shared" si="47"/>
        <v>119.0625</v>
      </c>
    </row>
    <row r="1271" spans="1:7" ht="13">
      <c r="A1271" s="4" t="s">
        <v>116</v>
      </c>
      <c r="B1271" s="1">
        <v>5800</v>
      </c>
      <c r="C1271" s="1">
        <v>390000</v>
      </c>
      <c r="D1271" s="1" t="s">
        <v>11</v>
      </c>
      <c r="E1271" s="1" t="s">
        <v>8</v>
      </c>
      <c r="F1271" s="1">
        <f t="shared" si="46"/>
        <v>580000</v>
      </c>
      <c r="G1271" s="12">
        <f t="shared" si="47"/>
        <v>67.241379310344826</v>
      </c>
    </row>
    <row r="1272" spans="1:7" ht="13">
      <c r="A1272" s="4" t="s">
        <v>116</v>
      </c>
      <c r="B1272" s="1">
        <v>8.8000000000000007</v>
      </c>
      <c r="C1272" s="1">
        <v>953</v>
      </c>
      <c r="D1272" s="1" t="s">
        <v>42</v>
      </c>
      <c r="E1272" s="1" t="s">
        <v>32</v>
      </c>
      <c r="F1272" s="1">
        <f t="shared" si="46"/>
        <v>880.00000000000011</v>
      </c>
      <c r="G1272" s="12">
        <f t="shared" si="47"/>
        <v>108.29545454545453</v>
      </c>
    </row>
    <row r="1273" spans="1:7" ht="13">
      <c r="A1273" s="4" t="s">
        <v>116</v>
      </c>
      <c r="B1273" s="1">
        <v>8.8000000000000007</v>
      </c>
      <c r="C1273" s="1">
        <v>953</v>
      </c>
      <c r="D1273" s="1" t="s">
        <v>42</v>
      </c>
      <c r="E1273" s="1" t="s">
        <v>32</v>
      </c>
      <c r="F1273" s="1">
        <f t="shared" si="46"/>
        <v>880.00000000000011</v>
      </c>
      <c r="G1273" s="12">
        <f t="shared" si="47"/>
        <v>108.29545454545453</v>
      </c>
    </row>
    <row r="1274" spans="1:7" ht="13">
      <c r="A1274" s="4" t="s">
        <v>116</v>
      </c>
      <c r="B1274" s="1">
        <v>7</v>
      </c>
      <c r="C1274" s="1">
        <v>775</v>
      </c>
      <c r="D1274" s="1" t="s">
        <v>40</v>
      </c>
      <c r="E1274" s="1" t="s">
        <v>15</v>
      </c>
      <c r="F1274" s="1">
        <f t="shared" si="46"/>
        <v>700</v>
      </c>
      <c r="G1274" s="12">
        <f t="shared" si="47"/>
        <v>110.71428571428571</v>
      </c>
    </row>
    <row r="1275" spans="1:7" ht="13">
      <c r="A1275" s="4" t="s">
        <v>116</v>
      </c>
      <c r="B1275" s="1">
        <v>3.5</v>
      </c>
      <c r="C1275" s="1">
        <v>404</v>
      </c>
      <c r="D1275" s="1" t="s">
        <v>44</v>
      </c>
      <c r="E1275" s="1" t="s">
        <v>15</v>
      </c>
      <c r="F1275" s="1">
        <f t="shared" si="46"/>
        <v>350</v>
      </c>
      <c r="G1275" s="12">
        <f t="shared" si="47"/>
        <v>115.42857142857143</v>
      </c>
    </row>
    <row r="1276" spans="1:7" ht="13">
      <c r="A1276" s="4" t="s">
        <v>116</v>
      </c>
      <c r="B1276" s="1">
        <v>7.74</v>
      </c>
      <c r="C1276" s="1">
        <v>903</v>
      </c>
      <c r="D1276" s="1" t="s">
        <v>33</v>
      </c>
      <c r="E1276" s="1" t="s">
        <v>9</v>
      </c>
      <c r="F1276" s="1">
        <f t="shared" si="46"/>
        <v>774</v>
      </c>
      <c r="G1276" s="12">
        <f t="shared" si="47"/>
        <v>116.66666666666666</v>
      </c>
    </row>
    <row r="1277" spans="1:7" ht="13">
      <c r="A1277" s="4" t="s">
        <v>116</v>
      </c>
      <c r="B1277" s="1">
        <v>4.5999999999999996</v>
      </c>
      <c r="C1277" s="1">
        <v>537</v>
      </c>
      <c r="D1277" s="1" t="s">
        <v>37</v>
      </c>
      <c r="E1277" s="1" t="s">
        <v>15</v>
      </c>
      <c r="F1277" s="1">
        <f t="shared" si="46"/>
        <v>459.99999999999994</v>
      </c>
      <c r="G1277" s="12">
        <f t="shared" si="47"/>
        <v>116.73913043478262</v>
      </c>
    </row>
    <row r="1278" spans="1:7" ht="13">
      <c r="A1278" s="4" t="s">
        <v>116</v>
      </c>
      <c r="B1278" s="1">
        <v>5.16</v>
      </c>
      <c r="C1278" s="1">
        <v>543</v>
      </c>
      <c r="D1278" s="1" t="s">
        <v>48</v>
      </c>
      <c r="E1278" s="1" t="s">
        <v>30</v>
      </c>
      <c r="F1278" s="1">
        <f t="shared" si="46"/>
        <v>516</v>
      </c>
      <c r="G1278" s="12">
        <f t="shared" si="47"/>
        <v>105.23255813953489</v>
      </c>
    </row>
    <row r="1279" spans="1:7" ht="13">
      <c r="A1279" s="4" t="s">
        <v>116</v>
      </c>
      <c r="B1279" s="1">
        <v>6.3</v>
      </c>
      <c r="C1279" s="1">
        <v>819</v>
      </c>
      <c r="D1279" s="1" t="s">
        <v>42</v>
      </c>
      <c r="E1279" s="1" t="s">
        <v>10</v>
      </c>
      <c r="F1279" s="1">
        <f t="shared" si="46"/>
        <v>630</v>
      </c>
      <c r="G1279" s="12">
        <f t="shared" si="47"/>
        <v>130</v>
      </c>
    </row>
    <row r="1280" spans="1:7" ht="13">
      <c r="A1280" s="4" t="s">
        <v>116</v>
      </c>
      <c r="B1280" s="1">
        <v>5.8</v>
      </c>
      <c r="C1280" s="1">
        <v>649</v>
      </c>
      <c r="D1280" s="1" t="s">
        <v>50</v>
      </c>
      <c r="E1280" s="1" t="s">
        <v>26</v>
      </c>
      <c r="F1280" s="1">
        <f t="shared" si="46"/>
        <v>580</v>
      </c>
      <c r="G1280" s="12">
        <f t="shared" si="47"/>
        <v>111.89655172413794</v>
      </c>
    </row>
    <row r="1281" spans="1:7" ht="13">
      <c r="A1281" s="4" t="s">
        <v>116</v>
      </c>
      <c r="B1281" s="1">
        <v>7.7</v>
      </c>
      <c r="C1281" s="1">
        <v>952</v>
      </c>
      <c r="D1281" s="1" t="s">
        <v>11</v>
      </c>
      <c r="E1281" s="1" t="s">
        <v>20</v>
      </c>
      <c r="F1281" s="1">
        <f t="shared" si="46"/>
        <v>770</v>
      </c>
      <c r="G1281" s="12">
        <f t="shared" si="47"/>
        <v>123.63636363636364</v>
      </c>
    </row>
    <row r="1282" spans="1:7" ht="13">
      <c r="A1282" s="4" t="s">
        <v>116</v>
      </c>
      <c r="B1282" s="1">
        <v>7.56</v>
      </c>
      <c r="C1282" s="1">
        <v>791</v>
      </c>
      <c r="D1282" s="1" t="s">
        <v>11</v>
      </c>
      <c r="E1282" s="1" t="s">
        <v>25</v>
      </c>
      <c r="F1282" s="1">
        <f t="shared" si="46"/>
        <v>756</v>
      </c>
      <c r="G1282" s="12">
        <f t="shared" si="47"/>
        <v>104.62962962962963</v>
      </c>
    </row>
    <row r="1283" spans="1:7" ht="13">
      <c r="A1283" s="4" t="s">
        <v>116</v>
      </c>
      <c r="B1283" s="1">
        <v>6.8</v>
      </c>
      <c r="C1283" s="1">
        <v>680</v>
      </c>
      <c r="D1283" s="1" t="s">
        <v>11</v>
      </c>
      <c r="E1283" s="1" t="s">
        <v>25</v>
      </c>
      <c r="F1283" s="1">
        <f t="shared" ref="F1283:F1346" si="48">B1283*100</f>
        <v>680</v>
      </c>
      <c r="G1283" s="12">
        <f t="shared" ref="G1283:G1346" si="49">C1283/B1283</f>
        <v>100</v>
      </c>
    </row>
    <row r="1284" spans="1:7" ht="13">
      <c r="A1284" s="4" t="s">
        <v>116</v>
      </c>
      <c r="B1284" s="1">
        <v>6.23</v>
      </c>
      <c r="C1284" s="1">
        <v>817</v>
      </c>
      <c r="D1284" s="1" t="s">
        <v>43</v>
      </c>
      <c r="E1284" s="1" t="s">
        <v>17</v>
      </c>
      <c r="F1284" s="1">
        <f t="shared" si="48"/>
        <v>623</v>
      </c>
      <c r="G1284" s="12">
        <f t="shared" si="49"/>
        <v>131.13964686998395</v>
      </c>
    </row>
    <row r="1285" spans="1:7" ht="13">
      <c r="A1285" s="4" t="s">
        <v>116</v>
      </c>
      <c r="B1285" s="1">
        <v>4.3499999999999996</v>
      </c>
      <c r="C1285" s="1">
        <v>617</v>
      </c>
      <c r="D1285" s="1" t="s">
        <v>47</v>
      </c>
      <c r="E1285" s="1" t="s">
        <v>9</v>
      </c>
      <c r="F1285" s="1">
        <f t="shared" si="48"/>
        <v>434.99999999999994</v>
      </c>
      <c r="G1285" s="12">
        <f t="shared" si="49"/>
        <v>141.83908045977012</v>
      </c>
    </row>
    <row r="1286" spans="1:7" ht="13">
      <c r="A1286" s="4" t="s">
        <v>116</v>
      </c>
      <c r="B1286" s="1">
        <v>5.8</v>
      </c>
      <c r="C1286" s="1">
        <v>641</v>
      </c>
      <c r="D1286" s="1" t="s">
        <v>43</v>
      </c>
      <c r="E1286" s="1" t="s">
        <v>7</v>
      </c>
      <c r="F1286" s="1">
        <f t="shared" si="48"/>
        <v>580</v>
      </c>
      <c r="G1286" s="12">
        <f t="shared" si="49"/>
        <v>110.51724137931035</v>
      </c>
    </row>
    <row r="1287" spans="1:7" ht="13">
      <c r="A1287" s="4" t="s">
        <v>116</v>
      </c>
      <c r="B1287" s="1">
        <v>6.4</v>
      </c>
      <c r="C1287" s="1">
        <v>771</v>
      </c>
      <c r="D1287" s="1" t="s">
        <v>11</v>
      </c>
      <c r="E1287" s="1" t="s">
        <v>8</v>
      </c>
      <c r="F1287" s="1">
        <f t="shared" si="48"/>
        <v>640</v>
      </c>
      <c r="G1287" s="12">
        <f t="shared" si="49"/>
        <v>120.46875</v>
      </c>
    </row>
    <row r="1288" spans="1:7" ht="13">
      <c r="A1288" s="4" t="s">
        <v>116</v>
      </c>
      <c r="B1288" s="1">
        <v>7.74</v>
      </c>
      <c r="C1288" s="1">
        <v>844</v>
      </c>
      <c r="D1288" s="1" t="s">
        <v>33</v>
      </c>
      <c r="E1288" s="1" t="s">
        <v>16</v>
      </c>
      <c r="F1288" s="1">
        <f t="shared" si="48"/>
        <v>774</v>
      </c>
      <c r="G1288" s="12">
        <f t="shared" si="49"/>
        <v>109.0439276485788</v>
      </c>
    </row>
    <row r="1289" spans="1:7" ht="13">
      <c r="A1289" s="4" t="s">
        <v>116</v>
      </c>
      <c r="B1289" s="1">
        <v>7.74</v>
      </c>
      <c r="C1289" s="1">
        <v>831</v>
      </c>
      <c r="D1289" s="1" t="s">
        <v>33</v>
      </c>
      <c r="E1289" s="1" t="s">
        <v>16</v>
      </c>
      <c r="F1289" s="1">
        <f t="shared" si="48"/>
        <v>774</v>
      </c>
      <c r="G1289" s="12">
        <f t="shared" si="49"/>
        <v>107.36434108527132</v>
      </c>
    </row>
    <row r="1290" spans="1:7" ht="13">
      <c r="A1290" s="4" t="s">
        <v>116</v>
      </c>
      <c r="B1290" s="1">
        <v>6.04</v>
      </c>
      <c r="C1290" s="1">
        <v>750</v>
      </c>
      <c r="D1290" s="1" t="s">
        <v>42</v>
      </c>
      <c r="E1290" s="1" t="s">
        <v>8</v>
      </c>
      <c r="F1290" s="1">
        <f t="shared" si="48"/>
        <v>604</v>
      </c>
      <c r="G1290" s="12">
        <f t="shared" si="49"/>
        <v>124.17218543046357</v>
      </c>
    </row>
    <row r="1291" spans="1:7" ht="13">
      <c r="A1291" s="4" t="s">
        <v>116</v>
      </c>
      <c r="B1291" s="1">
        <v>6.3</v>
      </c>
      <c r="C1291" s="1">
        <v>630</v>
      </c>
      <c r="D1291" s="1" t="s">
        <v>43</v>
      </c>
      <c r="E1291" s="1" t="s">
        <v>29</v>
      </c>
      <c r="F1291" s="1">
        <f t="shared" si="48"/>
        <v>630</v>
      </c>
      <c r="G1291" s="12">
        <f t="shared" si="49"/>
        <v>100</v>
      </c>
    </row>
    <row r="1292" spans="1:7" ht="13">
      <c r="A1292" s="4" t="s">
        <v>116</v>
      </c>
      <c r="B1292" s="1">
        <v>9.1300000000000008</v>
      </c>
      <c r="C1292" s="1">
        <v>960</v>
      </c>
      <c r="D1292" s="1" t="s">
        <v>11</v>
      </c>
      <c r="E1292" s="1" t="s">
        <v>19</v>
      </c>
      <c r="F1292" s="1">
        <f t="shared" si="48"/>
        <v>913.00000000000011</v>
      </c>
      <c r="G1292" s="12">
        <f t="shared" si="49"/>
        <v>105.14786418400875</v>
      </c>
    </row>
    <row r="1293" spans="1:7" ht="13">
      <c r="A1293" s="4" t="s">
        <v>116</v>
      </c>
      <c r="B1293" s="1">
        <v>6.96</v>
      </c>
      <c r="C1293" s="1">
        <v>736</v>
      </c>
      <c r="D1293" s="1" t="s">
        <v>33</v>
      </c>
      <c r="E1293" s="1" t="s">
        <v>12</v>
      </c>
      <c r="F1293" s="1">
        <f t="shared" si="48"/>
        <v>696</v>
      </c>
      <c r="G1293" s="12">
        <f t="shared" si="49"/>
        <v>105.74712643678161</v>
      </c>
    </row>
    <row r="1294" spans="1:7" ht="13">
      <c r="A1294" s="4" t="s">
        <v>116</v>
      </c>
      <c r="B1294" s="1">
        <v>6.5</v>
      </c>
      <c r="C1294" s="1">
        <v>730</v>
      </c>
      <c r="D1294" s="1" t="s">
        <v>11</v>
      </c>
      <c r="E1294" s="1" t="s">
        <v>17</v>
      </c>
      <c r="F1294" s="1">
        <f t="shared" si="48"/>
        <v>650</v>
      </c>
      <c r="G1294" s="12">
        <f t="shared" si="49"/>
        <v>112.30769230769231</v>
      </c>
    </row>
    <row r="1295" spans="1:7" ht="13">
      <c r="A1295" s="4" t="s">
        <v>116</v>
      </c>
      <c r="B1295" s="1">
        <v>7.74</v>
      </c>
      <c r="C1295" s="1">
        <v>883</v>
      </c>
      <c r="D1295" s="1" t="s">
        <v>11</v>
      </c>
      <c r="E1295" s="1" t="s">
        <v>24</v>
      </c>
      <c r="F1295" s="1">
        <f t="shared" si="48"/>
        <v>774</v>
      </c>
      <c r="G1295" s="12">
        <f t="shared" si="49"/>
        <v>114.08268733850129</v>
      </c>
    </row>
    <row r="1296" spans="1:7" ht="13">
      <c r="A1296" s="4" t="s">
        <v>116</v>
      </c>
      <c r="B1296" s="1">
        <v>5.16</v>
      </c>
      <c r="C1296" s="1">
        <v>600</v>
      </c>
      <c r="D1296" s="1" t="s">
        <v>11</v>
      </c>
      <c r="E1296" s="1" t="s">
        <v>27</v>
      </c>
      <c r="F1296" s="1">
        <f t="shared" si="48"/>
        <v>516</v>
      </c>
      <c r="G1296" s="12">
        <f t="shared" si="49"/>
        <v>116.27906976744185</v>
      </c>
    </row>
    <row r="1297" spans="1:7" ht="13">
      <c r="A1297" s="4" t="s">
        <v>116</v>
      </c>
      <c r="B1297" s="1">
        <v>5</v>
      </c>
      <c r="C1297" s="1">
        <v>679</v>
      </c>
      <c r="D1297" s="1" t="s">
        <v>43</v>
      </c>
      <c r="E1297" s="1" t="s">
        <v>15</v>
      </c>
      <c r="F1297" s="1">
        <f t="shared" si="48"/>
        <v>500</v>
      </c>
      <c r="G1297" s="12">
        <f t="shared" si="49"/>
        <v>135.80000000000001</v>
      </c>
    </row>
    <row r="1298" spans="1:7" ht="13">
      <c r="A1298" s="4" t="s">
        <v>116</v>
      </c>
      <c r="B1298" s="1">
        <v>8</v>
      </c>
      <c r="C1298" s="1">
        <v>920</v>
      </c>
      <c r="D1298" s="1" t="s">
        <v>58</v>
      </c>
      <c r="E1298" s="1" t="s">
        <v>49</v>
      </c>
      <c r="F1298" s="1">
        <f t="shared" si="48"/>
        <v>800</v>
      </c>
      <c r="G1298" s="12">
        <f t="shared" si="49"/>
        <v>115</v>
      </c>
    </row>
    <row r="1299" spans="1:7" ht="13">
      <c r="A1299" s="4" t="s">
        <v>116</v>
      </c>
      <c r="B1299" s="1">
        <v>9.1</v>
      </c>
      <c r="C1299" s="1">
        <v>442</v>
      </c>
      <c r="D1299" s="1" t="s">
        <v>33</v>
      </c>
      <c r="E1299" s="1" t="s">
        <v>17</v>
      </c>
      <c r="F1299" s="1">
        <f t="shared" si="48"/>
        <v>910</v>
      </c>
      <c r="G1299" s="12">
        <f t="shared" si="49"/>
        <v>48.571428571428577</v>
      </c>
    </row>
    <row r="1300" spans="1:7" ht="13">
      <c r="A1300" s="4" t="s">
        <v>116</v>
      </c>
      <c r="B1300" s="1">
        <v>9.6</v>
      </c>
      <c r="C1300" s="1">
        <v>999</v>
      </c>
      <c r="D1300" s="1" t="s">
        <v>45</v>
      </c>
      <c r="E1300" s="1" t="s">
        <v>12</v>
      </c>
      <c r="F1300" s="1">
        <f t="shared" si="48"/>
        <v>960</v>
      </c>
      <c r="G1300" s="12">
        <f t="shared" si="49"/>
        <v>104.0625</v>
      </c>
    </row>
    <row r="1301" spans="1:7" ht="13">
      <c r="A1301" s="4" t="s">
        <v>116</v>
      </c>
      <c r="B1301" s="1">
        <v>3.44</v>
      </c>
      <c r="C1301" s="1">
        <v>421.1</v>
      </c>
      <c r="D1301" s="1" t="s">
        <v>39</v>
      </c>
      <c r="E1301" s="1" t="s">
        <v>15</v>
      </c>
      <c r="F1301" s="1">
        <f t="shared" si="48"/>
        <v>344</v>
      </c>
      <c r="G1301" s="12">
        <f t="shared" si="49"/>
        <v>122.41279069767442</v>
      </c>
    </row>
    <row r="1302" spans="1:7" ht="13">
      <c r="A1302" s="4" t="s">
        <v>116</v>
      </c>
      <c r="B1302" s="1">
        <v>8.3000000000000007</v>
      </c>
      <c r="C1302" s="1">
        <v>1030</v>
      </c>
      <c r="D1302" s="1" t="s">
        <v>11</v>
      </c>
      <c r="E1302" s="1" t="s">
        <v>17</v>
      </c>
      <c r="F1302" s="1">
        <f t="shared" si="48"/>
        <v>830.00000000000011</v>
      </c>
      <c r="G1302" s="12">
        <f t="shared" si="49"/>
        <v>124.09638554216866</v>
      </c>
    </row>
    <row r="1303" spans="1:7" ht="13">
      <c r="A1303" s="4" t="s">
        <v>116</v>
      </c>
      <c r="B1303" s="1">
        <v>5.81</v>
      </c>
      <c r="C1303" s="1">
        <v>635</v>
      </c>
      <c r="D1303" s="1" t="s">
        <v>38</v>
      </c>
      <c r="E1303" s="1" t="s">
        <v>8</v>
      </c>
      <c r="F1303" s="1">
        <f t="shared" si="48"/>
        <v>581</v>
      </c>
      <c r="G1303" s="12">
        <f t="shared" si="49"/>
        <v>109.29432013769365</v>
      </c>
    </row>
    <row r="1304" spans="1:7" ht="13">
      <c r="A1304" s="4" t="s">
        <v>116</v>
      </c>
      <c r="B1304" s="1">
        <v>5.6</v>
      </c>
      <c r="C1304" s="1">
        <v>484.59</v>
      </c>
      <c r="D1304" s="1" t="s">
        <v>43</v>
      </c>
      <c r="E1304" s="1" t="s">
        <v>27</v>
      </c>
      <c r="F1304" s="1">
        <f t="shared" si="48"/>
        <v>560</v>
      </c>
      <c r="G1304" s="12">
        <f t="shared" si="49"/>
        <v>86.533928571428575</v>
      </c>
    </row>
    <row r="1305" spans="1:7" ht="13">
      <c r="A1305" s="4" t="s">
        <v>116</v>
      </c>
      <c r="B1305" s="1">
        <v>6.9</v>
      </c>
      <c r="C1305" s="1">
        <v>792</v>
      </c>
      <c r="D1305" s="1" t="s">
        <v>58</v>
      </c>
      <c r="E1305" s="1" t="s">
        <v>16</v>
      </c>
      <c r="F1305" s="1">
        <f t="shared" si="48"/>
        <v>690</v>
      </c>
      <c r="G1305" s="12">
        <f t="shared" si="49"/>
        <v>114.78260869565217</v>
      </c>
    </row>
    <row r="1306" spans="1:7" ht="13">
      <c r="A1306" s="4" t="s">
        <v>116</v>
      </c>
      <c r="B1306" s="1">
        <v>5.3949999999999996</v>
      </c>
      <c r="C1306" s="1">
        <v>553.5</v>
      </c>
      <c r="D1306" s="1" t="s">
        <v>44</v>
      </c>
      <c r="E1306" s="1" t="s">
        <v>15</v>
      </c>
      <c r="F1306" s="1">
        <f t="shared" si="48"/>
        <v>539.5</v>
      </c>
      <c r="G1306" s="12">
        <f t="shared" si="49"/>
        <v>102.59499536607971</v>
      </c>
    </row>
    <row r="1307" spans="1:7" ht="13">
      <c r="A1307" s="4" t="s">
        <v>116</v>
      </c>
      <c r="B1307" s="1">
        <v>7.8</v>
      </c>
      <c r="C1307" s="1">
        <v>779</v>
      </c>
      <c r="D1307" s="1" t="s">
        <v>38</v>
      </c>
      <c r="E1307" s="1" t="s">
        <v>21</v>
      </c>
      <c r="F1307" s="1">
        <f t="shared" si="48"/>
        <v>780</v>
      </c>
      <c r="G1307" s="12">
        <f t="shared" si="49"/>
        <v>99.871794871794876</v>
      </c>
    </row>
    <row r="1308" spans="1:7" ht="13">
      <c r="A1308" s="4" t="s">
        <v>116</v>
      </c>
      <c r="B1308" s="1">
        <v>6.49</v>
      </c>
      <c r="C1308" s="1">
        <v>636</v>
      </c>
      <c r="D1308" s="1" t="s">
        <v>42</v>
      </c>
      <c r="E1308" s="1" t="s">
        <v>25</v>
      </c>
      <c r="F1308" s="1">
        <f t="shared" si="48"/>
        <v>649</v>
      </c>
      <c r="G1308" s="12">
        <f t="shared" si="49"/>
        <v>97.996918335901384</v>
      </c>
    </row>
    <row r="1309" spans="1:7" ht="13">
      <c r="A1309" s="4" t="s">
        <v>116</v>
      </c>
      <c r="B1309" s="1">
        <v>3.8</v>
      </c>
      <c r="C1309" s="1">
        <v>390</v>
      </c>
      <c r="D1309" s="1" t="s">
        <v>11</v>
      </c>
      <c r="E1309" s="1" t="s">
        <v>31</v>
      </c>
      <c r="F1309" s="1">
        <f t="shared" si="48"/>
        <v>380</v>
      </c>
      <c r="G1309" s="12">
        <f t="shared" si="49"/>
        <v>102.63157894736842</v>
      </c>
    </row>
    <row r="1310" spans="1:7" ht="13">
      <c r="A1310" s="4" t="s">
        <v>116</v>
      </c>
      <c r="B1310" s="1">
        <v>7</v>
      </c>
      <c r="C1310" s="1">
        <v>837</v>
      </c>
      <c r="D1310" s="1" t="s">
        <v>36</v>
      </c>
      <c r="E1310" s="1" t="s">
        <v>15</v>
      </c>
      <c r="F1310" s="1">
        <f t="shared" si="48"/>
        <v>700</v>
      </c>
      <c r="G1310" s="12">
        <f t="shared" si="49"/>
        <v>119.57142857142857</v>
      </c>
    </row>
    <row r="1311" spans="1:7" ht="13">
      <c r="A1311" s="4" t="s">
        <v>116</v>
      </c>
      <c r="B1311" s="1">
        <v>4.2</v>
      </c>
      <c r="C1311" s="1">
        <v>520</v>
      </c>
      <c r="D1311" s="1" t="s">
        <v>57</v>
      </c>
      <c r="E1311" s="1" t="s">
        <v>26</v>
      </c>
      <c r="F1311" s="1">
        <f t="shared" si="48"/>
        <v>420</v>
      </c>
      <c r="G1311" s="12">
        <f t="shared" si="49"/>
        <v>123.80952380952381</v>
      </c>
    </row>
    <row r="1312" spans="1:7" ht="13">
      <c r="A1312" s="4" t="s">
        <v>116</v>
      </c>
      <c r="B1312" s="1">
        <v>7.74</v>
      </c>
      <c r="C1312" s="1">
        <v>826</v>
      </c>
      <c r="D1312" s="1" t="s">
        <v>47</v>
      </c>
      <c r="E1312" s="1" t="s">
        <v>25</v>
      </c>
      <c r="F1312" s="1">
        <f t="shared" si="48"/>
        <v>774</v>
      </c>
      <c r="G1312" s="12">
        <f t="shared" si="49"/>
        <v>106.71834625322997</v>
      </c>
    </row>
    <row r="1313" spans="1:7" ht="13">
      <c r="A1313" s="4" t="s">
        <v>116</v>
      </c>
      <c r="B1313" s="1">
        <v>7.29</v>
      </c>
      <c r="C1313" s="1">
        <v>844</v>
      </c>
      <c r="D1313" s="1" t="s">
        <v>11</v>
      </c>
      <c r="E1313" s="1" t="s">
        <v>18</v>
      </c>
      <c r="F1313" s="1">
        <f t="shared" si="48"/>
        <v>729</v>
      </c>
      <c r="G1313" s="12">
        <f t="shared" si="49"/>
        <v>115.77503429355281</v>
      </c>
    </row>
    <row r="1314" spans="1:7" ht="13">
      <c r="A1314" s="4" t="s">
        <v>116</v>
      </c>
      <c r="B1314" s="1">
        <v>6.8</v>
      </c>
      <c r="C1314" s="1">
        <v>766</v>
      </c>
      <c r="D1314" s="1" t="s">
        <v>38</v>
      </c>
      <c r="E1314" s="1" t="s">
        <v>7</v>
      </c>
      <c r="F1314" s="1">
        <f t="shared" si="48"/>
        <v>680</v>
      </c>
      <c r="G1314" s="12">
        <f t="shared" si="49"/>
        <v>112.64705882352942</v>
      </c>
    </row>
    <row r="1315" spans="1:7" ht="13">
      <c r="A1315" s="4" t="s">
        <v>116</v>
      </c>
      <c r="B1315" s="1">
        <v>6.5</v>
      </c>
      <c r="C1315" s="1">
        <v>45</v>
      </c>
      <c r="D1315" s="1" t="s">
        <v>43</v>
      </c>
      <c r="E1315" s="1" t="s">
        <v>27</v>
      </c>
      <c r="F1315" s="1">
        <f t="shared" si="48"/>
        <v>650</v>
      </c>
      <c r="G1315" s="12">
        <f t="shared" si="49"/>
        <v>6.9230769230769234</v>
      </c>
    </row>
    <row r="1316" spans="1:7" ht="13">
      <c r="A1316" s="4" t="s">
        <v>116</v>
      </c>
      <c r="B1316" s="1">
        <v>5</v>
      </c>
      <c r="C1316" s="1">
        <v>609</v>
      </c>
      <c r="D1316" s="1" t="s">
        <v>39</v>
      </c>
      <c r="E1316" s="1" t="s">
        <v>30</v>
      </c>
      <c r="F1316" s="1">
        <f t="shared" si="48"/>
        <v>500</v>
      </c>
      <c r="G1316" s="12">
        <f t="shared" si="49"/>
        <v>121.8</v>
      </c>
    </row>
    <row r="1317" spans="1:7" ht="13">
      <c r="A1317" s="4" t="s">
        <v>116</v>
      </c>
      <c r="B1317" s="1">
        <v>4</v>
      </c>
      <c r="C1317" s="1">
        <v>458</v>
      </c>
      <c r="D1317" s="1" t="s">
        <v>35</v>
      </c>
      <c r="E1317" s="1" t="s">
        <v>17</v>
      </c>
      <c r="F1317" s="1">
        <f t="shared" si="48"/>
        <v>400</v>
      </c>
      <c r="G1317" s="12">
        <f t="shared" si="49"/>
        <v>114.5</v>
      </c>
    </row>
    <row r="1318" spans="1:7" ht="13">
      <c r="A1318" s="4" t="s">
        <v>116</v>
      </c>
      <c r="B1318" s="1">
        <v>8.1999999999999993</v>
      </c>
      <c r="C1318" s="1">
        <v>875</v>
      </c>
      <c r="D1318" s="1" t="s">
        <v>43</v>
      </c>
      <c r="E1318" s="1" t="s">
        <v>25</v>
      </c>
      <c r="F1318" s="1">
        <f t="shared" si="48"/>
        <v>819.99999999999989</v>
      </c>
      <c r="G1318" s="12">
        <f t="shared" si="49"/>
        <v>106.70731707317074</v>
      </c>
    </row>
    <row r="1319" spans="1:7" ht="13">
      <c r="A1319" s="4" t="s">
        <v>116</v>
      </c>
      <c r="B1319" s="1">
        <v>8.6999999999999993</v>
      </c>
      <c r="C1319" s="1">
        <v>976</v>
      </c>
      <c r="D1319" s="1" t="s">
        <v>45</v>
      </c>
      <c r="E1319" s="1" t="s">
        <v>20</v>
      </c>
      <c r="F1319" s="1">
        <f t="shared" si="48"/>
        <v>869.99999999999989</v>
      </c>
      <c r="G1319" s="12">
        <f t="shared" si="49"/>
        <v>112.18390804597702</v>
      </c>
    </row>
    <row r="1320" spans="1:7" ht="13">
      <c r="A1320" s="4" t="s">
        <v>116</v>
      </c>
      <c r="B1320" s="1">
        <v>6.09</v>
      </c>
      <c r="C1320" s="1">
        <v>739</v>
      </c>
      <c r="D1320" s="1" t="s">
        <v>44</v>
      </c>
      <c r="E1320" s="1" t="s">
        <v>20</v>
      </c>
      <c r="F1320" s="1">
        <f t="shared" si="48"/>
        <v>609</v>
      </c>
      <c r="G1320" s="12">
        <f t="shared" si="49"/>
        <v>121.3464696223317</v>
      </c>
    </row>
    <row r="1321" spans="1:7" ht="13">
      <c r="A1321" s="4" t="s">
        <v>116</v>
      </c>
      <c r="B1321" s="1">
        <v>6.5</v>
      </c>
      <c r="C1321" s="1">
        <v>719</v>
      </c>
      <c r="D1321" s="1" t="s">
        <v>45</v>
      </c>
      <c r="E1321" s="1" t="s">
        <v>20</v>
      </c>
      <c r="F1321" s="1">
        <f t="shared" si="48"/>
        <v>650</v>
      </c>
      <c r="G1321" s="12">
        <f t="shared" si="49"/>
        <v>110.61538461538461</v>
      </c>
    </row>
    <row r="1322" spans="1:7" ht="13">
      <c r="A1322" s="4" t="s">
        <v>116</v>
      </c>
      <c r="B1322" s="1">
        <v>4.3</v>
      </c>
      <c r="C1322" s="1">
        <v>438</v>
      </c>
      <c r="D1322" s="1" t="s">
        <v>11</v>
      </c>
      <c r="E1322" s="1" t="s">
        <v>32</v>
      </c>
      <c r="F1322" s="1">
        <f t="shared" si="48"/>
        <v>430</v>
      </c>
      <c r="G1322" s="12">
        <f t="shared" si="49"/>
        <v>101.86046511627907</v>
      </c>
    </row>
    <row r="1323" spans="1:7" ht="13">
      <c r="A1323" s="4" t="s">
        <v>116</v>
      </c>
      <c r="B1323" s="1">
        <v>6</v>
      </c>
      <c r="C1323" s="1">
        <v>690</v>
      </c>
      <c r="D1323" s="1" t="s">
        <v>11</v>
      </c>
      <c r="E1323" s="1" t="s">
        <v>23</v>
      </c>
      <c r="F1323" s="1">
        <f t="shared" si="48"/>
        <v>600</v>
      </c>
      <c r="G1323" s="12">
        <f t="shared" si="49"/>
        <v>115</v>
      </c>
    </row>
    <row r="1324" spans="1:7" ht="13">
      <c r="A1324" s="4" t="s">
        <v>116</v>
      </c>
      <c r="B1324" s="1">
        <v>5.4</v>
      </c>
      <c r="C1324" s="1">
        <v>675</v>
      </c>
      <c r="D1324" s="1" t="s">
        <v>55</v>
      </c>
      <c r="E1324" s="1" t="s">
        <v>26</v>
      </c>
      <c r="F1324" s="1">
        <f t="shared" si="48"/>
        <v>540</v>
      </c>
      <c r="G1324" s="12">
        <f t="shared" si="49"/>
        <v>124.99999999999999</v>
      </c>
    </row>
    <row r="1325" spans="1:7" ht="13">
      <c r="A1325" s="4" t="s">
        <v>116</v>
      </c>
      <c r="B1325" s="1">
        <v>5.5</v>
      </c>
      <c r="C1325" s="1">
        <v>675</v>
      </c>
      <c r="D1325" s="1" t="s">
        <v>11</v>
      </c>
      <c r="E1325" s="1" t="s">
        <v>68</v>
      </c>
      <c r="F1325" s="1">
        <f t="shared" si="48"/>
        <v>550</v>
      </c>
      <c r="G1325" s="12">
        <f t="shared" si="49"/>
        <v>122.72727272727273</v>
      </c>
    </row>
    <row r="1326" spans="1:7" ht="13">
      <c r="A1326" s="4" t="s">
        <v>116</v>
      </c>
      <c r="B1326" s="1">
        <v>7.3</v>
      </c>
      <c r="C1326" s="1">
        <v>832</v>
      </c>
      <c r="D1326" s="1" t="s">
        <v>11</v>
      </c>
      <c r="E1326" s="1" t="s">
        <v>16</v>
      </c>
      <c r="F1326" s="1">
        <f t="shared" si="48"/>
        <v>730</v>
      </c>
      <c r="G1326" s="12">
        <f t="shared" si="49"/>
        <v>113.97260273972603</v>
      </c>
    </row>
    <row r="1327" spans="1:7" ht="13">
      <c r="A1327" s="4" t="s">
        <v>116</v>
      </c>
      <c r="B1327" s="1">
        <v>6.96</v>
      </c>
      <c r="C1327" s="1">
        <v>647</v>
      </c>
      <c r="D1327" s="1" t="s">
        <v>33</v>
      </c>
      <c r="E1327" s="1" t="s">
        <v>12</v>
      </c>
      <c r="F1327" s="1">
        <f t="shared" si="48"/>
        <v>696</v>
      </c>
      <c r="G1327" s="12">
        <f t="shared" si="49"/>
        <v>92.959770114942529</v>
      </c>
    </row>
    <row r="1328" spans="1:7" ht="13">
      <c r="A1328" s="4" t="s">
        <v>116</v>
      </c>
      <c r="B1328" s="1">
        <v>7.4</v>
      </c>
      <c r="C1328" s="1">
        <v>750</v>
      </c>
      <c r="D1328" s="1" t="s">
        <v>42</v>
      </c>
      <c r="E1328" s="1" t="s">
        <v>10</v>
      </c>
      <c r="F1328" s="1">
        <f t="shared" si="48"/>
        <v>740</v>
      </c>
      <c r="G1328" s="12">
        <f t="shared" si="49"/>
        <v>101.35135135135134</v>
      </c>
    </row>
    <row r="1329" spans="1:7" ht="13">
      <c r="A1329" s="4" t="s">
        <v>116</v>
      </c>
      <c r="B1329" s="1">
        <v>3.44</v>
      </c>
      <c r="C1329" s="1">
        <v>420</v>
      </c>
      <c r="D1329" s="1" t="s">
        <v>11</v>
      </c>
      <c r="E1329" s="1" t="s">
        <v>9</v>
      </c>
      <c r="F1329" s="1">
        <f t="shared" si="48"/>
        <v>344</v>
      </c>
      <c r="G1329" s="12">
        <f t="shared" si="49"/>
        <v>122.09302325581396</v>
      </c>
    </row>
    <row r="1330" spans="1:7" ht="13">
      <c r="A1330" s="4" t="s">
        <v>116</v>
      </c>
      <c r="B1330" s="1">
        <v>7.29</v>
      </c>
      <c r="C1330" s="1">
        <v>844</v>
      </c>
      <c r="D1330" s="1" t="s">
        <v>11</v>
      </c>
      <c r="E1330" s="1" t="s">
        <v>18</v>
      </c>
      <c r="F1330" s="1">
        <f t="shared" si="48"/>
        <v>729</v>
      </c>
      <c r="G1330" s="12">
        <f t="shared" si="49"/>
        <v>115.77503429355281</v>
      </c>
    </row>
    <row r="1331" spans="1:7" ht="13">
      <c r="A1331" s="4" t="s">
        <v>116</v>
      </c>
      <c r="B1331" s="1">
        <v>6.5</v>
      </c>
      <c r="C1331" s="1">
        <v>748</v>
      </c>
      <c r="D1331" s="1" t="s">
        <v>34</v>
      </c>
      <c r="E1331" s="1" t="s">
        <v>27</v>
      </c>
      <c r="F1331" s="1">
        <f t="shared" si="48"/>
        <v>650</v>
      </c>
      <c r="G1331" s="12">
        <f t="shared" si="49"/>
        <v>115.07692307692308</v>
      </c>
    </row>
    <row r="1332" spans="1:7" ht="13">
      <c r="A1332" s="4" t="s">
        <v>116</v>
      </c>
      <c r="B1332" s="1">
        <v>6.7</v>
      </c>
      <c r="C1332" s="1">
        <v>730</v>
      </c>
      <c r="D1332" s="1" t="s">
        <v>58</v>
      </c>
      <c r="E1332" s="1" t="s">
        <v>22</v>
      </c>
      <c r="F1332" s="1">
        <f t="shared" si="48"/>
        <v>670</v>
      </c>
      <c r="G1332" s="12">
        <f t="shared" si="49"/>
        <v>108.95522388059702</v>
      </c>
    </row>
    <row r="1333" spans="1:7" ht="13">
      <c r="A1333" s="4" t="s">
        <v>116</v>
      </c>
      <c r="B1333" s="1">
        <v>3</v>
      </c>
      <c r="C1333" s="1">
        <v>343</v>
      </c>
      <c r="D1333" s="1" t="s">
        <v>11</v>
      </c>
      <c r="E1333" s="1" t="s">
        <v>10</v>
      </c>
      <c r="F1333" s="1">
        <f t="shared" si="48"/>
        <v>300</v>
      </c>
      <c r="G1333" s="12">
        <f t="shared" si="49"/>
        <v>114.33333333333333</v>
      </c>
    </row>
    <row r="1334" spans="1:7" ht="13">
      <c r="A1334" s="4" t="s">
        <v>116</v>
      </c>
      <c r="B1334" s="1">
        <v>7.35</v>
      </c>
      <c r="C1334" s="1">
        <v>881</v>
      </c>
      <c r="D1334" s="1" t="s">
        <v>11</v>
      </c>
      <c r="E1334" s="1" t="s">
        <v>17</v>
      </c>
      <c r="F1334" s="1">
        <f t="shared" si="48"/>
        <v>735</v>
      </c>
      <c r="G1334" s="12">
        <f t="shared" si="49"/>
        <v>119.8639455782313</v>
      </c>
    </row>
    <row r="1335" spans="1:7" ht="13">
      <c r="A1335" s="4" t="s">
        <v>116</v>
      </c>
      <c r="B1335" s="1">
        <v>5.2</v>
      </c>
      <c r="C1335" s="1">
        <v>29</v>
      </c>
      <c r="D1335" s="1" t="s">
        <v>33</v>
      </c>
      <c r="E1335" s="1" t="s">
        <v>15</v>
      </c>
      <c r="F1335" s="1">
        <f t="shared" si="48"/>
        <v>520</v>
      </c>
      <c r="G1335" s="12">
        <f t="shared" si="49"/>
        <v>5.5769230769230766</v>
      </c>
    </row>
    <row r="1336" spans="1:7" ht="13">
      <c r="A1336" s="4" t="s">
        <v>116</v>
      </c>
      <c r="B1336" s="1">
        <v>7.92</v>
      </c>
      <c r="C1336" s="1">
        <v>34</v>
      </c>
      <c r="D1336" s="1" t="s">
        <v>43</v>
      </c>
      <c r="E1336" s="1" t="s">
        <v>24</v>
      </c>
      <c r="F1336" s="1">
        <f t="shared" si="48"/>
        <v>792</v>
      </c>
      <c r="G1336" s="12">
        <f t="shared" si="49"/>
        <v>4.2929292929292933</v>
      </c>
    </row>
    <row r="1337" spans="1:7" ht="13">
      <c r="A1337" s="4" t="s">
        <v>116</v>
      </c>
      <c r="B1337" s="1">
        <v>8</v>
      </c>
      <c r="C1337" s="1">
        <v>693</v>
      </c>
      <c r="D1337" s="1" t="s">
        <v>11</v>
      </c>
      <c r="E1337" s="1" t="s">
        <v>22</v>
      </c>
      <c r="F1337" s="1">
        <f t="shared" si="48"/>
        <v>800</v>
      </c>
      <c r="G1337" s="12">
        <f t="shared" si="49"/>
        <v>86.625</v>
      </c>
    </row>
    <row r="1338" spans="1:7" ht="13">
      <c r="A1338" s="4" t="s">
        <v>116</v>
      </c>
      <c r="B1338" s="1">
        <v>7.3</v>
      </c>
      <c r="C1338" s="1">
        <v>756</v>
      </c>
      <c r="D1338" s="1" t="s">
        <v>47</v>
      </c>
      <c r="E1338" s="1" t="s">
        <v>28</v>
      </c>
      <c r="F1338" s="1">
        <f t="shared" si="48"/>
        <v>730</v>
      </c>
      <c r="G1338" s="12">
        <f t="shared" si="49"/>
        <v>103.56164383561644</v>
      </c>
    </row>
    <row r="1339" spans="1:7" ht="13">
      <c r="A1339" s="4" t="s">
        <v>116</v>
      </c>
      <c r="B1339" s="1">
        <v>6.02</v>
      </c>
      <c r="C1339" s="1">
        <v>608</v>
      </c>
      <c r="D1339" s="1" t="s">
        <v>11</v>
      </c>
      <c r="E1339" s="1" t="s">
        <v>22</v>
      </c>
      <c r="F1339" s="1">
        <f t="shared" si="48"/>
        <v>602</v>
      </c>
      <c r="G1339" s="12">
        <f t="shared" si="49"/>
        <v>100.99667774086379</v>
      </c>
    </row>
    <row r="1340" spans="1:7" ht="13">
      <c r="A1340" s="4" t="s">
        <v>116</v>
      </c>
      <c r="B1340" s="1">
        <v>7.8</v>
      </c>
      <c r="C1340" s="1">
        <v>812</v>
      </c>
      <c r="D1340" s="1" t="s">
        <v>55</v>
      </c>
      <c r="E1340" s="1" t="s">
        <v>49</v>
      </c>
      <c r="F1340" s="1">
        <f t="shared" si="48"/>
        <v>780</v>
      </c>
      <c r="G1340" s="12">
        <f t="shared" si="49"/>
        <v>104.1025641025641</v>
      </c>
    </row>
    <row r="1341" spans="1:7" ht="13">
      <c r="A1341" s="4" t="s">
        <v>116</v>
      </c>
      <c r="B1341" s="1">
        <v>4.0999999999999996</v>
      </c>
      <c r="C1341" s="1">
        <v>468</v>
      </c>
      <c r="D1341" s="1" t="s">
        <v>40</v>
      </c>
      <c r="E1341" s="1" t="s">
        <v>25</v>
      </c>
      <c r="F1341" s="1">
        <f t="shared" si="48"/>
        <v>409.99999999999994</v>
      </c>
      <c r="G1341" s="12">
        <f t="shared" si="49"/>
        <v>114.14634146341464</v>
      </c>
    </row>
    <row r="1342" spans="1:7" ht="13">
      <c r="A1342" s="4" t="s">
        <v>116</v>
      </c>
      <c r="B1342" s="1">
        <v>3.4</v>
      </c>
      <c r="C1342" s="1">
        <v>435</v>
      </c>
      <c r="D1342" s="1" t="s">
        <v>11</v>
      </c>
      <c r="E1342" s="1" t="s">
        <v>26</v>
      </c>
      <c r="F1342" s="1">
        <f t="shared" si="48"/>
        <v>340</v>
      </c>
      <c r="G1342" s="12">
        <f t="shared" si="49"/>
        <v>127.94117647058823</v>
      </c>
    </row>
    <row r="1343" spans="1:7" ht="13">
      <c r="A1343" s="4" t="s">
        <v>116</v>
      </c>
      <c r="B1343" s="1">
        <v>5.12</v>
      </c>
      <c r="C1343" s="1">
        <v>567.79999999999995</v>
      </c>
      <c r="D1343" s="1" t="s">
        <v>39</v>
      </c>
      <c r="E1343" s="1" t="s">
        <v>15</v>
      </c>
      <c r="F1343" s="1">
        <f t="shared" si="48"/>
        <v>512</v>
      </c>
      <c r="G1343" s="12">
        <f t="shared" si="49"/>
        <v>110.89843749999999</v>
      </c>
    </row>
    <row r="1344" spans="1:7" ht="13">
      <c r="A1344" s="4" t="s">
        <v>116</v>
      </c>
      <c r="B1344" s="1">
        <v>7.3</v>
      </c>
      <c r="C1344" s="1">
        <v>832</v>
      </c>
      <c r="D1344" s="1" t="s">
        <v>38</v>
      </c>
      <c r="E1344" s="1" t="s">
        <v>9</v>
      </c>
      <c r="F1344" s="1">
        <f t="shared" si="48"/>
        <v>730</v>
      </c>
      <c r="G1344" s="12">
        <f t="shared" si="49"/>
        <v>113.97260273972603</v>
      </c>
    </row>
    <row r="1345" spans="1:7" ht="13">
      <c r="A1345" s="4" t="s">
        <v>116</v>
      </c>
      <c r="B1345" s="1">
        <v>7.2</v>
      </c>
      <c r="C1345" s="1">
        <v>765</v>
      </c>
      <c r="D1345" s="1" t="s">
        <v>43</v>
      </c>
      <c r="E1345" s="1" t="s">
        <v>17</v>
      </c>
      <c r="F1345" s="1">
        <f t="shared" si="48"/>
        <v>720</v>
      </c>
      <c r="G1345" s="12">
        <f t="shared" si="49"/>
        <v>106.25</v>
      </c>
    </row>
    <row r="1346" spans="1:7" ht="13">
      <c r="A1346" s="4" t="s">
        <v>116</v>
      </c>
      <c r="B1346" s="1">
        <v>9</v>
      </c>
      <c r="C1346" s="1">
        <v>1010</v>
      </c>
      <c r="D1346" s="1" t="s">
        <v>11</v>
      </c>
      <c r="E1346" s="1" t="s">
        <v>23</v>
      </c>
      <c r="F1346" s="1">
        <f t="shared" si="48"/>
        <v>900</v>
      </c>
      <c r="G1346" s="12">
        <f t="shared" si="49"/>
        <v>112.22222222222223</v>
      </c>
    </row>
    <row r="1347" spans="1:7" ht="13">
      <c r="A1347" s="4" t="s">
        <v>116</v>
      </c>
      <c r="B1347" s="1">
        <v>6.29</v>
      </c>
      <c r="C1347" s="1">
        <v>817</v>
      </c>
      <c r="D1347" s="1" t="s">
        <v>11</v>
      </c>
      <c r="E1347" s="1" t="s">
        <v>27</v>
      </c>
      <c r="F1347" s="1">
        <f t="shared" ref="F1347:F1410" si="50">B1347*100</f>
        <v>629</v>
      </c>
      <c r="G1347" s="12">
        <f t="shared" ref="G1347:G1410" si="51">C1347/B1347</f>
        <v>129.88871224165342</v>
      </c>
    </row>
    <row r="1348" spans="1:7" ht="13">
      <c r="A1348" s="4" t="s">
        <v>116</v>
      </c>
      <c r="B1348" s="1">
        <v>6</v>
      </c>
      <c r="C1348" s="1">
        <v>623</v>
      </c>
      <c r="D1348" s="1" t="s">
        <v>33</v>
      </c>
      <c r="E1348" s="1" t="s">
        <v>15</v>
      </c>
      <c r="F1348" s="1">
        <f t="shared" si="50"/>
        <v>600</v>
      </c>
      <c r="G1348" s="12">
        <f t="shared" si="51"/>
        <v>103.83333333333333</v>
      </c>
    </row>
    <row r="1349" spans="1:7" ht="13">
      <c r="A1349" s="4" t="s">
        <v>116</v>
      </c>
      <c r="B1349" s="1">
        <v>6.88</v>
      </c>
      <c r="C1349" s="1">
        <v>805</v>
      </c>
      <c r="D1349" s="1" t="s">
        <v>33</v>
      </c>
      <c r="E1349" s="1" t="s">
        <v>8</v>
      </c>
      <c r="F1349" s="1">
        <f t="shared" si="50"/>
        <v>688</v>
      </c>
      <c r="G1349" s="12">
        <f t="shared" si="51"/>
        <v>117.00581395348837</v>
      </c>
    </row>
    <row r="1350" spans="1:7" ht="13">
      <c r="A1350" s="4" t="s">
        <v>116</v>
      </c>
      <c r="B1350" s="1">
        <v>6</v>
      </c>
      <c r="C1350" s="1">
        <v>627</v>
      </c>
      <c r="D1350" s="1" t="s">
        <v>11</v>
      </c>
      <c r="E1350" s="1" t="s">
        <v>20</v>
      </c>
      <c r="F1350" s="1">
        <f t="shared" si="50"/>
        <v>600</v>
      </c>
      <c r="G1350" s="12">
        <f t="shared" si="51"/>
        <v>104.5</v>
      </c>
    </row>
    <row r="1351" spans="1:7" ht="13">
      <c r="A1351" s="4" t="s">
        <v>116</v>
      </c>
      <c r="B1351" s="1">
        <v>6.02</v>
      </c>
      <c r="C1351" s="1">
        <v>664</v>
      </c>
      <c r="D1351" s="1" t="s">
        <v>42</v>
      </c>
      <c r="E1351" s="1" t="s">
        <v>14</v>
      </c>
      <c r="F1351" s="1">
        <f t="shared" si="50"/>
        <v>602</v>
      </c>
      <c r="G1351" s="12">
        <f t="shared" si="51"/>
        <v>110.29900332225914</v>
      </c>
    </row>
    <row r="1352" spans="1:7" ht="13">
      <c r="A1352" s="4" t="s">
        <v>116</v>
      </c>
      <c r="B1352" s="1">
        <v>5</v>
      </c>
      <c r="C1352" s="1">
        <v>584</v>
      </c>
      <c r="D1352" s="1" t="s">
        <v>42</v>
      </c>
      <c r="E1352" s="1" t="s">
        <v>30</v>
      </c>
      <c r="F1352" s="1">
        <f t="shared" si="50"/>
        <v>500</v>
      </c>
      <c r="G1352" s="12">
        <f t="shared" si="51"/>
        <v>116.8</v>
      </c>
    </row>
    <row r="1353" spans="1:7" ht="13">
      <c r="A1353" s="4" t="s">
        <v>116</v>
      </c>
      <c r="B1353" s="1">
        <v>8.1999999999999993</v>
      </c>
      <c r="C1353" s="1">
        <v>815</v>
      </c>
      <c r="D1353" s="1" t="s">
        <v>11</v>
      </c>
      <c r="E1353" s="1" t="s">
        <v>12</v>
      </c>
      <c r="F1353" s="1">
        <f t="shared" si="50"/>
        <v>819.99999999999989</v>
      </c>
      <c r="G1353" s="12">
        <f t="shared" si="51"/>
        <v>99.390243902439039</v>
      </c>
    </row>
    <row r="1354" spans="1:7" ht="13">
      <c r="A1354" s="4" t="s">
        <v>116</v>
      </c>
      <c r="B1354" s="1">
        <v>4.5999999999999996</v>
      </c>
      <c r="C1354" s="1">
        <v>516</v>
      </c>
      <c r="D1354" s="1" t="s">
        <v>11</v>
      </c>
      <c r="E1354" s="1" t="s">
        <v>24</v>
      </c>
      <c r="F1354" s="1">
        <f t="shared" si="50"/>
        <v>459.99999999999994</v>
      </c>
      <c r="G1354" s="12">
        <f t="shared" si="51"/>
        <v>112.17391304347827</v>
      </c>
    </row>
    <row r="1355" spans="1:7" ht="13">
      <c r="A1355" s="4" t="s">
        <v>116</v>
      </c>
      <c r="B1355" s="1">
        <v>8.75</v>
      </c>
      <c r="C1355" s="1">
        <v>897</v>
      </c>
      <c r="D1355" s="1" t="s">
        <v>47</v>
      </c>
      <c r="E1355" s="1" t="s">
        <v>31</v>
      </c>
      <c r="F1355" s="1">
        <f t="shared" si="50"/>
        <v>875</v>
      </c>
      <c r="G1355" s="12">
        <f t="shared" si="51"/>
        <v>102.51428571428572</v>
      </c>
    </row>
    <row r="1356" spans="1:7" ht="13">
      <c r="A1356" s="4" t="s">
        <v>116</v>
      </c>
      <c r="B1356" s="1">
        <v>7</v>
      </c>
      <c r="C1356" s="1">
        <v>811</v>
      </c>
      <c r="D1356" s="1" t="s">
        <v>33</v>
      </c>
      <c r="E1356" s="1" t="s">
        <v>15</v>
      </c>
      <c r="F1356" s="1">
        <f t="shared" si="50"/>
        <v>700</v>
      </c>
      <c r="G1356" s="12">
        <f t="shared" si="51"/>
        <v>115.85714285714286</v>
      </c>
    </row>
    <row r="1357" spans="1:7" ht="13">
      <c r="A1357" s="4" t="s">
        <v>116</v>
      </c>
      <c r="B1357" s="1">
        <v>5.16</v>
      </c>
      <c r="C1357" s="1">
        <v>567</v>
      </c>
      <c r="D1357" s="1" t="s">
        <v>42</v>
      </c>
      <c r="E1357" s="1" t="s">
        <v>22</v>
      </c>
      <c r="F1357" s="1">
        <f t="shared" si="50"/>
        <v>516</v>
      </c>
      <c r="G1357" s="12">
        <f t="shared" si="51"/>
        <v>109.88372093023256</v>
      </c>
    </row>
    <row r="1358" spans="1:7" ht="13">
      <c r="A1358" s="4" t="s">
        <v>116</v>
      </c>
      <c r="B1358" s="1">
        <v>1044</v>
      </c>
      <c r="C1358" s="1">
        <v>1123</v>
      </c>
      <c r="D1358" s="1" t="s">
        <v>11</v>
      </c>
      <c r="E1358" s="1" t="s">
        <v>20</v>
      </c>
      <c r="F1358" s="1">
        <f t="shared" si="50"/>
        <v>104400</v>
      </c>
      <c r="G1358" s="12">
        <f t="shared" si="51"/>
        <v>1.0756704980842913</v>
      </c>
    </row>
    <row r="1359" spans="1:7" ht="13">
      <c r="A1359" s="4" t="s">
        <v>116</v>
      </c>
      <c r="B1359" s="1">
        <v>6.04</v>
      </c>
      <c r="C1359" s="1">
        <v>634</v>
      </c>
      <c r="D1359" s="1" t="s">
        <v>33</v>
      </c>
      <c r="E1359" s="1" t="s">
        <v>15</v>
      </c>
      <c r="F1359" s="1">
        <f t="shared" si="50"/>
        <v>604</v>
      </c>
      <c r="G1359" s="12">
        <f t="shared" si="51"/>
        <v>104.96688741721854</v>
      </c>
    </row>
    <row r="1360" spans="1:7" ht="13">
      <c r="A1360" s="4" t="s">
        <v>116</v>
      </c>
      <c r="B1360" s="1">
        <v>8.4</v>
      </c>
      <c r="C1360" s="1">
        <v>930</v>
      </c>
      <c r="D1360" s="1" t="s">
        <v>11</v>
      </c>
      <c r="E1360" s="1" t="s">
        <v>24</v>
      </c>
      <c r="F1360" s="1">
        <f t="shared" si="50"/>
        <v>840</v>
      </c>
      <c r="G1360" s="12">
        <f t="shared" si="51"/>
        <v>110.71428571428571</v>
      </c>
    </row>
    <row r="1361" spans="1:7" ht="13">
      <c r="A1361" s="4" t="s">
        <v>116</v>
      </c>
      <c r="B1361" s="1">
        <v>6400</v>
      </c>
      <c r="C1361" s="1">
        <v>817</v>
      </c>
      <c r="D1361" s="1" t="s">
        <v>11</v>
      </c>
      <c r="E1361" s="1" t="s">
        <v>26</v>
      </c>
      <c r="F1361" s="1">
        <f t="shared" si="50"/>
        <v>640000</v>
      </c>
      <c r="G1361" s="12">
        <f t="shared" si="51"/>
        <v>0.12765625</v>
      </c>
    </row>
    <row r="1362" spans="1:7" ht="13">
      <c r="A1362" s="4" t="s">
        <v>116</v>
      </c>
      <c r="B1362" s="1">
        <v>6.4</v>
      </c>
      <c r="C1362" s="1">
        <v>735</v>
      </c>
      <c r="D1362" s="1" t="s">
        <v>11</v>
      </c>
      <c r="E1362" s="1" t="s">
        <v>20</v>
      </c>
      <c r="F1362" s="1">
        <f t="shared" si="50"/>
        <v>640</v>
      </c>
      <c r="G1362" s="12">
        <f t="shared" si="51"/>
        <v>114.84375</v>
      </c>
    </row>
    <row r="1363" spans="1:7" ht="13">
      <c r="A1363" s="4" t="s">
        <v>116</v>
      </c>
      <c r="B1363" s="1">
        <v>6.2249999999999996</v>
      </c>
      <c r="C1363" s="1">
        <v>659</v>
      </c>
      <c r="D1363" s="1" t="s">
        <v>94</v>
      </c>
      <c r="E1363" s="1" t="s">
        <v>17</v>
      </c>
      <c r="F1363" s="1">
        <f t="shared" si="50"/>
        <v>622.5</v>
      </c>
      <c r="G1363" s="12">
        <f t="shared" si="51"/>
        <v>105.86345381526105</v>
      </c>
    </row>
    <row r="1364" spans="1:7" ht="13">
      <c r="A1364" s="4" t="s">
        <v>116</v>
      </c>
      <c r="B1364" s="1">
        <v>6</v>
      </c>
      <c r="C1364" s="1">
        <v>664</v>
      </c>
      <c r="D1364" s="1" t="s">
        <v>11</v>
      </c>
      <c r="E1364" s="1" t="s">
        <v>12</v>
      </c>
      <c r="F1364" s="1">
        <f t="shared" si="50"/>
        <v>600</v>
      </c>
      <c r="G1364" s="12">
        <f t="shared" si="51"/>
        <v>110.66666666666667</v>
      </c>
    </row>
    <row r="1365" spans="1:7" ht="13">
      <c r="A1365" s="4" t="s">
        <v>116</v>
      </c>
      <c r="B1365" s="1">
        <v>6.25</v>
      </c>
      <c r="C1365" s="1">
        <v>485</v>
      </c>
      <c r="D1365" s="1" t="s">
        <v>11</v>
      </c>
      <c r="E1365" s="1" t="s">
        <v>32</v>
      </c>
      <c r="F1365" s="1">
        <f t="shared" si="50"/>
        <v>625</v>
      </c>
      <c r="G1365" s="12">
        <f t="shared" si="51"/>
        <v>77.599999999999994</v>
      </c>
    </row>
    <row r="1366" spans="1:7" ht="13">
      <c r="A1366" s="4" t="s">
        <v>116</v>
      </c>
      <c r="B1366" s="1">
        <v>7.56</v>
      </c>
      <c r="C1366" s="1">
        <v>798</v>
      </c>
      <c r="D1366" s="1" t="s">
        <v>33</v>
      </c>
      <c r="E1366" s="1" t="s">
        <v>15</v>
      </c>
      <c r="F1366" s="1">
        <f t="shared" si="50"/>
        <v>756</v>
      </c>
      <c r="G1366" s="12">
        <f t="shared" si="51"/>
        <v>105.55555555555556</v>
      </c>
    </row>
    <row r="1367" spans="1:7" ht="13">
      <c r="A1367" s="4" t="s">
        <v>116</v>
      </c>
      <c r="B1367" s="1">
        <v>6</v>
      </c>
      <c r="C1367" s="1">
        <v>783</v>
      </c>
      <c r="D1367" s="1" t="s">
        <v>11</v>
      </c>
      <c r="E1367" s="1" t="s">
        <v>8</v>
      </c>
      <c r="F1367" s="1">
        <f t="shared" si="50"/>
        <v>600</v>
      </c>
      <c r="G1367" s="12">
        <f t="shared" si="51"/>
        <v>130.5</v>
      </c>
    </row>
    <row r="1368" spans="1:7" ht="13">
      <c r="A1368" s="4" t="s">
        <v>116</v>
      </c>
      <c r="B1368" s="1">
        <v>8</v>
      </c>
      <c r="C1368" s="1">
        <v>820</v>
      </c>
      <c r="D1368" s="1" t="s">
        <v>11</v>
      </c>
      <c r="E1368" s="1" t="s">
        <v>12</v>
      </c>
      <c r="F1368" s="1">
        <f t="shared" si="50"/>
        <v>800</v>
      </c>
      <c r="G1368" s="12">
        <f t="shared" si="51"/>
        <v>102.5</v>
      </c>
    </row>
    <row r="1369" spans="1:7" ht="13">
      <c r="A1369" s="4" t="s">
        <v>116</v>
      </c>
      <c r="B1369" s="1">
        <v>6.97</v>
      </c>
      <c r="C1369" s="1">
        <v>694.1</v>
      </c>
      <c r="D1369" s="1" t="s">
        <v>39</v>
      </c>
      <c r="E1369" s="1" t="s">
        <v>17</v>
      </c>
      <c r="F1369" s="1">
        <f t="shared" si="50"/>
        <v>697</v>
      </c>
      <c r="G1369" s="12">
        <f t="shared" si="51"/>
        <v>99.58393113342899</v>
      </c>
    </row>
    <row r="1370" spans="1:7" ht="13">
      <c r="A1370" s="4" t="s">
        <v>116</v>
      </c>
      <c r="B1370" s="1">
        <v>8.5</v>
      </c>
      <c r="C1370" s="1">
        <v>895</v>
      </c>
      <c r="D1370" s="1" t="s">
        <v>33</v>
      </c>
      <c r="E1370" s="1" t="s">
        <v>46</v>
      </c>
      <c r="F1370" s="1">
        <f t="shared" si="50"/>
        <v>850</v>
      </c>
      <c r="G1370" s="12">
        <f t="shared" si="51"/>
        <v>105.29411764705883</v>
      </c>
    </row>
    <row r="1371" spans="1:7" ht="13">
      <c r="A1371" s="4" t="s">
        <v>116</v>
      </c>
      <c r="B1371" s="1">
        <v>6</v>
      </c>
      <c r="C1371" s="1">
        <v>590</v>
      </c>
      <c r="D1371" s="1" t="s">
        <v>33</v>
      </c>
      <c r="E1371" s="1" t="s">
        <v>15</v>
      </c>
      <c r="F1371" s="1">
        <f t="shared" si="50"/>
        <v>600</v>
      </c>
      <c r="G1371" s="12">
        <f t="shared" si="51"/>
        <v>98.333333333333329</v>
      </c>
    </row>
    <row r="1372" spans="1:7" ht="13">
      <c r="A1372" s="4" t="s">
        <v>116</v>
      </c>
      <c r="B1372" s="1">
        <v>7.3</v>
      </c>
      <c r="C1372" s="1">
        <v>703</v>
      </c>
      <c r="D1372" s="1" t="s">
        <v>35</v>
      </c>
      <c r="E1372" s="1" t="s">
        <v>23</v>
      </c>
      <c r="F1372" s="1">
        <f t="shared" si="50"/>
        <v>730</v>
      </c>
      <c r="G1372" s="12">
        <f t="shared" si="51"/>
        <v>96.301369863013704</v>
      </c>
    </row>
    <row r="1373" spans="1:7" ht="13">
      <c r="A1373" s="4" t="s">
        <v>116</v>
      </c>
      <c r="B1373" s="1">
        <v>6.4</v>
      </c>
      <c r="C1373" s="1">
        <v>700.2</v>
      </c>
      <c r="D1373" s="1" t="s">
        <v>35</v>
      </c>
      <c r="E1373" s="1" t="s">
        <v>18</v>
      </c>
      <c r="F1373" s="1">
        <f t="shared" si="50"/>
        <v>640</v>
      </c>
      <c r="G1373" s="12">
        <f t="shared" si="51"/>
        <v>109.40625</v>
      </c>
    </row>
    <row r="1374" spans="1:7" ht="13">
      <c r="A1374" s="4" t="s">
        <v>116</v>
      </c>
      <c r="B1374" s="1">
        <v>6.6</v>
      </c>
      <c r="C1374" s="1">
        <v>625</v>
      </c>
      <c r="D1374" s="1" t="s">
        <v>52</v>
      </c>
      <c r="E1374" s="1" t="s">
        <v>25</v>
      </c>
      <c r="F1374" s="1">
        <f t="shared" si="50"/>
        <v>660</v>
      </c>
      <c r="G1374" s="12">
        <f t="shared" si="51"/>
        <v>94.696969696969703</v>
      </c>
    </row>
    <row r="1375" spans="1:7" ht="13">
      <c r="A1375" s="4" t="s">
        <v>116</v>
      </c>
      <c r="B1375" s="1">
        <v>8.6</v>
      </c>
      <c r="C1375" s="1">
        <v>928</v>
      </c>
      <c r="D1375" s="1" t="s">
        <v>11</v>
      </c>
      <c r="E1375" s="1" t="s">
        <v>19</v>
      </c>
      <c r="F1375" s="1">
        <f t="shared" si="50"/>
        <v>860</v>
      </c>
      <c r="G1375" s="12">
        <f t="shared" si="51"/>
        <v>107.90697674418605</v>
      </c>
    </row>
    <row r="1376" spans="1:7" ht="13">
      <c r="A1376" s="4" t="s">
        <v>116</v>
      </c>
      <c r="B1376" s="1">
        <v>3.85</v>
      </c>
      <c r="C1376" s="1">
        <v>414</v>
      </c>
      <c r="D1376" s="1" t="s">
        <v>11</v>
      </c>
      <c r="E1376" s="1" t="s">
        <v>20</v>
      </c>
      <c r="F1376" s="1">
        <f t="shared" si="50"/>
        <v>385</v>
      </c>
      <c r="G1376" s="12">
        <f t="shared" si="51"/>
        <v>107.53246753246754</v>
      </c>
    </row>
    <row r="1377" spans="1:7" ht="13">
      <c r="A1377" s="4" t="s">
        <v>116</v>
      </c>
      <c r="B1377" s="1">
        <v>5.0999999999999996</v>
      </c>
      <c r="C1377" s="1">
        <v>550</v>
      </c>
      <c r="D1377" s="1" t="s">
        <v>40</v>
      </c>
      <c r="E1377" s="1" t="s">
        <v>15</v>
      </c>
      <c r="F1377" s="1">
        <f t="shared" si="50"/>
        <v>509.99999999999994</v>
      </c>
      <c r="G1377" s="12">
        <f t="shared" si="51"/>
        <v>107.84313725490196</v>
      </c>
    </row>
    <row r="1378" spans="1:7" ht="13">
      <c r="A1378" s="4" t="s">
        <v>116</v>
      </c>
      <c r="B1378" s="1">
        <v>5.0999999999999996</v>
      </c>
      <c r="C1378" s="1">
        <v>557</v>
      </c>
      <c r="D1378" s="1" t="s">
        <v>59</v>
      </c>
      <c r="E1378" s="1" t="s">
        <v>18</v>
      </c>
      <c r="F1378" s="1">
        <f t="shared" si="50"/>
        <v>509.99999999999994</v>
      </c>
      <c r="G1378" s="12">
        <f t="shared" si="51"/>
        <v>109.21568627450981</v>
      </c>
    </row>
    <row r="1379" spans="1:7" ht="13">
      <c r="A1379" s="4" t="s">
        <v>116</v>
      </c>
      <c r="B1379" s="1">
        <v>6.96</v>
      </c>
      <c r="C1379" s="1">
        <v>756</v>
      </c>
      <c r="D1379" s="1" t="s">
        <v>11</v>
      </c>
      <c r="E1379" s="1" t="s">
        <v>20</v>
      </c>
      <c r="F1379" s="1">
        <f t="shared" si="50"/>
        <v>696</v>
      </c>
      <c r="G1379" s="12">
        <f t="shared" si="51"/>
        <v>108.62068965517241</v>
      </c>
    </row>
    <row r="1380" spans="1:7" ht="13">
      <c r="A1380" s="4" t="s">
        <v>116</v>
      </c>
      <c r="B1380" s="1">
        <v>5.2</v>
      </c>
      <c r="C1380" s="1">
        <v>572</v>
      </c>
      <c r="D1380" s="1" t="s">
        <v>33</v>
      </c>
      <c r="E1380" s="1" t="s">
        <v>15</v>
      </c>
      <c r="F1380" s="1">
        <f t="shared" si="50"/>
        <v>520</v>
      </c>
      <c r="G1380" s="12">
        <f t="shared" si="51"/>
        <v>110</v>
      </c>
    </row>
    <row r="1381" spans="1:7" ht="13">
      <c r="A1381" s="4" t="s">
        <v>116</v>
      </c>
      <c r="B1381" s="1">
        <v>7.38</v>
      </c>
      <c r="C1381" s="1">
        <v>782</v>
      </c>
      <c r="D1381" s="1" t="s">
        <v>33</v>
      </c>
      <c r="E1381" s="1" t="s">
        <v>22</v>
      </c>
      <c r="F1381" s="1">
        <f t="shared" si="50"/>
        <v>738</v>
      </c>
      <c r="G1381" s="12">
        <f t="shared" si="51"/>
        <v>105.96205962059621</v>
      </c>
    </row>
    <row r="1382" spans="1:7" ht="13">
      <c r="A1382" s="4" t="s">
        <v>116</v>
      </c>
      <c r="B1382" s="1">
        <v>6.03</v>
      </c>
      <c r="C1382" s="1">
        <v>649</v>
      </c>
      <c r="D1382" s="1" t="s">
        <v>33</v>
      </c>
      <c r="E1382" s="1" t="s">
        <v>9</v>
      </c>
      <c r="F1382" s="1">
        <f t="shared" si="50"/>
        <v>603</v>
      </c>
      <c r="G1382" s="12">
        <f t="shared" si="51"/>
        <v>107.62852404643449</v>
      </c>
    </row>
    <row r="1383" spans="1:7" ht="13">
      <c r="A1383" s="4" t="s">
        <v>116</v>
      </c>
      <c r="B1383" s="1">
        <v>7.56</v>
      </c>
      <c r="C1383" s="1">
        <v>839</v>
      </c>
      <c r="D1383" s="1" t="s">
        <v>11</v>
      </c>
      <c r="E1383" s="1" t="s">
        <v>49</v>
      </c>
      <c r="F1383" s="1">
        <f t="shared" si="50"/>
        <v>756</v>
      </c>
      <c r="G1383" s="12">
        <f t="shared" si="51"/>
        <v>110.97883597883599</v>
      </c>
    </row>
    <row r="1384" spans="1:7" ht="13">
      <c r="A1384" s="4" t="s">
        <v>116</v>
      </c>
      <c r="B1384" s="1">
        <v>5.5</v>
      </c>
      <c r="C1384" s="1">
        <v>643</v>
      </c>
      <c r="D1384" s="1" t="s">
        <v>11</v>
      </c>
      <c r="E1384" s="1" t="s">
        <v>15</v>
      </c>
      <c r="F1384" s="1">
        <f t="shared" si="50"/>
        <v>550</v>
      </c>
      <c r="G1384" s="12">
        <f t="shared" si="51"/>
        <v>116.90909090909091</v>
      </c>
    </row>
    <row r="1385" spans="1:7" ht="13">
      <c r="A1385" s="4" t="s">
        <v>116</v>
      </c>
      <c r="B1385" s="1">
        <v>9.57</v>
      </c>
      <c r="C1385" s="1">
        <v>330</v>
      </c>
      <c r="D1385" s="1" t="s">
        <v>36</v>
      </c>
      <c r="E1385" s="1" t="s">
        <v>7</v>
      </c>
      <c r="F1385" s="1">
        <f t="shared" si="50"/>
        <v>957</v>
      </c>
      <c r="G1385" s="12">
        <f t="shared" si="51"/>
        <v>34.482758620689651</v>
      </c>
    </row>
    <row r="1386" spans="1:7" ht="13">
      <c r="A1386" s="4" t="s">
        <v>116</v>
      </c>
      <c r="B1386" s="1">
        <v>4.0999999999999996</v>
      </c>
      <c r="C1386" s="1">
        <v>508</v>
      </c>
      <c r="D1386" s="1" t="s">
        <v>38</v>
      </c>
      <c r="E1386" s="1" t="s">
        <v>16</v>
      </c>
      <c r="F1386" s="1">
        <f t="shared" si="50"/>
        <v>409.99999999999994</v>
      </c>
      <c r="G1386" s="12">
        <f t="shared" si="51"/>
        <v>123.90243902439026</v>
      </c>
    </row>
    <row r="1387" spans="1:7" ht="13">
      <c r="A1387" s="4" t="s">
        <v>116</v>
      </c>
      <c r="B1387" s="1">
        <v>7.7</v>
      </c>
      <c r="C1387" s="1">
        <v>795</v>
      </c>
      <c r="D1387" s="1" t="s">
        <v>35</v>
      </c>
      <c r="E1387" s="1" t="s">
        <v>8</v>
      </c>
      <c r="F1387" s="1">
        <f t="shared" si="50"/>
        <v>770</v>
      </c>
      <c r="G1387" s="12">
        <f t="shared" si="51"/>
        <v>103.24675324675324</v>
      </c>
    </row>
    <row r="1388" spans="1:7" ht="13">
      <c r="A1388" s="4" t="s">
        <v>116</v>
      </c>
      <c r="B1388" s="1">
        <v>6.4</v>
      </c>
      <c r="C1388" s="1">
        <v>635</v>
      </c>
      <c r="D1388" s="1" t="s">
        <v>47</v>
      </c>
      <c r="E1388" s="1" t="s">
        <v>15</v>
      </c>
      <c r="F1388" s="1">
        <f t="shared" si="50"/>
        <v>640</v>
      </c>
      <c r="G1388" s="12">
        <f t="shared" si="51"/>
        <v>99.21875</v>
      </c>
    </row>
    <row r="1389" spans="1:7" ht="13">
      <c r="A1389" s="4" t="s">
        <v>116</v>
      </c>
      <c r="B1389" s="1">
        <v>8.33</v>
      </c>
      <c r="C1389" s="1">
        <v>755</v>
      </c>
      <c r="D1389" s="1" t="s">
        <v>47</v>
      </c>
      <c r="E1389" s="1" t="s">
        <v>7</v>
      </c>
      <c r="F1389" s="1">
        <f t="shared" si="50"/>
        <v>833</v>
      </c>
      <c r="G1389" s="12">
        <f t="shared" si="51"/>
        <v>90.636254501800721</v>
      </c>
    </row>
    <row r="1390" spans="1:7" ht="13">
      <c r="A1390" s="4" t="s">
        <v>116</v>
      </c>
      <c r="B1390" s="1">
        <v>5.22</v>
      </c>
      <c r="C1390" s="1">
        <v>610</v>
      </c>
      <c r="D1390" s="1" t="s">
        <v>47</v>
      </c>
      <c r="E1390" s="1" t="s">
        <v>8</v>
      </c>
      <c r="F1390" s="1">
        <f t="shared" si="50"/>
        <v>522</v>
      </c>
      <c r="G1390" s="12">
        <f t="shared" si="51"/>
        <v>116.85823754789273</v>
      </c>
    </row>
    <row r="1391" spans="1:7" ht="13">
      <c r="A1391" s="4" t="s">
        <v>116</v>
      </c>
      <c r="B1391" s="1">
        <v>5.59</v>
      </c>
      <c r="C1391" s="1">
        <v>622</v>
      </c>
      <c r="D1391" s="1" t="s">
        <v>36</v>
      </c>
      <c r="E1391" s="1" t="s">
        <v>9</v>
      </c>
      <c r="F1391" s="1">
        <f t="shared" si="50"/>
        <v>559</v>
      </c>
      <c r="G1391" s="12">
        <f t="shared" si="51"/>
        <v>111.2701252236136</v>
      </c>
    </row>
    <row r="1392" spans="1:7" ht="13">
      <c r="A1392" s="4" t="s">
        <v>116</v>
      </c>
      <c r="B1392" s="1">
        <v>8.1999999999999993</v>
      </c>
      <c r="C1392" s="1">
        <v>827</v>
      </c>
      <c r="D1392" s="1" t="s">
        <v>11</v>
      </c>
      <c r="E1392" s="1" t="s">
        <v>17</v>
      </c>
      <c r="F1392" s="1">
        <f t="shared" si="50"/>
        <v>819.99999999999989</v>
      </c>
      <c r="G1392" s="12">
        <f t="shared" si="51"/>
        <v>100.85365853658537</v>
      </c>
    </row>
    <row r="1393" spans="1:7" ht="13">
      <c r="A1393" s="4" t="s">
        <v>116</v>
      </c>
      <c r="B1393" s="1">
        <v>8.69</v>
      </c>
      <c r="C1393" s="1">
        <v>1077</v>
      </c>
      <c r="D1393" s="1" t="s">
        <v>11</v>
      </c>
      <c r="E1393" s="1" t="s">
        <v>26</v>
      </c>
      <c r="F1393" s="1">
        <f t="shared" si="50"/>
        <v>869</v>
      </c>
      <c r="G1393" s="12">
        <f t="shared" si="51"/>
        <v>123.93555811277331</v>
      </c>
    </row>
    <row r="1394" spans="1:7" ht="13">
      <c r="A1394" s="4" t="s">
        <v>116</v>
      </c>
      <c r="B1394" s="1">
        <v>6.1</v>
      </c>
      <c r="C1394" s="1">
        <v>607</v>
      </c>
      <c r="D1394" s="1" t="s">
        <v>63</v>
      </c>
      <c r="E1394" s="1" t="s">
        <v>23</v>
      </c>
      <c r="F1394" s="1">
        <f t="shared" si="50"/>
        <v>610</v>
      </c>
      <c r="G1394" s="12">
        <f t="shared" si="51"/>
        <v>99.508196721311478</v>
      </c>
    </row>
    <row r="1395" spans="1:7" ht="13">
      <c r="A1395" s="4" t="s">
        <v>116</v>
      </c>
      <c r="B1395" s="1">
        <v>8.6</v>
      </c>
      <c r="C1395" s="1">
        <v>892</v>
      </c>
      <c r="D1395" s="1" t="s">
        <v>33</v>
      </c>
      <c r="E1395" s="1" t="s">
        <v>26</v>
      </c>
      <c r="F1395" s="1">
        <f t="shared" si="50"/>
        <v>860</v>
      </c>
      <c r="G1395" s="12">
        <f t="shared" si="51"/>
        <v>103.72093023255815</v>
      </c>
    </row>
    <row r="1396" spans="1:7" ht="13">
      <c r="A1396" s="4" t="s">
        <v>116</v>
      </c>
      <c r="B1396" s="1">
        <v>4.2</v>
      </c>
      <c r="C1396" s="1">
        <v>430</v>
      </c>
      <c r="D1396" s="1" t="s">
        <v>43</v>
      </c>
      <c r="E1396" s="1" t="s">
        <v>20</v>
      </c>
      <c r="F1396" s="1">
        <f t="shared" si="50"/>
        <v>420</v>
      </c>
      <c r="G1396" s="12">
        <f t="shared" si="51"/>
        <v>102.38095238095238</v>
      </c>
    </row>
    <row r="1397" spans="1:7" ht="13">
      <c r="A1397" s="4" t="s">
        <v>116</v>
      </c>
      <c r="B1397" s="1">
        <v>6.96</v>
      </c>
      <c r="C1397" s="1">
        <v>751</v>
      </c>
      <c r="D1397" s="1" t="s">
        <v>33</v>
      </c>
      <c r="E1397" s="1" t="s">
        <v>16</v>
      </c>
      <c r="F1397" s="1">
        <f t="shared" si="50"/>
        <v>696</v>
      </c>
      <c r="G1397" s="12">
        <f t="shared" si="51"/>
        <v>107.90229885057471</v>
      </c>
    </row>
    <row r="1398" spans="1:7" ht="13">
      <c r="A1398" s="4" t="s">
        <v>116</v>
      </c>
      <c r="B1398" s="1">
        <v>5</v>
      </c>
      <c r="C1398" s="1">
        <v>476</v>
      </c>
      <c r="D1398" s="1" t="s">
        <v>43</v>
      </c>
      <c r="E1398" s="1" t="s">
        <v>12</v>
      </c>
      <c r="F1398" s="1">
        <f t="shared" si="50"/>
        <v>500</v>
      </c>
      <c r="G1398" s="12">
        <f t="shared" si="51"/>
        <v>95.2</v>
      </c>
    </row>
    <row r="1399" spans="1:7" ht="13">
      <c r="A1399" s="4" t="s">
        <v>116</v>
      </c>
      <c r="B1399" s="1">
        <v>7.74</v>
      </c>
      <c r="C1399" s="1">
        <v>939</v>
      </c>
      <c r="D1399" s="1" t="s">
        <v>11</v>
      </c>
      <c r="E1399" s="1" t="s">
        <v>29</v>
      </c>
      <c r="F1399" s="1">
        <f t="shared" si="50"/>
        <v>774</v>
      </c>
      <c r="G1399" s="12">
        <f t="shared" si="51"/>
        <v>121.31782945736434</v>
      </c>
    </row>
    <row r="1400" spans="1:7" ht="13">
      <c r="A1400" s="4" t="s">
        <v>116</v>
      </c>
      <c r="B1400" s="1">
        <v>5.52</v>
      </c>
      <c r="C1400" s="1">
        <v>672</v>
      </c>
      <c r="D1400" s="1" t="s">
        <v>11</v>
      </c>
      <c r="E1400" s="1" t="s">
        <v>26</v>
      </c>
      <c r="F1400" s="1">
        <f t="shared" si="50"/>
        <v>552</v>
      </c>
      <c r="G1400" s="12">
        <f t="shared" si="51"/>
        <v>121.73913043478262</v>
      </c>
    </row>
    <row r="1401" spans="1:7" ht="13">
      <c r="A1401" s="4" t="s">
        <v>116</v>
      </c>
      <c r="B1401" s="1">
        <v>3.915</v>
      </c>
      <c r="C1401" s="1">
        <v>490</v>
      </c>
      <c r="D1401" s="1" t="s">
        <v>11</v>
      </c>
      <c r="E1401" s="1" t="s">
        <v>15</v>
      </c>
      <c r="F1401" s="1">
        <f t="shared" si="50"/>
        <v>391.5</v>
      </c>
      <c r="G1401" s="12">
        <f t="shared" si="51"/>
        <v>125.15964240102171</v>
      </c>
    </row>
    <row r="1402" spans="1:7" ht="13">
      <c r="A1402" s="4" t="s">
        <v>116</v>
      </c>
      <c r="B1402" s="1">
        <v>6.96</v>
      </c>
      <c r="C1402" s="1">
        <v>790</v>
      </c>
      <c r="D1402" s="1" t="s">
        <v>33</v>
      </c>
      <c r="E1402" s="1" t="s">
        <v>24</v>
      </c>
      <c r="F1402" s="1">
        <f t="shared" si="50"/>
        <v>696</v>
      </c>
      <c r="G1402" s="12">
        <f t="shared" si="51"/>
        <v>113.50574712643679</v>
      </c>
    </row>
    <row r="1403" spans="1:7" ht="13">
      <c r="A1403" s="4" t="s">
        <v>116</v>
      </c>
      <c r="B1403" s="1">
        <v>6.88</v>
      </c>
      <c r="C1403" s="1">
        <v>933</v>
      </c>
      <c r="D1403" s="1" t="s">
        <v>11</v>
      </c>
      <c r="E1403" s="1" t="s">
        <v>15</v>
      </c>
      <c r="F1403" s="1">
        <f t="shared" si="50"/>
        <v>688</v>
      </c>
      <c r="G1403" s="12">
        <f t="shared" si="51"/>
        <v>135.61046511627907</v>
      </c>
    </row>
    <row r="1404" spans="1:7" ht="13">
      <c r="A1404" s="4" t="s">
        <v>116</v>
      </c>
      <c r="B1404" s="1">
        <v>6.75</v>
      </c>
      <c r="C1404" s="1">
        <v>800</v>
      </c>
      <c r="D1404" s="1" t="s">
        <v>11</v>
      </c>
      <c r="E1404" s="1" t="s">
        <v>26</v>
      </c>
      <c r="F1404" s="1">
        <f t="shared" si="50"/>
        <v>675</v>
      </c>
      <c r="G1404" s="12">
        <f t="shared" si="51"/>
        <v>118.51851851851852</v>
      </c>
    </row>
    <row r="1405" spans="1:7" ht="13">
      <c r="A1405" s="4" t="s">
        <v>116</v>
      </c>
      <c r="B1405" s="1">
        <v>7.7</v>
      </c>
      <c r="C1405" s="1">
        <v>869</v>
      </c>
      <c r="D1405" s="1" t="s">
        <v>33</v>
      </c>
      <c r="E1405" s="1" t="s">
        <v>16</v>
      </c>
      <c r="F1405" s="1">
        <f t="shared" si="50"/>
        <v>770</v>
      </c>
      <c r="G1405" s="12">
        <f t="shared" si="51"/>
        <v>112.85714285714286</v>
      </c>
    </row>
    <row r="1406" spans="1:7" ht="13">
      <c r="A1406" s="4" t="s">
        <v>116</v>
      </c>
      <c r="B1406" s="1">
        <v>8.4</v>
      </c>
      <c r="C1406" s="1">
        <v>848</v>
      </c>
      <c r="D1406" s="1" t="s">
        <v>47</v>
      </c>
      <c r="E1406" s="1" t="s">
        <v>17</v>
      </c>
      <c r="F1406" s="1">
        <f t="shared" si="50"/>
        <v>840</v>
      </c>
      <c r="G1406" s="12">
        <f t="shared" si="51"/>
        <v>100.95238095238095</v>
      </c>
    </row>
    <row r="1407" spans="1:7" ht="13">
      <c r="A1407" s="4" t="s">
        <v>116</v>
      </c>
      <c r="B1407" s="1">
        <v>5.5</v>
      </c>
      <c r="C1407" s="1">
        <v>636</v>
      </c>
      <c r="D1407" s="1" t="s">
        <v>43</v>
      </c>
      <c r="E1407" s="1" t="s">
        <v>25</v>
      </c>
      <c r="F1407" s="1">
        <f t="shared" si="50"/>
        <v>550</v>
      </c>
      <c r="G1407" s="12">
        <f t="shared" si="51"/>
        <v>115.63636363636364</v>
      </c>
    </row>
    <row r="1408" spans="1:7" ht="13">
      <c r="A1408" s="4" t="s">
        <v>116</v>
      </c>
      <c r="B1408" s="1">
        <v>6</v>
      </c>
      <c r="C1408" s="1">
        <v>665</v>
      </c>
      <c r="D1408" s="1" t="s">
        <v>33</v>
      </c>
      <c r="E1408" s="1" t="s">
        <v>9</v>
      </c>
      <c r="F1408" s="1">
        <f t="shared" si="50"/>
        <v>600</v>
      </c>
      <c r="G1408" s="12">
        <f t="shared" si="51"/>
        <v>110.83333333333333</v>
      </c>
    </row>
    <row r="1409" spans="1:7" ht="13">
      <c r="A1409" s="4" t="s">
        <v>116</v>
      </c>
      <c r="B1409" s="1">
        <v>5</v>
      </c>
      <c r="C1409" s="1">
        <v>543</v>
      </c>
      <c r="D1409" s="1" t="s">
        <v>43</v>
      </c>
      <c r="E1409" s="1" t="s">
        <v>22</v>
      </c>
      <c r="F1409" s="1">
        <f t="shared" si="50"/>
        <v>500</v>
      </c>
      <c r="G1409" s="12">
        <f t="shared" si="51"/>
        <v>108.6</v>
      </c>
    </row>
    <row r="1410" spans="1:7" ht="13">
      <c r="A1410" s="4" t="s">
        <v>116</v>
      </c>
      <c r="B1410" s="1">
        <v>4.3499999999999996</v>
      </c>
      <c r="C1410" s="1">
        <v>488</v>
      </c>
      <c r="D1410" s="1" t="s">
        <v>38</v>
      </c>
      <c r="E1410" s="1" t="s">
        <v>18</v>
      </c>
      <c r="F1410" s="1">
        <f t="shared" si="50"/>
        <v>434.99999999999994</v>
      </c>
      <c r="G1410" s="12">
        <f t="shared" si="51"/>
        <v>112.18390804597702</v>
      </c>
    </row>
    <row r="1411" spans="1:7" ht="13">
      <c r="A1411" s="4" t="s">
        <v>116</v>
      </c>
      <c r="B1411" s="1">
        <v>5.81</v>
      </c>
      <c r="C1411" s="1">
        <v>697</v>
      </c>
      <c r="D1411" s="1" t="s">
        <v>38</v>
      </c>
      <c r="E1411" s="1" t="s">
        <v>8</v>
      </c>
      <c r="F1411" s="1">
        <f t="shared" ref="F1411:F1474" si="52">B1411*100</f>
        <v>581</v>
      </c>
      <c r="G1411" s="12">
        <f t="shared" ref="G1411:G1474" si="53">C1411/B1411</f>
        <v>119.96557659208263</v>
      </c>
    </row>
    <row r="1412" spans="1:7" ht="13">
      <c r="A1412" s="4" t="s">
        <v>116</v>
      </c>
      <c r="B1412" s="1">
        <v>7.7</v>
      </c>
      <c r="C1412" s="1">
        <v>810</v>
      </c>
      <c r="D1412" s="1" t="s">
        <v>11</v>
      </c>
      <c r="E1412" s="1" t="s">
        <v>49</v>
      </c>
      <c r="F1412" s="1">
        <f t="shared" si="52"/>
        <v>770</v>
      </c>
      <c r="G1412" s="12">
        <f t="shared" si="53"/>
        <v>105.1948051948052</v>
      </c>
    </row>
    <row r="1413" spans="1:7" ht="13">
      <c r="A1413" s="4" t="s">
        <v>116</v>
      </c>
      <c r="B1413" s="1">
        <v>8.6</v>
      </c>
      <c r="C1413" s="1">
        <v>941</v>
      </c>
      <c r="D1413" s="1" t="s">
        <v>33</v>
      </c>
      <c r="E1413" s="1" t="s">
        <v>26</v>
      </c>
      <c r="F1413" s="1">
        <f t="shared" si="52"/>
        <v>860</v>
      </c>
      <c r="G1413" s="12">
        <f t="shared" si="53"/>
        <v>109.41860465116279</v>
      </c>
    </row>
    <row r="1414" spans="1:7" ht="13">
      <c r="A1414" s="4" t="s">
        <v>116</v>
      </c>
      <c r="B1414" s="1">
        <v>9.57</v>
      </c>
      <c r="C1414" s="1">
        <v>951</v>
      </c>
      <c r="D1414" s="1" t="s">
        <v>42</v>
      </c>
      <c r="E1414" s="1" t="s">
        <v>22</v>
      </c>
      <c r="F1414" s="1">
        <f t="shared" si="52"/>
        <v>957</v>
      </c>
      <c r="G1414" s="12">
        <f t="shared" si="53"/>
        <v>99.373040752351088</v>
      </c>
    </row>
    <row r="1415" spans="1:7" ht="13">
      <c r="A1415" s="4" t="s">
        <v>116</v>
      </c>
      <c r="B1415" s="1">
        <v>12.04</v>
      </c>
      <c r="C1415" s="1">
        <v>1340</v>
      </c>
      <c r="D1415" s="1" t="s">
        <v>11</v>
      </c>
      <c r="E1415" s="1" t="s">
        <v>8</v>
      </c>
      <c r="F1415" s="1">
        <f t="shared" si="52"/>
        <v>1204</v>
      </c>
      <c r="G1415" s="12">
        <f t="shared" si="53"/>
        <v>111.29568106312293</v>
      </c>
    </row>
    <row r="1416" spans="1:7" ht="13">
      <c r="A1416" s="4" t="s">
        <v>116</v>
      </c>
      <c r="B1416" s="1">
        <v>8.4</v>
      </c>
      <c r="C1416" s="1">
        <v>870</v>
      </c>
      <c r="D1416" s="1" t="s">
        <v>33</v>
      </c>
      <c r="E1416" s="1" t="s">
        <v>25</v>
      </c>
      <c r="F1416" s="1">
        <f t="shared" si="52"/>
        <v>840</v>
      </c>
      <c r="G1416" s="12">
        <f t="shared" si="53"/>
        <v>103.57142857142857</v>
      </c>
    </row>
    <row r="1417" spans="1:7" ht="13">
      <c r="A1417" s="4" t="s">
        <v>116</v>
      </c>
      <c r="B1417" s="1">
        <v>5.6</v>
      </c>
      <c r="C1417" s="1">
        <v>474</v>
      </c>
      <c r="D1417" s="1" t="s">
        <v>11</v>
      </c>
      <c r="E1417" s="1" t="s">
        <v>21</v>
      </c>
      <c r="F1417" s="1">
        <f t="shared" si="52"/>
        <v>560</v>
      </c>
      <c r="G1417" s="12">
        <f t="shared" si="53"/>
        <v>84.642857142857153</v>
      </c>
    </row>
    <row r="1418" spans="1:7" ht="13">
      <c r="A1418" s="4" t="s">
        <v>116</v>
      </c>
      <c r="B1418" s="1">
        <v>4.0999999999999996</v>
      </c>
      <c r="C1418" s="1">
        <v>435</v>
      </c>
      <c r="D1418" s="1" t="s">
        <v>64</v>
      </c>
      <c r="E1418" s="1" t="s">
        <v>22</v>
      </c>
      <c r="F1418" s="1">
        <f t="shared" si="52"/>
        <v>409.99999999999994</v>
      </c>
      <c r="G1418" s="12">
        <f t="shared" si="53"/>
        <v>106.09756097560977</v>
      </c>
    </row>
    <row r="1419" spans="1:7" ht="13">
      <c r="A1419" s="4" t="s">
        <v>116</v>
      </c>
      <c r="B1419" s="1">
        <v>7.74</v>
      </c>
      <c r="C1419" s="1">
        <v>804</v>
      </c>
      <c r="D1419" s="1" t="s">
        <v>37</v>
      </c>
      <c r="E1419" s="1" t="s">
        <v>7</v>
      </c>
      <c r="F1419" s="1">
        <f t="shared" si="52"/>
        <v>774</v>
      </c>
      <c r="G1419" s="12">
        <f t="shared" si="53"/>
        <v>103.87596899224806</v>
      </c>
    </row>
    <row r="1420" spans="1:7" ht="13">
      <c r="A1420" s="4" t="s">
        <v>116</v>
      </c>
      <c r="B1420" s="1">
        <v>5.46</v>
      </c>
      <c r="C1420" s="1">
        <v>627</v>
      </c>
      <c r="D1420" s="1" t="s">
        <v>43</v>
      </c>
      <c r="E1420" s="1" t="s">
        <v>15</v>
      </c>
      <c r="F1420" s="1">
        <f t="shared" si="52"/>
        <v>546</v>
      </c>
      <c r="G1420" s="12">
        <f t="shared" si="53"/>
        <v>114.83516483516483</v>
      </c>
    </row>
    <row r="1421" spans="1:7" ht="13">
      <c r="A1421" s="4" t="s">
        <v>116</v>
      </c>
      <c r="B1421" s="1">
        <v>6.03</v>
      </c>
      <c r="C1421" s="1">
        <v>685</v>
      </c>
      <c r="D1421" s="1" t="s">
        <v>88</v>
      </c>
      <c r="E1421" s="1" t="s">
        <v>22</v>
      </c>
      <c r="F1421" s="1">
        <f t="shared" si="52"/>
        <v>603</v>
      </c>
      <c r="G1421" s="12">
        <f t="shared" si="53"/>
        <v>113.59867330016583</v>
      </c>
    </row>
    <row r="1422" spans="1:7" ht="13">
      <c r="A1422" s="4" t="s">
        <v>116</v>
      </c>
      <c r="B1422" s="1">
        <v>7.56</v>
      </c>
      <c r="C1422" s="1">
        <v>751</v>
      </c>
      <c r="D1422" s="1" t="s">
        <v>11</v>
      </c>
      <c r="E1422" s="1" t="s">
        <v>21</v>
      </c>
      <c r="F1422" s="1">
        <f t="shared" si="52"/>
        <v>756</v>
      </c>
      <c r="G1422" s="12">
        <f t="shared" si="53"/>
        <v>99.338624338624342</v>
      </c>
    </row>
    <row r="1423" spans="1:7" ht="13">
      <c r="A1423" s="4" t="s">
        <v>116</v>
      </c>
      <c r="B1423" s="1">
        <v>7.56</v>
      </c>
      <c r="C1423" s="1">
        <v>826</v>
      </c>
      <c r="D1423" s="1" t="s">
        <v>95</v>
      </c>
      <c r="E1423" s="1" t="s">
        <v>15</v>
      </c>
      <c r="F1423" s="1">
        <f t="shared" si="52"/>
        <v>756</v>
      </c>
      <c r="G1423" s="12">
        <f t="shared" si="53"/>
        <v>109.25925925925927</v>
      </c>
    </row>
    <row r="1424" spans="1:7" ht="13">
      <c r="A1424" s="4" t="s">
        <v>116</v>
      </c>
      <c r="B1424" s="1">
        <v>7.2</v>
      </c>
      <c r="C1424" s="1">
        <v>678</v>
      </c>
      <c r="D1424" s="1" t="s">
        <v>33</v>
      </c>
      <c r="E1424" s="1" t="s">
        <v>49</v>
      </c>
      <c r="F1424" s="1">
        <f t="shared" si="52"/>
        <v>720</v>
      </c>
      <c r="G1424" s="12">
        <f t="shared" si="53"/>
        <v>94.166666666666671</v>
      </c>
    </row>
    <row r="1425" spans="1:7" ht="13">
      <c r="A1425" s="4" t="s">
        <v>116</v>
      </c>
      <c r="B1425" s="1">
        <v>4.8</v>
      </c>
      <c r="C1425" s="1">
        <v>587</v>
      </c>
      <c r="D1425" s="1" t="s">
        <v>33</v>
      </c>
      <c r="E1425" s="1" t="s">
        <v>8</v>
      </c>
      <c r="F1425" s="1">
        <f t="shared" si="52"/>
        <v>480</v>
      </c>
      <c r="G1425" s="12">
        <f t="shared" si="53"/>
        <v>122.29166666666667</v>
      </c>
    </row>
    <row r="1426" spans="1:7" ht="13">
      <c r="A1426" s="4" t="s">
        <v>116</v>
      </c>
      <c r="B1426" s="1">
        <v>7.56</v>
      </c>
      <c r="C1426" s="1">
        <v>835</v>
      </c>
      <c r="D1426" s="1" t="s">
        <v>11</v>
      </c>
      <c r="E1426" s="1" t="s">
        <v>27</v>
      </c>
      <c r="F1426" s="1">
        <f t="shared" si="52"/>
        <v>756</v>
      </c>
      <c r="G1426" s="12">
        <f t="shared" si="53"/>
        <v>110.44973544973546</v>
      </c>
    </row>
    <row r="1427" spans="1:7" ht="13">
      <c r="A1427" s="4" t="s">
        <v>116</v>
      </c>
      <c r="B1427" s="1">
        <v>6.7</v>
      </c>
      <c r="C1427" s="1">
        <v>680</v>
      </c>
      <c r="D1427" s="1" t="s">
        <v>35</v>
      </c>
      <c r="E1427" s="1" t="s">
        <v>16</v>
      </c>
      <c r="F1427" s="1">
        <f t="shared" si="52"/>
        <v>670</v>
      </c>
      <c r="G1427" s="12">
        <f t="shared" si="53"/>
        <v>101.49253731343283</v>
      </c>
    </row>
    <row r="1428" spans="1:7" ht="13">
      <c r="A1428" s="4" t="s">
        <v>116</v>
      </c>
      <c r="B1428" s="1">
        <v>4.3499999999999996</v>
      </c>
      <c r="C1428" s="1">
        <v>450</v>
      </c>
      <c r="D1428" s="1" t="s">
        <v>11</v>
      </c>
      <c r="E1428" s="1" t="s">
        <v>15</v>
      </c>
      <c r="F1428" s="1">
        <f t="shared" si="52"/>
        <v>434.99999999999994</v>
      </c>
      <c r="G1428" s="12">
        <f t="shared" si="53"/>
        <v>103.44827586206897</v>
      </c>
    </row>
    <row r="1429" spans="1:7" ht="13">
      <c r="A1429" s="4" t="s">
        <v>116</v>
      </c>
      <c r="B1429" s="1">
        <v>5.88</v>
      </c>
      <c r="C1429" s="1">
        <v>681</v>
      </c>
      <c r="D1429" s="1" t="s">
        <v>11</v>
      </c>
      <c r="E1429" s="1" t="s">
        <v>15</v>
      </c>
      <c r="F1429" s="1">
        <f t="shared" si="52"/>
        <v>588</v>
      </c>
      <c r="G1429" s="12">
        <f t="shared" si="53"/>
        <v>115.81632653061224</v>
      </c>
    </row>
    <row r="1430" spans="1:7" ht="13">
      <c r="A1430" s="4" t="s">
        <v>116</v>
      </c>
      <c r="B1430" s="1">
        <v>4.5</v>
      </c>
      <c r="C1430" s="1">
        <v>523</v>
      </c>
      <c r="D1430" s="1" t="s">
        <v>11</v>
      </c>
      <c r="E1430" s="1" t="s">
        <v>22</v>
      </c>
      <c r="F1430" s="1">
        <f t="shared" si="52"/>
        <v>450</v>
      </c>
      <c r="G1430" s="12">
        <f t="shared" si="53"/>
        <v>116.22222222222223</v>
      </c>
    </row>
    <row r="1431" spans="1:7" ht="13">
      <c r="A1431" s="4" t="s">
        <v>117</v>
      </c>
      <c r="B1431" s="1">
        <v>7.56</v>
      </c>
      <c r="C1431" s="1">
        <v>770</v>
      </c>
      <c r="D1431" s="1" t="s">
        <v>11</v>
      </c>
      <c r="E1431" s="1" t="s">
        <v>7</v>
      </c>
      <c r="F1431" s="1">
        <f t="shared" si="52"/>
        <v>756</v>
      </c>
      <c r="G1431" s="12">
        <f t="shared" si="53"/>
        <v>101.85185185185186</v>
      </c>
    </row>
    <row r="1432" spans="1:7" ht="13">
      <c r="A1432" s="4" t="s">
        <v>117</v>
      </c>
      <c r="B1432" s="1">
        <v>6</v>
      </c>
      <c r="C1432" s="1">
        <v>694</v>
      </c>
      <c r="D1432" s="1" t="s">
        <v>11</v>
      </c>
      <c r="E1432" s="1" t="s">
        <v>16</v>
      </c>
      <c r="F1432" s="1">
        <f t="shared" si="52"/>
        <v>600</v>
      </c>
      <c r="G1432" s="12">
        <f t="shared" si="53"/>
        <v>115.66666666666667</v>
      </c>
    </row>
    <row r="1433" spans="1:7" ht="13">
      <c r="A1433" s="4" t="s">
        <v>117</v>
      </c>
      <c r="B1433" s="1">
        <v>6.88</v>
      </c>
      <c r="C1433" s="1">
        <v>902</v>
      </c>
      <c r="D1433" s="1" t="s">
        <v>33</v>
      </c>
      <c r="E1433" s="1" t="s">
        <v>10</v>
      </c>
      <c r="F1433" s="1">
        <f t="shared" si="52"/>
        <v>688</v>
      </c>
      <c r="G1433" s="12">
        <f t="shared" si="53"/>
        <v>131.1046511627907</v>
      </c>
    </row>
    <row r="1434" spans="1:7" ht="13">
      <c r="A1434" s="4" t="s">
        <v>117</v>
      </c>
      <c r="B1434" s="1">
        <v>5.28</v>
      </c>
      <c r="C1434" s="1">
        <v>667</v>
      </c>
      <c r="D1434" s="1" t="s">
        <v>33</v>
      </c>
      <c r="E1434" s="1" t="s">
        <v>21</v>
      </c>
      <c r="F1434" s="1">
        <f t="shared" si="52"/>
        <v>528</v>
      </c>
      <c r="G1434" s="12">
        <f t="shared" si="53"/>
        <v>126.32575757575756</v>
      </c>
    </row>
    <row r="1435" spans="1:7" ht="13">
      <c r="A1435" s="4" t="s">
        <v>117</v>
      </c>
      <c r="B1435" s="1">
        <v>4.9000000000000004</v>
      </c>
      <c r="C1435" s="1">
        <v>596</v>
      </c>
      <c r="D1435" s="1" t="s">
        <v>35</v>
      </c>
      <c r="E1435" s="1" t="s">
        <v>19</v>
      </c>
      <c r="F1435" s="1">
        <f t="shared" si="52"/>
        <v>490.00000000000006</v>
      </c>
      <c r="G1435" s="12">
        <f t="shared" si="53"/>
        <v>121.63265306122449</v>
      </c>
    </row>
    <row r="1436" spans="1:7" ht="13">
      <c r="A1436" s="4" t="s">
        <v>117</v>
      </c>
      <c r="B1436" s="1">
        <v>9.1999999999999993</v>
      </c>
      <c r="C1436" s="1">
        <v>1014</v>
      </c>
      <c r="D1436" s="1" t="s">
        <v>37</v>
      </c>
      <c r="E1436" s="1" t="s">
        <v>18</v>
      </c>
      <c r="F1436" s="1">
        <f t="shared" si="52"/>
        <v>919.99999999999989</v>
      </c>
      <c r="G1436" s="12">
        <f t="shared" si="53"/>
        <v>110.21739130434783</v>
      </c>
    </row>
    <row r="1437" spans="1:7" ht="13">
      <c r="A1437" s="4" t="s">
        <v>117</v>
      </c>
      <c r="B1437" s="1">
        <v>6</v>
      </c>
      <c r="C1437" s="1">
        <v>796</v>
      </c>
      <c r="D1437" s="1" t="s">
        <v>11</v>
      </c>
      <c r="E1437" s="1" t="s">
        <v>17</v>
      </c>
      <c r="F1437" s="1">
        <f t="shared" si="52"/>
        <v>600</v>
      </c>
      <c r="G1437" s="12">
        <f t="shared" si="53"/>
        <v>132.66666666666666</v>
      </c>
    </row>
    <row r="1438" spans="1:7" ht="13">
      <c r="A1438" s="4" t="s">
        <v>117</v>
      </c>
      <c r="B1438" s="1">
        <v>5.2</v>
      </c>
      <c r="C1438" s="1">
        <v>677</v>
      </c>
      <c r="D1438" s="1" t="s">
        <v>39</v>
      </c>
      <c r="E1438" s="1" t="s">
        <v>25</v>
      </c>
      <c r="F1438" s="1">
        <f t="shared" si="52"/>
        <v>520</v>
      </c>
      <c r="G1438" s="12">
        <f t="shared" si="53"/>
        <v>130.19230769230768</v>
      </c>
    </row>
    <row r="1439" spans="1:7" ht="13">
      <c r="A1439" s="4" t="s">
        <v>117</v>
      </c>
      <c r="B1439" s="1">
        <v>7</v>
      </c>
      <c r="C1439" s="1">
        <v>888</v>
      </c>
      <c r="D1439" s="1" t="s">
        <v>33</v>
      </c>
      <c r="E1439" s="1" t="s">
        <v>20</v>
      </c>
      <c r="F1439" s="1">
        <f t="shared" si="52"/>
        <v>700</v>
      </c>
      <c r="G1439" s="12">
        <f t="shared" si="53"/>
        <v>126.85714285714286</v>
      </c>
    </row>
    <row r="1440" spans="1:7" ht="13">
      <c r="A1440" s="4" t="s">
        <v>117</v>
      </c>
      <c r="B1440" s="1">
        <v>4</v>
      </c>
      <c r="C1440" s="1">
        <v>398</v>
      </c>
      <c r="D1440" s="1" t="s">
        <v>11</v>
      </c>
      <c r="E1440" s="1" t="s">
        <v>24</v>
      </c>
      <c r="F1440" s="1">
        <f t="shared" si="52"/>
        <v>400</v>
      </c>
      <c r="G1440" s="12">
        <f t="shared" si="53"/>
        <v>99.5</v>
      </c>
    </row>
    <row r="1441" spans="1:7" ht="13">
      <c r="A1441" s="4" t="s">
        <v>117</v>
      </c>
      <c r="B1441" s="1">
        <v>6.88</v>
      </c>
      <c r="C1441" s="1">
        <v>845</v>
      </c>
      <c r="D1441" s="1" t="s">
        <v>11</v>
      </c>
      <c r="E1441" s="1" t="s">
        <v>8</v>
      </c>
      <c r="F1441" s="1">
        <f t="shared" si="52"/>
        <v>688</v>
      </c>
      <c r="G1441" s="12">
        <f t="shared" si="53"/>
        <v>122.81976744186046</v>
      </c>
    </row>
    <row r="1442" spans="1:7" ht="13">
      <c r="A1442" s="4" t="s">
        <v>117</v>
      </c>
      <c r="B1442" s="1">
        <v>8.8000000000000007</v>
      </c>
      <c r="C1442" s="1">
        <v>1000</v>
      </c>
      <c r="D1442" s="1" t="s">
        <v>43</v>
      </c>
      <c r="E1442" s="1" t="s">
        <v>17</v>
      </c>
      <c r="F1442" s="1">
        <f t="shared" si="52"/>
        <v>880.00000000000011</v>
      </c>
      <c r="G1442" s="12">
        <f t="shared" si="53"/>
        <v>113.63636363636363</v>
      </c>
    </row>
    <row r="1443" spans="1:7" ht="13">
      <c r="A1443" s="4" t="s">
        <v>117</v>
      </c>
      <c r="B1443" s="1">
        <v>9.1</v>
      </c>
      <c r="C1443" s="1">
        <v>970</v>
      </c>
      <c r="D1443" s="1" t="s">
        <v>33</v>
      </c>
      <c r="E1443" s="1" t="s">
        <v>17</v>
      </c>
      <c r="F1443" s="1">
        <f t="shared" si="52"/>
        <v>910</v>
      </c>
      <c r="G1443" s="12">
        <f t="shared" si="53"/>
        <v>106.5934065934066</v>
      </c>
    </row>
    <row r="1444" spans="1:7" ht="13">
      <c r="A1444" s="4" t="s">
        <v>117</v>
      </c>
      <c r="B1444" s="1">
        <v>7.2</v>
      </c>
      <c r="C1444" s="1">
        <v>925</v>
      </c>
      <c r="D1444" s="1" t="s">
        <v>11</v>
      </c>
      <c r="E1444" s="1" t="s">
        <v>10</v>
      </c>
      <c r="F1444" s="1">
        <f t="shared" si="52"/>
        <v>720</v>
      </c>
      <c r="G1444" s="12">
        <f t="shared" si="53"/>
        <v>128.47222222222223</v>
      </c>
    </row>
    <row r="1445" spans="1:7" ht="13">
      <c r="A1445" s="4" t="s">
        <v>117</v>
      </c>
      <c r="B1445" s="1">
        <v>6.96</v>
      </c>
      <c r="C1445" s="1">
        <v>802</v>
      </c>
      <c r="D1445" s="1" t="s">
        <v>37</v>
      </c>
      <c r="E1445" s="1" t="s">
        <v>9</v>
      </c>
      <c r="F1445" s="1">
        <f t="shared" si="52"/>
        <v>696</v>
      </c>
      <c r="G1445" s="12">
        <f t="shared" si="53"/>
        <v>115.22988505747126</v>
      </c>
    </row>
    <row r="1446" spans="1:7" ht="13">
      <c r="A1446" s="4" t="s">
        <v>117</v>
      </c>
      <c r="B1446" s="1">
        <v>9.68</v>
      </c>
      <c r="C1446" s="1">
        <v>1077</v>
      </c>
      <c r="D1446" s="1" t="s">
        <v>11</v>
      </c>
      <c r="E1446" s="1" t="s">
        <v>30</v>
      </c>
      <c r="F1446" s="1">
        <f t="shared" si="52"/>
        <v>968</v>
      </c>
      <c r="G1446" s="12">
        <f t="shared" si="53"/>
        <v>111.2603305785124</v>
      </c>
    </row>
    <row r="1447" spans="1:7" ht="13">
      <c r="A1447" s="4" t="s">
        <v>117</v>
      </c>
      <c r="B1447" s="1">
        <v>7.83</v>
      </c>
      <c r="C1447" s="1">
        <v>935</v>
      </c>
      <c r="D1447" s="1" t="s">
        <v>11</v>
      </c>
      <c r="E1447" s="1" t="s">
        <v>8</v>
      </c>
      <c r="F1447" s="1">
        <f t="shared" si="52"/>
        <v>783</v>
      </c>
      <c r="G1447" s="12">
        <f t="shared" si="53"/>
        <v>119.4125159642401</v>
      </c>
    </row>
    <row r="1448" spans="1:7" ht="13">
      <c r="A1448" s="4" t="s">
        <v>117</v>
      </c>
      <c r="B1448" s="1">
        <v>435</v>
      </c>
      <c r="C1448" s="1">
        <v>588</v>
      </c>
      <c r="D1448" s="1" t="s">
        <v>11</v>
      </c>
      <c r="E1448" s="1" t="s">
        <v>8</v>
      </c>
      <c r="F1448" s="1">
        <f t="shared" si="52"/>
        <v>43500</v>
      </c>
      <c r="G1448" s="12">
        <f t="shared" si="53"/>
        <v>1.3517241379310345</v>
      </c>
    </row>
    <row r="1449" spans="1:7" ht="13">
      <c r="A1449" s="4" t="s">
        <v>117</v>
      </c>
      <c r="B1449" s="1">
        <v>6</v>
      </c>
      <c r="C1449" s="1">
        <v>996</v>
      </c>
      <c r="D1449" s="1" t="s">
        <v>42</v>
      </c>
      <c r="E1449" s="1" t="s">
        <v>32</v>
      </c>
      <c r="F1449" s="1">
        <f t="shared" si="52"/>
        <v>600</v>
      </c>
      <c r="G1449" s="12">
        <f t="shared" si="53"/>
        <v>166</v>
      </c>
    </row>
    <row r="1450" spans="1:7" ht="13">
      <c r="A1450" s="4" t="s">
        <v>117</v>
      </c>
      <c r="B1450" s="1">
        <v>6.16</v>
      </c>
      <c r="C1450" s="1">
        <v>885</v>
      </c>
      <c r="D1450" s="1" t="s">
        <v>59</v>
      </c>
      <c r="E1450" s="1" t="s">
        <v>8</v>
      </c>
      <c r="F1450" s="1">
        <f t="shared" si="52"/>
        <v>616</v>
      </c>
      <c r="G1450" s="12">
        <f t="shared" si="53"/>
        <v>143.66883116883116</v>
      </c>
    </row>
    <row r="1451" spans="1:7" ht="13">
      <c r="A1451" s="4" t="s">
        <v>117</v>
      </c>
      <c r="B1451" s="1">
        <v>5.6</v>
      </c>
      <c r="C1451" s="1">
        <v>690</v>
      </c>
      <c r="D1451" s="1" t="s">
        <v>11</v>
      </c>
      <c r="E1451" s="1" t="s">
        <v>19</v>
      </c>
      <c r="F1451" s="1">
        <f t="shared" si="52"/>
        <v>560</v>
      </c>
      <c r="G1451" s="12">
        <f t="shared" si="53"/>
        <v>123.21428571428572</v>
      </c>
    </row>
    <row r="1452" spans="1:7" ht="13">
      <c r="A1452" s="4" t="s">
        <v>117</v>
      </c>
      <c r="B1452" s="1">
        <v>5</v>
      </c>
      <c r="C1452" s="1">
        <v>319</v>
      </c>
      <c r="D1452" s="1" t="s">
        <v>33</v>
      </c>
      <c r="E1452" s="1" t="s">
        <v>32</v>
      </c>
      <c r="F1452" s="1">
        <f t="shared" si="52"/>
        <v>500</v>
      </c>
      <c r="G1452" s="12">
        <f t="shared" si="53"/>
        <v>63.8</v>
      </c>
    </row>
    <row r="1453" spans="1:7" ht="13">
      <c r="A1453" s="4" t="s">
        <v>117</v>
      </c>
      <c r="B1453" s="1">
        <v>3.6</v>
      </c>
      <c r="C1453" s="1">
        <v>540</v>
      </c>
      <c r="D1453" s="1" t="s">
        <v>11</v>
      </c>
      <c r="E1453" s="1" t="s">
        <v>22</v>
      </c>
      <c r="F1453" s="1">
        <f t="shared" si="52"/>
        <v>360</v>
      </c>
      <c r="G1453" s="12">
        <f t="shared" si="53"/>
        <v>150</v>
      </c>
    </row>
    <row r="1454" spans="1:7" ht="13">
      <c r="A1454" s="4" t="s">
        <v>117</v>
      </c>
      <c r="B1454" s="1">
        <v>5.6</v>
      </c>
      <c r="C1454" s="1">
        <v>622</v>
      </c>
      <c r="D1454" s="1" t="s">
        <v>39</v>
      </c>
      <c r="E1454" s="1" t="s">
        <v>62</v>
      </c>
      <c r="F1454" s="1">
        <f t="shared" si="52"/>
        <v>560</v>
      </c>
      <c r="G1454" s="12">
        <f t="shared" si="53"/>
        <v>111.07142857142858</v>
      </c>
    </row>
    <row r="1455" spans="1:7" ht="13">
      <c r="A1455" s="4" t="s">
        <v>117</v>
      </c>
      <c r="B1455" s="1">
        <v>5.4</v>
      </c>
      <c r="C1455" s="1">
        <v>518</v>
      </c>
      <c r="D1455" s="1" t="s">
        <v>59</v>
      </c>
      <c r="E1455" s="1" t="s">
        <v>16</v>
      </c>
      <c r="F1455" s="1">
        <f t="shared" si="52"/>
        <v>540</v>
      </c>
      <c r="G1455" s="12">
        <f t="shared" si="53"/>
        <v>95.925925925925924</v>
      </c>
    </row>
    <row r="1456" spans="1:7" ht="13">
      <c r="A1456" s="4" t="s">
        <v>117</v>
      </c>
      <c r="B1456" s="1">
        <v>9.4</v>
      </c>
      <c r="C1456" s="1">
        <v>716</v>
      </c>
      <c r="D1456" s="1" t="s">
        <v>43</v>
      </c>
      <c r="E1456" s="1" t="s">
        <v>30</v>
      </c>
      <c r="F1456" s="1">
        <f t="shared" si="52"/>
        <v>940</v>
      </c>
      <c r="G1456" s="12">
        <f t="shared" si="53"/>
        <v>76.170212765957444</v>
      </c>
    </row>
    <row r="1457" spans="1:7" ht="13">
      <c r="A1457" s="4" t="s">
        <v>117</v>
      </c>
      <c r="B1457" s="1">
        <v>6</v>
      </c>
      <c r="C1457" s="1">
        <v>737</v>
      </c>
      <c r="D1457" s="1" t="s">
        <v>60</v>
      </c>
      <c r="E1457" s="1" t="s">
        <v>17</v>
      </c>
      <c r="F1457" s="1">
        <f t="shared" si="52"/>
        <v>600</v>
      </c>
      <c r="G1457" s="12">
        <f t="shared" si="53"/>
        <v>122.83333333333333</v>
      </c>
    </row>
    <row r="1458" spans="1:7" ht="13">
      <c r="A1458" s="4" t="s">
        <v>117</v>
      </c>
      <c r="B1458" s="1">
        <v>5.88</v>
      </c>
      <c r="C1458" s="1">
        <v>685</v>
      </c>
      <c r="D1458" s="1" t="s">
        <v>38</v>
      </c>
      <c r="E1458" s="1" t="s">
        <v>22</v>
      </c>
      <c r="F1458" s="1">
        <f t="shared" si="52"/>
        <v>588</v>
      </c>
      <c r="G1458" s="12">
        <f t="shared" si="53"/>
        <v>116.49659863945578</v>
      </c>
    </row>
    <row r="1459" spans="1:7" ht="13">
      <c r="A1459" s="4" t="s">
        <v>117</v>
      </c>
      <c r="B1459" s="1">
        <v>3.44</v>
      </c>
      <c r="C1459" s="1">
        <v>339</v>
      </c>
      <c r="D1459" s="1" t="s">
        <v>43</v>
      </c>
      <c r="E1459" s="1" t="s">
        <v>8</v>
      </c>
      <c r="F1459" s="1">
        <f t="shared" si="52"/>
        <v>344</v>
      </c>
      <c r="G1459" s="12">
        <f t="shared" si="53"/>
        <v>98.54651162790698</v>
      </c>
    </row>
    <row r="1460" spans="1:7" ht="13">
      <c r="A1460" s="4" t="s">
        <v>117</v>
      </c>
      <c r="B1460" s="1">
        <v>9.86</v>
      </c>
      <c r="C1460" s="1">
        <v>1059</v>
      </c>
      <c r="D1460" s="1" t="s">
        <v>33</v>
      </c>
      <c r="E1460" s="1" t="s">
        <v>21</v>
      </c>
      <c r="F1460" s="1">
        <f t="shared" si="52"/>
        <v>986</v>
      </c>
      <c r="G1460" s="12">
        <f t="shared" si="53"/>
        <v>107.40365111561867</v>
      </c>
    </row>
    <row r="1461" spans="1:7" ht="13">
      <c r="A1461" s="4" t="s">
        <v>117</v>
      </c>
      <c r="B1461" s="1">
        <v>5</v>
      </c>
      <c r="C1461" s="1">
        <v>873</v>
      </c>
      <c r="D1461" s="1" t="s">
        <v>33</v>
      </c>
      <c r="E1461" s="1" t="s">
        <v>32</v>
      </c>
      <c r="F1461" s="1">
        <f t="shared" si="52"/>
        <v>500</v>
      </c>
      <c r="G1461" s="12">
        <f t="shared" si="53"/>
        <v>174.6</v>
      </c>
    </row>
    <row r="1462" spans="1:7" ht="13">
      <c r="A1462" s="4" t="s">
        <v>117</v>
      </c>
      <c r="B1462" s="1">
        <v>4.51</v>
      </c>
      <c r="C1462" s="1">
        <v>502</v>
      </c>
      <c r="D1462" s="1" t="s">
        <v>43</v>
      </c>
      <c r="E1462" s="1" t="s">
        <v>16</v>
      </c>
      <c r="F1462" s="1">
        <f t="shared" si="52"/>
        <v>451</v>
      </c>
      <c r="G1462" s="12">
        <f t="shared" si="53"/>
        <v>111.30820399113082</v>
      </c>
    </row>
    <row r="1463" spans="1:7" ht="13">
      <c r="A1463" s="4" t="s">
        <v>117</v>
      </c>
      <c r="B1463" s="1">
        <v>6.5</v>
      </c>
      <c r="C1463" s="1">
        <v>736</v>
      </c>
      <c r="D1463" s="1" t="s">
        <v>35</v>
      </c>
      <c r="E1463" s="1" t="s">
        <v>8</v>
      </c>
      <c r="F1463" s="1">
        <f t="shared" si="52"/>
        <v>650</v>
      </c>
      <c r="G1463" s="12">
        <f t="shared" si="53"/>
        <v>113.23076923076923</v>
      </c>
    </row>
    <row r="1464" spans="1:7" ht="13">
      <c r="A1464" s="4" t="s">
        <v>117</v>
      </c>
      <c r="B1464" s="1">
        <v>7.74</v>
      </c>
      <c r="C1464" s="1">
        <v>953</v>
      </c>
      <c r="D1464" s="1" t="s">
        <v>86</v>
      </c>
      <c r="E1464" s="1" t="s">
        <v>8</v>
      </c>
      <c r="F1464" s="1">
        <f t="shared" si="52"/>
        <v>774</v>
      </c>
      <c r="G1464" s="12">
        <f t="shared" si="53"/>
        <v>123.1266149870801</v>
      </c>
    </row>
    <row r="1465" spans="1:7" ht="13">
      <c r="A1465" s="4" t="s">
        <v>117</v>
      </c>
      <c r="B1465" s="1">
        <v>6</v>
      </c>
      <c r="C1465" s="1">
        <v>751</v>
      </c>
      <c r="D1465" s="1" t="s">
        <v>33</v>
      </c>
      <c r="E1465" s="1" t="s">
        <v>16</v>
      </c>
      <c r="F1465" s="1">
        <f t="shared" si="52"/>
        <v>600</v>
      </c>
      <c r="G1465" s="12">
        <f t="shared" si="53"/>
        <v>125.16666666666667</v>
      </c>
    </row>
    <row r="1466" spans="1:7" ht="13">
      <c r="A1466" s="4" t="s">
        <v>117</v>
      </c>
      <c r="B1466" s="1">
        <v>5.6</v>
      </c>
      <c r="C1466" s="1">
        <v>641</v>
      </c>
      <c r="D1466" s="1" t="s">
        <v>53</v>
      </c>
      <c r="E1466" s="1" t="s">
        <v>8</v>
      </c>
      <c r="F1466" s="1">
        <f t="shared" si="52"/>
        <v>560</v>
      </c>
      <c r="G1466" s="12">
        <f t="shared" si="53"/>
        <v>114.46428571428572</v>
      </c>
    </row>
    <row r="1467" spans="1:7" ht="13">
      <c r="A1467" s="4" t="s">
        <v>117</v>
      </c>
      <c r="B1467" s="1">
        <v>6.4</v>
      </c>
      <c r="C1467" s="1">
        <v>811</v>
      </c>
      <c r="D1467" s="1" t="s">
        <v>11</v>
      </c>
      <c r="E1467" s="1" t="s">
        <v>16</v>
      </c>
      <c r="F1467" s="1">
        <f t="shared" si="52"/>
        <v>640</v>
      </c>
      <c r="G1467" s="12">
        <f t="shared" si="53"/>
        <v>126.71875</v>
      </c>
    </row>
    <row r="1468" spans="1:7" ht="13">
      <c r="A1468" s="4" t="s">
        <v>117</v>
      </c>
      <c r="B1468" s="1">
        <v>9.6</v>
      </c>
      <c r="C1468" s="1">
        <v>1120</v>
      </c>
      <c r="D1468" s="1" t="s">
        <v>33</v>
      </c>
      <c r="E1468" s="1" t="s">
        <v>12</v>
      </c>
      <c r="F1468" s="1">
        <f t="shared" si="52"/>
        <v>960</v>
      </c>
      <c r="G1468" s="12">
        <f t="shared" si="53"/>
        <v>116.66666666666667</v>
      </c>
    </row>
    <row r="1469" spans="1:7" ht="13">
      <c r="A1469" s="4" t="s">
        <v>117</v>
      </c>
      <c r="B1469" s="1">
        <v>8.6</v>
      </c>
      <c r="C1469" s="1">
        <v>966</v>
      </c>
      <c r="D1469" s="1" t="s">
        <v>43</v>
      </c>
      <c r="E1469" s="1" t="s">
        <v>31</v>
      </c>
      <c r="F1469" s="1">
        <f t="shared" si="52"/>
        <v>860</v>
      </c>
      <c r="G1469" s="12">
        <f t="shared" si="53"/>
        <v>112.32558139534885</v>
      </c>
    </row>
    <row r="1470" spans="1:7" ht="13">
      <c r="A1470" s="4" t="s">
        <v>117</v>
      </c>
      <c r="B1470" s="1">
        <v>6.96</v>
      </c>
      <c r="C1470" s="1">
        <v>874</v>
      </c>
      <c r="D1470" s="1" t="s">
        <v>33</v>
      </c>
      <c r="E1470" s="1" t="s">
        <v>22</v>
      </c>
      <c r="F1470" s="1">
        <f t="shared" si="52"/>
        <v>696</v>
      </c>
      <c r="G1470" s="12">
        <f t="shared" si="53"/>
        <v>125.57471264367817</v>
      </c>
    </row>
    <row r="1471" spans="1:7" ht="13">
      <c r="A1471" s="4" t="s">
        <v>117</v>
      </c>
      <c r="B1471" s="1">
        <v>7.76</v>
      </c>
      <c r="C1471" s="1">
        <v>964</v>
      </c>
      <c r="D1471" s="1" t="s">
        <v>39</v>
      </c>
      <c r="E1471" s="1" t="s">
        <v>16</v>
      </c>
      <c r="F1471" s="1">
        <f t="shared" si="52"/>
        <v>776</v>
      </c>
      <c r="G1471" s="12">
        <f t="shared" si="53"/>
        <v>124.22680412371135</v>
      </c>
    </row>
    <row r="1472" spans="1:7" ht="13">
      <c r="A1472" s="4" t="s">
        <v>117</v>
      </c>
      <c r="B1472" s="1">
        <v>6.4</v>
      </c>
      <c r="C1472" s="1">
        <v>755</v>
      </c>
      <c r="D1472" s="1" t="s">
        <v>37</v>
      </c>
      <c r="E1472" s="1" t="s">
        <v>20</v>
      </c>
      <c r="F1472" s="1">
        <f t="shared" si="52"/>
        <v>640</v>
      </c>
      <c r="G1472" s="12">
        <f t="shared" si="53"/>
        <v>117.96875</v>
      </c>
    </row>
    <row r="1473" spans="1:7" ht="13">
      <c r="A1473" s="4" t="s">
        <v>117</v>
      </c>
      <c r="B1473" s="1">
        <v>6.1</v>
      </c>
      <c r="C1473" s="1">
        <v>792</v>
      </c>
      <c r="D1473" s="1" t="s">
        <v>39</v>
      </c>
      <c r="E1473" s="1" t="s">
        <v>8</v>
      </c>
      <c r="F1473" s="1">
        <f t="shared" si="52"/>
        <v>610</v>
      </c>
      <c r="G1473" s="12">
        <f t="shared" si="53"/>
        <v>129.8360655737705</v>
      </c>
    </row>
    <row r="1474" spans="1:7" ht="13">
      <c r="A1474" s="4" t="s">
        <v>117</v>
      </c>
      <c r="B1474" s="1">
        <v>9.3000000000000007</v>
      </c>
      <c r="C1474" s="1">
        <v>1050</v>
      </c>
      <c r="D1474" s="1" t="s">
        <v>11</v>
      </c>
      <c r="E1474" s="1" t="s">
        <v>20</v>
      </c>
      <c r="F1474" s="1">
        <f t="shared" si="52"/>
        <v>930.00000000000011</v>
      </c>
      <c r="G1474" s="12">
        <f t="shared" si="53"/>
        <v>112.9032258064516</v>
      </c>
    </row>
    <row r="1475" spans="1:7" ht="13">
      <c r="A1475" s="4" t="s">
        <v>117</v>
      </c>
      <c r="B1475" s="1">
        <v>6.88</v>
      </c>
      <c r="C1475" s="1">
        <v>840</v>
      </c>
      <c r="D1475" s="1" t="s">
        <v>48</v>
      </c>
      <c r="E1475" s="1" t="s">
        <v>16</v>
      </c>
      <c r="F1475" s="1">
        <f t="shared" ref="F1475:F1538" si="54">B1475*100</f>
        <v>688</v>
      </c>
      <c r="G1475" s="12">
        <f t="shared" ref="G1475:G1538" si="55">C1475/B1475</f>
        <v>122.09302325581396</v>
      </c>
    </row>
    <row r="1476" spans="1:7" ht="13">
      <c r="A1476" s="4" t="s">
        <v>117</v>
      </c>
      <c r="B1476" s="1">
        <v>5.2</v>
      </c>
      <c r="C1476" s="1">
        <v>748</v>
      </c>
      <c r="D1476" s="1" t="s">
        <v>39</v>
      </c>
      <c r="E1476" s="1" t="s">
        <v>9</v>
      </c>
      <c r="F1476" s="1">
        <f t="shared" si="54"/>
        <v>520</v>
      </c>
      <c r="G1476" s="12">
        <f t="shared" si="55"/>
        <v>143.84615384615384</v>
      </c>
    </row>
    <row r="1477" spans="1:7" ht="13">
      <c r="A1477" s="4" t="s">
        <v>117</v>
      </c>
      <c r="B1477" s="1">
        <v>4.7</v>
      </c>
      <c r="C1477" s="1">
        <v>566</v>
      </c>
      <c r="D1477" s="1" t="s">
        <v>33</v>
      </c>
      <c r="E1477" s="1" t="s">
        <v>26</v>
      </c>
      <c r="F1477" s="1">
        <f t="shared" si="54"/>
        <v>470</v>
      </c>
      <c r="G1477" s="12">
        <f t="shared" si="55"/>
        <v>120.42553191489361</v>
      </c>
    </row>
    <row r="1478" spans="1:7" ht="13">
      <c r="A1478" s="4" t="s">
        <v>117</v>
      </c>
      <c r="B1478" s="1">
        <v>7.74</v>
      </c>
      <c r="C1478" s="1">
        <v>774</v>
      </c>
      <c r="D1478" s="1" t="s">
        <v>45</v>
      </c>
      <c r="E1478" s="1" t="s">
        <v>27</v>
      </c>
      <c r="F1478" s="1">
        <f t="shared" si="54"/>
        <v>774</v>
      </c>
      <c r="G1478" s="12">
        <f t="shared" si="55"/>
        <v>100</v>
      </c>
    </row>
    <row r="1479" spans="1:7" ht="13">
      <c r="A1479" s="4" t="s">
        <v>117</v>
      </c>
      <c r="B1479" s="1">
        <v>6</v>
      </c>
      <c r="C1479" s="1">
        <v>696</v>
      </c>
      <c r="D1479" s="1" t="s">
        <v>47</v>
      </c>
      <c r="E1479" s="1" t="s">
        <v>19</v>
      </c>
      <c r="F1479" s="1">
        <f t="shared" si="54"/>
        <v>600</v>
      </c>
      <c r="G1479" s="12">
        <f t="shared" si="55"/>
        <v>116</v>
      </c>
    </row>
    <row r="1480" spans="1:7" ht="13">
      <c r="A1480" s="4" t="s">
        <v>117</v>
      </c>
      <c r="B1480" s="1">
        <v>4</v>
      </c>
      <c r="C1480" s="1">
        <v>510</v>
      </c>
      <c r="D1480" s="1" t="s">
        <v>11</v>
      </c>
      <c r="E1480" s="1" t="s">
        <v>20</v>
      </c>
      <c r="F1480" s="1">
        <f t="shared" si="54"/>
        <v>400</v>
      </c>
      <c r="G1480" s="12">
        <f t="shared" si="55"/>
        <v>127.5</v>
      </c>
    </row>
    <row r="1481" spans="1:7" ht="13">
      <c r="A1481" s="4" t="s">
        <v>117</v>
      </c>
      <c r="B1481" s="1">
        <v>6</v>
      </c>
      <c r="C1481" s="1">
        <v>833</v>
      </c>
      <c r="D1481" s="1" t="s">
        <v>11</v>
      </c>
      <c r="E1481" s="1" t="s">
        <v>20</v>
      </c>
      <c r="F1481" s="1">
        <f t="shared" si="54"/>
        <v>600</v>
      </c>
      <c r="G1481" s="12">
        <f t="shared" si="55"/>
        <v>138.83333333333334</v>
      </c>
    </row>
    <row r="1482" spans="1:7" ht="13">
      <c r="A1482" s="4" t="s">
        <v>117</v>
      </c>
      <c r="B1482" s="1">
        <v>7.4</v>
      </c>
      <c r="C1482" s="1">
        <v>914</v>
      </c>
      <c r="D1482" s="1" t="s">
        <v>55</v>
      </c>
      <c r="E1482" s="1" t="s">
        <v>17</v>
      </c>
      <c r="F1482" s="1">
        <f t="shared" si="54"/>
        <v>740</v>
      </c>
      <c r="G1482" s="12">
        <f t="shared" si="55"/>
        <v>123.5135135135135</v>
      </c>
    </row>
    <row r="1483" spans="1:7" ht="13">
      <c r="A1483" s="4" t="s">
        <v>117</v>
      </c>
      <c r="B1483" s="1">
        <v>3</v>
      </c>
      <c r="C1483" s="1">
        <v>374</v>
      </c>
      <c r="D1483" s="1" t="s">
        <v>11</v>
      </c>
      <c r="E1483" s="1" t="s">
        <v>25</v>
      </c>
      <c r="F1483" s="1">
        <f t="shared" si="54"/>
        <v>300</v>
      </c>
      <c r="G1483" s="12">
        <f t="shared" si="55"/>
        <v>124.66666666666667</v>
      </c>
    </row>
    <row r="1484" spans="1:7" ht="13">
      <c r="A1484" s="4" t="s">
        <v>117</v>
      </c>
      <c r="B1484" s="1">
        <v>5.6</v>
      </c>
      <c r="C1484" s="1">
        <v>710</v>
      </c>
      <c r="D1484" s="1" t="s">
        <v>11</v>
      </c>
      <c r="E1484" s="1" t="s">
        <v>68</v>
      </c>
      <c r="F1484" s="1">
        <f t="shared" si="54"/>
        <v>560</v>
      </c>
      <c r="G1484" s="12">
        <f t="shared" si="55"/>
        <v>126.78571428571429</v>
      </c>
    </row>
    <row r="1485" spans="1:7" ht="13">
      <c r="A1485" s="4" t="s">
        <v>117</v>
      </c>
      <c r="B1485" s="1">
        <v>6.2</v>
      </c>
      <c r="C1485" s="1">
        <v>772</v>
      </c>
      <c r="D1485" s="1" t="s">
        <v>11</v>
      </c>
      <c r="E1485" s="1" t="s">
        <v>7</v>
      </c>
      <c r="F1485" s="1">
        <f t="shared" si="54"/>
        <v>620</v>
      </c>
      <c r="G1485" s="12">
        <f t="shared" si="55"/>
        <v>124.51612903225806</v>
      </c>
    </row>
    <row r="1486" spans="1:7" ht="13">
      <c r="A1486" s="4" t="s">
        <v>117</v>
      </c>
      <c r="B1486" s="1">
        <v>3.4</v>
      </c>
      <c r="C1486" s="1">
        <v>437</v>
      </c>
      <c r="D1486" s="1" t="s">
        <v>11</v>
      </c>
      <c r="E1486" s="1" t="s">
        <v>30</v>
      </c>
      <c r="F1486" s="1">
        <f t="shared" si="54"/>
        <v>340</v>
      </c>
      <c r="G1486" s="12">
        <f t="shared" si="55"/>
        <v>128.52941176470588</v>
      </c>
    </row>
    <row r="1487" spans="1:7" ht="13">
      <c r="A1487" s="4" t="s">
        <v>117</v>
      </c>
      <c r="B1487" s="1">
        <v>6.88</v>
      </c>
      <c r="C1487" s="1">
        <v>780</v>
      </c>
      <c r="D1487" s="1" t="s">
        <v>53</v>
      </c>
      <c r="E1487" s="1" t="s">
        <v>16</v>
      </c>
      <c r="F1487" s="1">
        <f t="shared" si="54"/>
        <v>688</v>
      </c>
      <c r="G1487" s="12">
        <f t="shared" si="55"/>
        <v>113.37209302325581</v>
      </c>
    </row>
    <row r="1488" spans="1:7" ht="13">
      <c r="A1488" s="4" t="s">
        <v>117</v>
      </c>
      <c r="B1488" s="1">
        <v>7.3</v>
      </c>
      <c r="C1488" s="1">
        <v>665</v>
      </c>
      <c r="D1488" s="1" t="s">
        <v>55</v>
      </c>
      <c r="E1488" s="1" t="s">
        <v>31</v>
      </c>
      <c r="F1488" s="1">
        <f t="shared" si="54"/>
        <v>730</v>
      </c>
      <c r="G1488" s="12">
        <f t="shared" si="55"/>
        <v>91.095890410958901</v>
      </c>
    </row>
    <row r="1489" spans="1:7" ht="13">
      <c r="A1489" s="4" t="s">
        <v>117</v>
      </c>
      <c r="B1489" s="1">
        <v>6.4</v>
      </c>
      <c r="C1489" s="1">
        <v>801</v>
      </c>
      <c r="D1489" s="1" t="s">
        <v>96</v>
      </c>
      <c r="E1489" s="1" t="s">
        <v>26</v>
      </c>
      <c r="F1489" s="1">
        <f t="shared" si="54"/>
        <v>640</v>
      </c>
      <c r="G1489" s="12">
        <f t="shared" si="55"/>
        <v>125.15625</v>
      </c>
    </row>
    <row r="1490" spans="1:7" ht="13">
      <c r="A1490" s="4" t="s">
        <v>117</v>
      </c>
      <c r="B1490" s="1">
        <v>6.8</v>
      </c>
      <c r="C1490" s="1">
        <v>813</v>
      </c>
      <c r="D1490" s="1" t="s">
        <v>33</v>
      </c>
      <c r="E1490" s="1" t="s">
        <v>20</v>
      </c>
      <c r="F1490" s="1">
        <f t="shared" si="54"/>
        <v>680</v>
      </c>
      <c r="G1490" s="12">
        <f t="shared" si="55"/>
        <v>119.55882352941177</v>
      </c>
    </row>
    <row r="1491" spans="1:7" ht="13">
      <c r="A1491" s="4" t="s">
        <v>117</v>
      </c>
      <c r="B1491" s="1">
        <v>8.4</v>
      </c>
      <c r="C1491" s="1">
        <v>974</v>
      </c>
      <c r="D1491" s="1" t="s">
        <v>11</v>
      </c>
      <c r="E1491" s="1" t="s">
        <v>25</v>
      </c>
      <c r="F1491" s="1">
        <f t="shared" si="54"/>
        <v>840</v>
      </c>
      <c r="G1491" s="12">
        <f t="shared" si="55"/>
        <v>115.95238095238095</v>
      </c>
    </row>
    <row r="1492" spans="1:7" ht="13">
      <c r="A1492" s="4" t="s">
        <v>117</v>
      </c>
      <c r="B1492" s="1">
        <v>10.199999999999999</v>
      </c>
      <c r="C1492" s="1">
        <v>1007</v>
      </c>
      <c r="D1492" s="1" t="s">
        <v>11</v>
      </c>
      <c r="E1492" s="1" t="s">
        <v>7</v>
      </c>
      <c r="F1492" s="1">
        <f t="shared" si="54"/>
        <v>1019.9999999999999</v>
      </c>
      <c r="G1492" s="12">
        <f t="shared" si="55"/>
        <v>98.725490196078439</v>
      </c>
    </row>
    <row r="1493" spans="1:7" ht="13">
      <c r="A1493" s="4" t="s">
        <v>117</v>
      </c>
      <c r="B1493" s="1">
        <v>7.04</v>
      </c>
      <c r="C1493" s="1">
        <v>818</v>
      </c>
      <c r="D1493" s="1" t="s">
        <v>33</v>
      </c>
      <c r="E1493" s="1" t="s">
        <v>24</v>
      </c>
      <c r="F1493" s="1">
        <f t="shared" si="54"/>
        <v>704</v>
      </c>
      <c r="G1493" s="12">
        <f t="shared" si="55"/>
        <v>116.19318181818181</v>
      </c>
    </row>
    <row r="1494" spans="1:7" ht="13">
      <c r="A1494" s="4" t="s">
        <v>117</v>
      </c>
      <c r="B1494" s="1">
        <v>6.97</v>
      </c>
      <c r="C1494" s="1">
        <v>792</v>
      </c>
      <c r="D1494" s="1" t="s">
        <v>39</v>
      </c>
      <c r="E1494" s="1" t="s">
        <v>17</v>
      </c>
      <c r="F1494" s="1">
        <f t="shared" si="54"/>
        <v>697</v>
      </c>
      <c r="G1494" s="12">
        <f t="shared" si="55"/>
        <v>113.62984218077476</v>
      </c>
    </row>
    <row r="1495" spans="1:7" ht="13">
      <c r="A1495" s="4" t="s">
        <v>117</v>
      </c>
      <c r="B1495" s="1">
        <v>11</v>
      </c>
      <c r="C1495" s="1">
        <v>1000</v>
      </c>
      <c r="D1495" s="1" t="s">
        <v>11</v>
      </c>
      <c r="E1495" s="1" t="s">
        <v>8</v>
      </c>
      <c r="F1495" s="1">
        <f t="shared" si="54"/>
        <v>1100</v>
      </c>
      <c r="G1495" s="12">
        <f t="shared" si="55"/>
        <v>90.909090909090907</v>
      </c>
    </row>
    <row r="1496" spans="1:7" ht="13">
      <c r="A1496" s="4" t="s">
        <v>117</v>
      </c>
      <c r="B1496" s="1">
        <v>11.25</v>
      </c>
      <c r="C1496" s="1">
        <v>1310</v>
      </c>
      <c r="D1496" s="1" t="s">
        <v>45</v>
      </c>
      <c r="E1496" s="1" t="s">
        <v>8</v>
      </c>
      <c r="F1496" s="1">
        <f t="shared" si="54"/>
        <v>1125</v>
      </c>
      <c r="G1496" s="12">
        <f t="shared" si="55"/>
        <v>116.44444444444444</v>
      </c>
    </row>
    <row r="1497" spans="1:7" ht="13">
      <c r="A1497" s="4" t="s">
        <v>117</v>
      </c>
      <c r="B1497" s="1">
        <v>6.8849999999999998</v>
      </c>
      <c r="C1497" s="1">
        <v>859</v>
      </c>
      <c r="D1497" s="1" t="s">
        <v>43</v>
      </c>
      <c r="E1497" s="1" t="s">
        <v>8</v>
      </c>
      <c r="F1497" s="1">
        <f t="shared" si="54"/>
        <v>688.5</v>
      </c>
      <c r="G1497" s="12">
        <f t="shared" si="55"/>
        <v>124.76397966594045</v>
      </c>
    </row>
    <row r="1498" spans="1:7" ht="13">
      <c r="A1498" s="4" t="s">
        <v>117</v>
      </c>
      <c r="B1498" s="1">
        <v>5</v>
      </c>
      <c r="C1498" s="1">
        <v>688</v>
      </c>
      <c r="D1498" s="1" t="s">
        <v>11</v>
      </c>
      <c r="E1498" s="1" t="s">
        <v>8</v>
      </c>
      <c r="F1498" s="1">
        <f t="shared" si="54"/>
        <v>500</v>
      </c>
      <c r="G1498" s="12">
        <f t="shared" si="55"/>
        <v>137.6</v>
      </c>
    </row>
    <row r="1499" spans="1:7" ht="13">
      <c r="A1499" s="4" t="s">
        <v>117</v>
      </c>
      <c r="B1499" s="1">
        <v>6.9</v>
      </c>
      <c r="C1499" s="1">
        <v>726</v>
      </c>
      <c r="D1499" s="1" t="s">
        <v>36</v>
      </c>
      <c r="E1499" s="1" t="s">
        <v>26</v>
      </c>
      <c r="F1499" s="1">
        <f t="shared" si="54"/>
        <v>690</v>
      </c>
      <c r="G1499" s="12">
        <f t="shared" si="55"/>
        <v>105.21739130434781</v>
      </c>
    </row>
    <row r="1500" spans="1:7" ht="13">
      <c r="A1500" s="4" t="s">
        <v>117</v>
      </c>
      <c r="B1500" s="1">
        <v>6</v>
      </c>
      <c r="C1500" s="1">
        <v>852</v>
      </c>
      <c r="D1500" s="1" t="s">
        <v>44</v>
      </c>
      <c r="E1500" s="1" t="s">
        <v>8</v>
      </c>
      <c r="F1500" s="1">
        <f t="shared" si="54"/>
        <v>600</v>
      </c>
      <c r="G1500" s="12">
        <f t="shared" si="55"/>
        <v>142</v>
      </c>
    </row>
    <row r="1501" spans="1:7" ht="13">
      <c r="A1501" s="4" t="s">
        <v>117</v>
      </c>
      <c r="B1501" s="1">
        <v>8.1</v>
      </c>
      <c r="C1501" s="1">
        <v>1040</v>
      </c>
      <c r="D1501" s="1" t="s">
        <v>42</v>
      </c>
      <c r="E1501" s="1" t="s">
        <v>10</v>
      </c>
      <c r="F1501" s="1">
        <f t="shared" si="54"/>
        <v>810</v>
      </c>
      <c r="G1501" s="12">
        <f t="shared" si="55"/>
        <v>128.39506172839506</v>
      </c>
    </row>
    <row r="1502" spans="1:7" ht="13">
      <c r="A1502" s="4" t="s">
        <v>117</v>
      </c>
      <c r="B1502" s="1">
        <v>8</v>
      </c>
      <c r="C1502" s="1">
        <v>894</v>
      </c>
      <c r="D1502" s="1" t="s">
        <v>33</v>
      </c>
      <c r="E1502" s="1" t="s">
        <v>17</v>
      </c>
      <c r="F1502" s="1">
        <f t="shared" si="54"/>
        <v>800</v>
      </c>
      <c r="G1502" s="12">
        <f t="shared" si="55"/>
        <v>111.75</v>
      </c>
    </row>
    <row r="1503" spans="1:7" ht="13">
      <c r="A1503" s="4" t="s">
        <v>117</v>
      </c>
      <c r="B1503" s="1">
        <v>6.24</v>
      </c>
      <c r="C1503" s="1">
        <v>664</v>
      </c>
      <c r="D1503" s="1" t="s">
        <v>33</v>
      </c>
      <c r="E1503" s="1" t="s">
        <v>15</v>
      </c>
      <c r="F1503" s="1">
        <f t="shared" si="54"/>
        <v>624</v>
      </c>
      <c r="G1503" s="12">
        <f t="shared" si="55"/>
        <v>106.41025641025641</v>
      </c>
    </row>
    <row r="1504" spans="1:7" ht="13">
      <c r="A1504" s="4" t="s">
        <v>117</v>
      </c>
      <c r="B1504" s="1">
        <v>5.6</v>
      </c>
      <c r="C1504" s="1">
        <v>727</v>
      </c>
      <c r="D1504" s="1" t="s">
        <v>11</v>
      </c>
      <c r="E1504" s="1" t="s">
        <v>21</v>
      </c>
      <c r="F1504" s="1">
        <f t="shared" si="54"/>
        <v>560</v>
      </c>
      <c r="G1504" s="12">
        <f t="shared" si="55"/>
        <v>129.82142857142858</v>
      </c>
    </row>
    <row r="1505" spans="1:7" ht="13">
      <c r="A1505" s="4" t="s">
        <v>117</v>
      </c>
      <c r="B1505" s="1">
        <v>8.5</v>
      </c>
      <c r="C1505" s="1">
        <v>911</v>
      </c>
      <c r="D1505" s="1" t="s">
        <v>33</v>
      </c>
      <c r="E1505" s="1" t="s">
        <v>46</v>
      </c>
      <c r="F1505" s="1">
        <f t="shared" si="54"/>
        <v>850</v>
      </c>
      <c r="G1505" s="12">
        <f t="shared" si="55"/>
        <v>107.17647058823529</v>
      </c>
    </row>
    <row r="1506" spans="1:7" ht="13">
      <c r="A1506" s="4" t="s">
        <v>117</v>
      </c>
      <c r="B1506" s="1">
        <v>6.96</v>
      </c>
      <c r="C1506" s="1">
        <v>856</v>
      </c>
      <c r="D1506" s="1" t="s">
        <v>53</v>
      </c>
      <c r="E1506" s="1" t="s">
        <v>15</v>
      </c>
      <c r="F1506" s="1">
        <f t="shared" si="54"/>
        <v>696</v>
      </c>
      <c r="G1506" s="12">
        <f t="shared" si="55"/>
        <v>122.98850574712644</v>
      </c>
    </row>
    <row r="1507" spans="1:7" ht="13">
      <c r="A1507" s="4" t="s">
        <v>117</v>
      </c>
      <c r="B1507" s="1">
        <v>8.1999999999999993</v>
      </c>
      <c r="C1507" s="1">
        <v>930</v>
      </c>
      <c r="D1507" s="1" t="s">
        <v>11</v>
      </c>
      <c r="E1507" s="1" t="s">
        <v>12</v>
      </c>
      <c r="F1507" s="1">
        <f t="shared" si="54"/>
        <v>819.99999999999989</v>
      </c>
      <c r="G1507" s="12">
        <f t="shared" si="55"/>
        <v>113.41463414634147</v>
      </c>
    </row>
    <row r="1508" spans="1:7" ht="13">
      <c r="A1508" s="4" t="s">
        <v>117</v>
      </c>
      <c r="B1508" s="1">
        <v>8.5</v>
      </c>
      <c r="C1508" s="1">
        <v>1090</v>
      </c>
      <c r="D1508" s="1" t="s">
        <v>38</v>
      </c>
      <c r="E1508" s="1" t="s">
        <v>20</v>
      </c>
      <c r="F1508" s="1">
        <f t="shared" si="54"/>
        <v>850</v>
      </c>
      <c r="G1508" s="12">
        <f t="shared" si="55"/>
        <v>128.23529411764707</v>
      </c>
    </row>
    <row r="1509" spans="1:7" ht="13">
      <c r="A1509" s="4" t="s">
        <v>117</v>
      </c>
      <c r="B1509" s="1">
        <v>5</v>
      </c>
      <c r="C1509" s="1">
        <v>624</v>
      </c>
      <c r="D1509" s="1" t="s">
        <v>50</v>
      </c>
      <c r="E1509" s="1" t="s">
        <v>17</v>
      </c>
      <c r="F1509" s="1">
        <f t="shared" si="54"/>
        <v>500</v>
      </c>
      <c r="G1509" s="12">
        <f t="shared" si="55"/>
        <v>124.8</v>
      </c>
    </row>
    <row r="1510" spans="1:7" ht="13">
      <c r="A1510" s="4" t="s">
        <v>117</v>
      </c>
      <c r="B1510" s="1">
        <v>5.4</v>
      </c>
      <c r="C1510" s="1">
        <v>385</v>
      </c>
      <c r="D1510" s="1" t="s">
        <v>33</v>
      </c>
      <c r="E1510" s="1" t="s">
        <v>25</v>
      </c>
      <c r="F1510" s="1">
        <f t="shared" si="54"/>
        <v>540</v>
      </c>
      <c r="G1510" s="12">
        <f t="shared" si="55"/>
        <v>71.296296296296291</v>
      </c>
    </row>
    <row r="1511" spans="1:7" ht="13">
      <c r="A1511" s="4" t="s">
        <v>117</v>
      </c>
      <c r="B1511" s="1">
        <v>3.44</v>
      </c>
      <c r="C1511" s="1">
        <v>443</v>
      </c>
      <c r="D1511" s="1" t="s">
        <v>11</v>
      </c>
      <c r="E1511" s="1" t="s">
        <v>9</v>
      </c>
      <c r="F1511" s="1">
        <f t="shared" si="54"/>
        <v>344</v>
      </c>
      <c r="G1511" s="12">
        <f t="shared" si="55"/>
        <v>128.77906976744185</v>
      </c>
    </row>
    <row r="1512" spans="1:7" ht="13">
      <c r="A1512" s="4" t="s">
        <v>117</v>
      </c>
      <c r="B1512" s="1">
        <v>5.67</v>
      </c>
      <c r="C1512" s="1">
        <v>789</v>
      </c>
      <c r="D1512" s="1" t="s">
        <v>43</v>
      </c>
      <c r="E1512" s="1" t="s">
        <v>9</v>
      </c>
      <c r="F1512" s="1">
        <f t="shared" si="54"/>
        <v>567</v>
      </c>
      <c r="G1512" s="12">
        <f t="shared" si="55"/>
        <v>139.15343915343917</v>
      </c>
    </row>
    <row r="1513" spans="1:7" ht="13">
      <c r="A1513" s="4" t="s">
        <v>117</v>
      </c>
      <c r="B1513" s="1">
        <v>8.1999999999999993</v>
      </c>
      <c r="C1513" s="1">
        <v>972</v>
      </c>
      <c r="D1513" s="1" t="s">
        <v>34</v>
      </c>
      <c r="E1513" s="1" t="s">
        <v>16</v>
      </c>
      <c r="F1513" s="1">
        <f t="shared" si="54"/>
        <v>819.99999999999989</v>
      </c>
      <c r="G1513" s="12">
        <f t="shared" si="55"/>
        <v>118.53658536585367</v>
      </c>
    </row>
    <row r="1514" spans="1:7" ht="13">
      <c r="A1514" s="4" t="s">
        <v>117</v>
      </c>
      <c r="B1514" s="1">
        <v>6.88</v>
      </c>
      <c r="C1514" s="1">
        <v>809</v>
      </c>
      <c r="D1514" s="1" t="s">
        <v>58</v>
      </c>
      <c r="E1514" s="1" t="s">
        <v>16</v>
      </c>
      <c r="F1514" s="1">
        <f t="shared" si="54"/>
        <v>688</v>
      </c>
      <c r="G1514" s="12">
        <f t="shared" si="55"/>
        <v>117.58720930232559</v>
      </c>
    </row>
    <row r="1515" spans="1:7" ht="13">
      <c r="A1515" s="4" t="s">
        <v>117</v>
      </c>
      <c r="B1515" s="1">
        <v>7.3</v>
      </c>
      <c r="C1515" s="1">
        <v>921</v>
      </c>
      <c r="D1515" s="1" t="s">
        <v>47</v>
      </c>
      <c r="E1515" s="1" t="s">
        <v>28</v>
      </c>
      <c r="F1515" s="1">
        <f t="shared" si="54"/>
        <v>730</v>
      </c>
      <c r="G1515" s="12">
        <f t="shared" si="55"/>
        <v>126.16438356164385</v>
      </c>
    </row>
    <row r="1516" spans="1:7" ht="13">
      <c r="A1516" s="4" t="s">
        <v>117</v>
      </c>
      <c r="B1516" s="1">
        <v>6.02</v>
      </c>
      <c r="C1516" s="1">
        <v>770</v>
      </c>
      <c r="D1516" s="1" t="s">
        <v>47</v>
      </c>
      <c r="E1516" s="1" t="s">
        <v>20</v>
      </c>
      <c r="F1516" s="1">
        <f t="shared" si="54"/>
        <v>602</v>
      </c>
      <c r="G1516" s="12">
        <f t="shared" si="55"/>
        <v>127.90697674418605</v>
      </c>
    </row>
    <row r="1517" spans="1:7" ht="13">
      <c r="A1517" s="4" t="s">
        <v>117</v>
      </c>
      <c r="B1517" s="1">
        <v>7.83</v>
      </c>
      <c r="C1517" s="1">
        <v>894</v>
      </c>
      <c r="D1517" s="1" t="s">
        <v>39</v>
      </c>
      <c r="E1517" s="1" t="s">
        <v>8</v>
      </c>
      <c r="F1517" s="1">
        <f t="shared" si="54"/>
        <v>783</v>
      </c>
      <c r="G1517" s="12">
        <f t="shared" si="55"/>
        <v>114.17624521072797</v>
      </c>
    </row>
    <row r="1518" spans="1:7" ht="13">
      <c r="A1518" s="4" t="s">
        <v>117</v>
      </c>
      <c r="B1518" s="1">
        <v>7.74</v>
      </c>
      <c r="C1518" s="1">
        <v>913</v>
      </c>
      <c r="D1518" s="1" t="s">
        <v>11</v>
      </c>
      <c r="E1518" s="1" t="s">
        <v>30</v>
      </c>
      <c r="F1518" s="1">
        <f t="shared" si="54"/>
        <v>774</v>
      </c>
      <c r="G1518" s="12">
        <f t="shared" si="55"/>
        <v>117.95865633074935</v>
      </c>
    </row>
    <row r="1519" spans="1:7" ht="13">
      <c r="A1519" s="4" t="s">
        <v>117</v>
      </c>
      <c r="B1519" s="1">
        <v>7.6</v>
      </c>
      <c r="C1519" s="1">
        <v>876</v>
      </c>
      <c r="D1519" s="1" t="s">
        <v>39</v>
      </c>
      <c r="E1519" s="1" t="s">
        <v>8</v>
      </c>
      <c r="F1519" s="1">
        <f t="shared" si="54"/>
        <v>760</v>
      </c>
      <c r="G1519" s="12">
        <f t="shared" si="55"/>
        <v>115.26315789473685</v>
      </c>
    </row>
    <row r="1520" spans="1:7" ht="13">
      <c r="A1520" s="4" t="s">
        <v>117</v>
      </c>
      <c r="B1520" s="1">
        <v>6.96</v>
      </c>
      <c r="C1520" s="1">
        <v>799</v>
      </c>
      <c r="D1520" s="1" t="s">
        <v>11</v>
      </c>
      <c r="E1520" s="1" t="s">
        <v>18</v>
      </c>
      <c r="F1520" s="1">
        <f t="shared" si="54"/>
        <v>696</v>
      </c>
      <c r="G1520" s="12">
        <f t="shared" si="55"/>
        <v>114.79885057471265</v>
      </c>
    </row>
    <row r="1521" spans="1:7" ht="13">
      <c r="A1521" s="4" t="s">
        <v>117</v>
      </c>
      <c r="B1521" s="1">
        <v>40</v>
      </c>
      <c r="C1521" s="1">
        <v>5660</v>
      </c>
      <c r="D1521" s="1" t="s">
        <v>33</v>
      </c>
      <c r="E1521" s="1" t="s">
        <v>9</v>
      </c>
      <c r="F1521" s="1">
        <f t="shared" si="54"/>
        <v>4000</v>
      </c>
      <c r="G1521" s="12">
        <f t="shared" si="55"/>
        <v>141.5</v>
      </c>
    </row>
    <row r="1522" spans="1:7" ht="13">
      <c r="A1522" s="4" t="s">
        <v>117</v>
      </c>
      <c r="B1522" s="1">
        <v>6.56</v>
      </c>
      <c r="C1522" s="1">
        <v>772</v>
      </c>
      <c r="D1522" s="1" t="s">
        <v>11</v>
      </c>
      <c r="E1522" s="1" t="s">
        <v>18</v>
      </c>
      <c r="F1522" s="1">
        <f t="shared" si="54"/>
        <v>656</v>
      </c>
      <c r="G1522" s="12">
        <f t="shared" si="55"/>
        <v>117.6829268292683</v>
      </c>
    </row>
    <row r="1523" spans="1:7" ht="13">
      <c r="A1523" s="4" t="s">
        <v>117</v>
      </c>
      <c r="B1523" s="1">
        <v>9</v>
      </c>
      <c r="C1523" s="1">
        <v>1200</v>
      </c>
      <c r="D1523" s="1" t="s">
        <v>33</v>
      </c>
      <c r="E1523" s="1" t="s">
        <v>8</v>
      </c>
      <c r="F1523" s="1">
        <f t="shared" si="54"/>
        <v>900</v>
      </c>
      <c r="G1523" s="12">
        <f t="shared" si="55"/>
        <v>133.33333333333334</v>
      </c>
    </row>
    <row r="1524" spans="1:7" ht="13">
      <c r="A1524" s="4" t="s">
        <v>117</v>
      </c>
      <c r="B1524" s="1">
        <v>7.6</v>
      </c>
      <c r="C1524" s="1">
        <v>870</v>
      </c>
      <c r="D1524" s="1" t="s">
        <v>79</v>
      </c>
      <c r="E1524" s="1" t="s">
        <v>28</v>
      </c>
      <c r="F1524" s="1">
        <f t="shared" si="54"/>
        <v>760</v>
      </c>
      <c r="G1524" s="12">
        <f t="shared" si="55"/>
        <v>114.47368421052632</v>
      </c>
    </row>
    <row r="1525" spans="1:7" ht="13">
      <c r="A1525" s="4" t="s">
        <v>117</v>
      </c>
      <c r="B1525" s="1">
        <v>4.2</v>
      </c>
      <c r="C1525" s="1">
        <v>547</v>
      </c>
      <c r="D1525" s="1" t="s">
        <v>11</v>
      </c>
      <c r="E1525" s="1" t="s">
        <v>15</v>
      </c>
      <c r="F1525" s="1">
        <f t="shared" si="54"/>
        <v>420</v>
      </c>
      <c r="G1525" s="12">
        <f t="shared" si="55"/>
        <v>130.23809523809524</v>
      </c>
    </row>
    <row r="1526" spans="1:7" ht="13">
      <c r="A1526" s="4" t="s">
        <v>117</v>
      </c>
      <c r="B1526" s="1">
        <v>5</v>
      </c>
      <c r="C1526" s="1">
        <v>618</v>
      </c>
      <c r="D1526" s="1" t="s">
        <v>43</v>
      </c>
      <c r="E1526" s="1" t="s">
        <v>22</v>
      </c>
      <c r="F1526" s="1">
        <f t="shared" si="54"/>
        <v>500</v>
      </c>
      <c r="G1526" s="12">
        <f t="shared" si="55"/>
        <v>123.6</v>
      </c>
    </row>
    <row r="1527" spans="1:7" ht="13">
      <c r="A1527" s="4" t="s">
        <v>117</v>
      </c>
      <c r="B1527" s="1">
        <v>6.5250000000000004</v>
      </c>
      <c r="C1527" s="1">
        <v>651</v>
      </c>
      <c r="D1527" s="1" t="s">
        <v>11</v>
      </c>
      <c r="E1527" s="1" t="s">
        <v>18</v>
      </c>
      <c r="F1527" s="1">
        <f t="shared" si="54"/>
        <v>652.5</v>
      </c>
      <c r="G1527" s="12">
        <f t="shared" si="55"/>
        <v>99.770114942528735</v>
      </c>
    </row>
    <row r="1528" spans="1:7" ht="13">
      <c r="A1528" s="4" t="s">
        <v>117</v>
      </c>
      <c r="B1528" s="1">
        <v>6.5</v>
      </c>
      <c r="C1528" s="1">
        <v>727</v>
      </c>
      <c r="D1528" s="1" t="s">
        <v>55</v>
      </c>
      <c r="E1528" s="1" t="s">
        <v>15</v>
      </c>
      <c r="F1528" s="1">
        <f t="shared" si="54"/>
        <v>650</v>
      </c>
      <c r="G1528" s="12">
        <f t="shared" si="55"/>
        <v>111.84615384615384</v>
      </c>
    </row>
    <row r="1529" spans="1:7" ht="13">
      <c r="A1529" s="4" t="s">
        <v>117</v>
      </c>
      <c r="B1529" s="1">
        <v>6.88</v>
      </c>
      <c r="C1529" s="1">
        <v>929</v>
      </c>
      <c r="D1529" s="1" t="s">
        <v>11</v>
      </c>
      <c r="E1529" s="1" t="s">
        <v>8</v>
      </c>
      <c r="F1529" s="1">
        <f t="shared" si="54"/>
        <v>688</v>
      </c>
      <c r="G1529" s="12">
        <f t="shared" si="55"/>
        <v>135.02906976744185</v>
      </c>
    </row>
    <row r="1530" spans="1:7" ht="13">
      <c r="A1530" s="4" t="s">
        <v>117</v>
      </c>
      <c r="B1530" s="1">
        <v>12.21</v>
      </c>
      <c r="C1530" s="1">
        <v>1557</v>
      </c>
      <c r="D1530" s="1" t="s">
        <v>11</v>
      </c>
      <c r="E1530" s="1" t="s">
        <v>14</v>
      </c>
      <c r="F1530" s="1">
        <f t="shared" si="54"/>
        <v>1221</v>
      </c>
      <c r="G1530" s="12">
        <f t="shared" si="55"/>
        <v>127.51842751842752</v>
      </c>
    </row>
    <row r="1531" spans="1:7" ht="13">
      <c r="A1531" s="4" t="s">
        <v>117</v>
      </c>
      <c r="B1531" s="1">
        <v>5.46</v>
      </c>
      <c r="C1531" s="1">
        <v>728</v>
      </c>
      <c r="D1531" s="1" t="s">
        <v>47</v>
      </c>
      <c r="E1531" s="1" t="s">
        <v>10</v>
      </c>
      <c r="F1531" s="1">
        <f t="shared" si="54"/>
        <v>546</v>
      </c>
      <c r="G1531" s="12">
        <f t="shared" si="55"/>
        <v>133.33333333333334</v>
      </c>
    </row>
    <row r="1532" spans="1:7" ht="13">
      <c r="A1532" s="4" t="s">
        <v>117</v>
      </c>
      <c r="B1532" s="1">
        <v>5.59</v>
      </c>
      <c r="C1532" s="1">
        <v>700</v>
      </c>
      <c r="D1532" s="1" t="s">
        <v>36</v>
      </c>
      <c r="E1532" s="1" t="s">
        <v>9</v>
      </c>
      <c r="F1532" s="1">
        <f t="shared" si="54"/>
        <v>559</v>
      </c>
      <c r="G1532" s="12">
        <f t="shared" si="55"/>
        <v>125.22361359570662</v>
      </c>
    </row>
    <row r="1533" spans="1:7" ht="13">
      <c r="A1533" s="4" t="s">
        <v>117</v>
      </c>
      <c r="B1533" s="1">
        <v>8.6999999999999993</v>
      </c>
      <c r="C1533" s="1">
        <v>1038</v>
      </c>
      <c r="D1533" s="1" t="s">
        <v>33</v>
      </c>
      <c r="E1533" s="1" t="s">
        <v>8</v>
      </c>
      <c r="F1533" s="1">
        <f t="shared" si="54"/>
        <v>869.99999999999989</v>
      </c>
      <c r="G1533" s="12">
        <f t="shared" si="55"/>
        <v>119.31034482758622</v>
      </c>
    </row>
    <row r="1534" spans="1:7" ht="13">
      <c r="A1534" s="4" t="s">
        <v>117</v>
      </c>
      <c r="B1534" s="1">
        <v>3</v>
      </c>
      <c r="C1534" s="1">
        <v>495.4</v>
      </c>
      <c r="D1534" s="1" t="s">
        <v>43</v>
      </c>
      <c r="E1534" s="1" t="s">
        <v>18</v>
      </c>
      <c r="F1534" s="1">
        <f t="shared" si="54"/>
        <v>300</v>
      </c>
      <c r="G1534" s="12">
        <f t="shared" si="55"/>
        <v>165.13333333333333</v>
      </c>
    </row>
    <row r="1535" spans="1:7" ht="13">
      <c r="A1535" s="4" t="s">
        <v>117</v>
      </c>
      <c r="B1535" s="1">
        <v>5.2</v>
      </c>
      <c r="C1535" s="1">
        <v>642</v>
      </c>
      <c r="D1535" s="1" t="s">
        <v>11</v>
      </c>
      <c r="E1535" s="1" t="s">
        <v>16</v>
      </c>
      <c r="F1535" s="1">
        <f t="shared" si="54"/>
        <v>520</v>
      </c>
      <c r="G1535" s="12">
        <f t="shared" si="55"/>
        <v>123.46153846153845</v>
      </c>
    </row>
    <row r="1536" spans="1:7" ht="13">
      <c r="A1536" s="4" t="s">
        <v>117</v>
      </c>
      <c r="B1536" s="1">
        <v>6.1</v>
      </c>
      <c r="C1536" s="1">
        <v>697</v>
      </c>
      <c r="D1536" s="1" t="s">
        <v>33</v>
      </c>
      <c r="E1536" s="1" t="s">
        <v>26</v>
      </c>
      <c r="F1536" s="1">
        <f t="shared" si="54"/>
        <v>610</v>
      </c>
      <c r="G1536" s="12">
        <f t="shared" si="55"/>
        <v>114.26229508196722</v>
      </c>
    </row>
    <row r="1537" spans="1:7" ht="13">
      <c r="A1537" s="4" t="s">
        <v>117</v>
      </c>
      <c r="B1537" s="1">
        <v>5.22</v>
      </c>
      <c r="C1537" s="1">
        <v>676</v>
      </c>
      <c r="D1537" s="1" t="s">
        <v>11</v>
      </c>
      <c r="E1537" s="1" t="s">
        <v>17</v>
      </c>
      <c r="F1537" s="1">
        <f t="shared" si="54"/>
        <v>522</v>
      </c>
      <c r="G1537" s="12">
        <f t="shared" si="55"/>
        <v>129.50191570881228</v>
      </c>
    </row>
    <row r="1538" spans="1:7" ht="13">
      <c r="A1538" s="4" t="s">
        <v>117</v>
      </c>
      <c r="B1538" s="1">
        <v>6.5</v>
      </c>
      <c r="C1538" s="1">
        <v>980</v>
      </c>
      <c r="D1538" s="1" t="s">
        <v>33</v>
      </c>
      <c r="E1538" s="1" t="s">
        <v>8</v>
      </c>
      <c r="F1538" s="1">
        <f t="shared" si="54"/>
        <v>650</v>
      </c>
      <c r="G1538" s="12">
        <f t="shared" si="55"/>
        <v>150.76923076923077</v>
      </c>
    </row>
    <row r="1539" spans="1:7" ht="13">
      <c r="A1539" s="4" t="s">
        <v>117</v>
      </c>
      <c r="B1539" s="1">
        <v>8.8000000000000007</v>
      </c>
      <c r="C1539" s="1">
        <v>831</v>
      </c>
      <c r="D1539" s="1" t="s">
        <v>97</v>
      </c>
      <c r="E1539" s="1" t="s">
        <v>30</v>
      </c>
      <c r="F1539" s="1">
        <f t="shared" ref="F1539:F1602" si="56">B1539*100</f>
        <v>880.00000000000011</v>
      </c>
      <c r="G1539" s="12">
        <f t="shared" ref="G1539:G1602" si="57">C1539/B1539</f>
        <v>94.431818181818173</v>
      </c>
    </row>
    <row r="1540" spans="1:7" ht="13">
      <c r="A1540" s="4" t="s">
        <v>117</v>
      </c>
      <c r="B1540" s="1">
        <v>7.74</v>
      </c>
      <c r="C1540" s="1">
        <v>1010</v>
      </c>
      <c r="D1540" s="1" t="s">
        <v>11</v>
      </c>
      <c r="E1540" s="1" t="s">
        <v>25</v>
      </c>
      <c r="F1540" s="1">
        <f t="shared" si="56"/>
        <v>774</v>
      </c>
      <c r="G1540" s="12">
        <f t="shared" si="57"/>
        <v>130.49095607235142</v>
      </c>
    </row>
    <row r="1541" spans="1:7" ht="13">
      <c r="A1541" s="4" t="s">
        <v>117</v>
      </c>
      <c r="B1541" s="1">
        <v>6.1</v>
      </c>
      <c r="C1541" s="1">
        <v>818</v>
      </c>
      <c r="D1541" s="1" t="s">
        <v>11</v>
      </c>
      <c r="E1541" s="1" t="s">
        <v>8</v>
      </c>
      <c r="F1541" s="1">
        <f t="shared" si="56"/>
        <v>610</v>
      </c>
      <c r="G1541" s="12">
        <f t="shared" si="57"/>
        <v>134.09836065573771</v>
      </c>
    </row>
    <row r="1542" spans="1:7" ht="13">
      <c r="A1542" s="4" t="s">
        <v>117</v>
      </c>
      <c r="B1542" s="1">
        <v>4.5</v>
      </c>
      <c r="C1542" s="1">
        <v>575</v>
      </c>
      <c r="D1542" s="1" t="s">
        <v>11</v>
      </c>
      <c r="E1542" s="1" t="s">
        <v>22</v>
      </c>
      <c r="F1542" s="1">
        <f t="shared" si="56"/>
        <v>450</v>
      </c>
      <c r="G1542" s="12">
        <f t="shared" si="57"/>
        <v>127.77777777777777</v>
      </c>
    </row>
    <row r="1543" spans="1:7" ht="13">
      <c r="A1543" s="4" t="s">
        <v>117</v>
      </c>
      <c r="B1543" s="1">
        <v>9.6</v>
      </c>
      <c r="C1543" s="1">
        <v>1020</v>
      </c>
      <c r="D1543" s="1" t="s">
        <v>45</v>
      </c>
      <c r="E1543" s="1" t="s">
        <v>7</v>
      </c>
      <c r="F1543" s="1">
        <f t="shared" si="56"/>
        <v>960</v>
      </c>
      <c r="G1543" s="12">
        <f t="shared" si="57"/>
        <v>106.25</v>
      </c>
    </row>
    <row r="1544" spans="1:7" ht="13">
      <c r="A1544" s="4" t="s">
        <v>117</v>
      </c>
      <c r="B1544" s="1">
        <v>7.3</v>
      </c>
      <c r="C1544" s="1">
        <v>880</v>
      </c>
      <c r="D1544" s="1" t="s">
        <v>35</v>
      </c>
      <c r="E1544" s="1" t="s">
        <v>27</v>
      </c>
      <c r="F1544" s="1">
        <f t="shared" si="56"/>
        <v>730</v>
      </c>
      <c r="G1544" s="12">
        <f t="shared" si="57"/>
        <v>120.54794520547945</v>
      </c>
    </row>
    <row r="1545" spans="1:7" ht="13">
      <c r="A1545" s="4" t="s">
        <v>117</v>
      </c>
      <c r="B1545" s="1">
        <v>7.83</v>
      </c>
      <c r="C1545" s="1">
        <v>965.52</v>
      </c>
      <c r="D1545" s="1" t="s">
        <v>33</v>
      </c>
      <c r="E1545" s="1" t="s">
        <v>12</v>
      </c>
      <c r="F1545" s="1">
        <f t="shared" si="56"/>
        <v>783</v>
      </c>
      <c r="G1545" s="12">
        <f t="shared" si="57"/>
        <v>123.31034482758621</v>
      </c>
    </row>
    <row r="1546" spans="1:7" ht="13">
      <c r="A1546" s="4" t="s">
        <v>117</v>
      </c>
      <c r="B1546" s="1">
        <v>6.4</v>
      </c>
      <c r="C1546" s="1">
        <v>759</v>
      </c>
      <c r="D1546" s="1" t="s">
        <v>42</v>
      </c>
      <c r="E1546" s="1" t="s">
        <v>18</v>
      </c>
      <c r="F1546" s="1">
        <f t="shared" si="56"/>
        <v>640</v>
      </c>
      <c r="G1546" s="12">
        <f t="shared" si="57"/>
        <v>118.59375</v>
      </c>
    </row>
    <row r="1547" spans="1:7" ht="13">
      <c r="A1547" s="4" t="s">
        <v>117</v>
      </c>
      <c r="B1547" s="1">
        <v>6.9</v>
      </c>
      <c r="C1547" s="1">
        <v>840</v>
      </c>
      <c r="D1547" s="1" t="s">
        <v>47</v>
      </c>
      <c r="E1547" s="1" t="s">
        <v>24</v>
      </c>
      <c r="F1547" s="1">
        <f t="shared" si="56"/>
        <v>690</v>
      </c>
      <c r="G1547" s="12">
        <f t="shared" si="57"/>
        <v>121.73913043478261</v>
      </c>
    </row>
    <row r="1548" spans="1:7" ht="13">
      <c r="A1548" s="4" t="s">
        <v>117</v>
      </c>
      <c r="B1548" s="1">
        <v>3.5</v>
      </c>
      <c r="C1548" s="1">
        <v>400</v>
      </c>
      <c r="D1548" s="1" t="s">
        <v>55</v>
      </c>
      <c r="E1548" s="1" t="s">
        <v>15</v>
      </c>
      <c r="F1548" s="1">
        <f t="shared" si="56"/>
        <v>350</v>
      </c>
      <c r="G1548" s="12">
        <f t="shared" si="57"/>
        <v>114.28571428571429</v>
      </c>
    </row>
    <row r="1549" spans="1:7" ht="13">
      <c r="A1549" s="4" t="s">
        <v>117</v>
      </c>
      <c r="B1549" s="1">
        <v>5.92</v>
      </c>
      <c r="C1549" s="1">
        <v>741</v>
      </c>
      <c r="D1549" s="1" t="s">
        <v>11</v>
      </c>
      <c r="E1549" s="1" t="s">
        <v>17</v>
      </c>
      <c r="F1549" s="1">
        <f t="shared" si="56"/>
        <v>592</v>
      </c>
      <c r="G1549" s="12">
        <f t="shared" si="57"/>
        <v>125.16891891891892</v>
      </c>
    </row>
    <row r="1550" spans="1:7" ht="13">
      <c r="A1550" s="4" t="s">
        <v>117</v>
      </c>
      <c r="B1550" s="1">
        <v>7.8</v>
      </c>
      <c r="C1550" s="1">
        <v>937</v>
      </c>
      <c r="D1550" s="1" t="s">
        <v>53</v>
      </c>
      <c r="E1550" s="1" t="s">
        <v>9</v>
      </c>
      <c r="F1550" s="1">
        <f t="shared" si="56"/>
        <v>780</v>
      </c>
      <c r="G1550" s="12">
        <f t="shared" si="57"/>
        <v>120.12820512820512</v>
      </c>
    </row>
    <row r="1551" spans="1:7" ht="13">
      <c r="A1551" s="4" t="s">
        <v>117</v>
      </c>
      <c r="B1551" s="1">
        <v>8.6</v>
      </c>
      <c r="C1551" s="1">
        <v>1141</v>
      </c>
      <c r="D1551" s="1" t="s">
        <v>42</v>
      </c>
      <c r="E1551" s="1" t="s">
        <v>8</v>
      </c>
      <c r="F1551" s="1">
        <f t="shared" si="56"/>
        <v>860</v>
      </c>
      <c r="G1551" s="12">
        <f t="shared" si="57"/>
        <v>132.67441860465118</v>
      </c>
    </row>
    <row r="1552" spans="1:7" ht="13">
      <c r="A1552" s="4" t="s">
        <v>117</v>
      </c>
      <c r="B1552" s="1">
        <v>6</v>
      </c>
      <c r="C1552" s="1">
        <v>1022</v>
      </c>
      <c r="D1552" s="1" t="s">
        <v>43</v>
      </c>
      <c r="E1552" s="1" t="s">
        <v>17</v>
      </c>
      <c r="F1552" s="1">
        <f t="shared" si="56"/>
        <v>600</v>
      </c>
      <c r="G1552" s="12">
        <f t="shared" si="57"/>
        <v>170.33333333333334</v>
      </c>
    </row>
    <row r="1553" spans="1:7" ht="13">
      <c r="A1553" s="4" t="s">
        <v>117</v>
      </c>
      <c r="B1553" s="1">
        <v>5.6</v>
      </c>
      <c r="C1553" s="1">
        <v>733.49</v>
      </c>
      <c r="D1553" s="1" t="s">
        <v>11</v>
      </c>
      <c r="E1553" s="1" t="s">
        <v>8</v>
      </c>
      <c r="F1553" s="1">
        <f t="shared" si="56"/>
        <v>560</v>
      </c>
      <c r="G1553" s="12">
        <f t="shared" si="57"/>
        <v>130.98035714285714</v>
      </c>
    </row>
    <row r="1554" spans="1:7" ht="13">
      <c r="A1554" s="4" t="s">
        <v>117</v>
      </c>
      <c r="B1554" s="1">
        <v>3.1</v>
      </c>
      <c r="C1554" s="1">
        <v>391</v>
      </c>
      <c r="D1554" s="1" t="s">
        <v>11</v>
      </c>
      <c r="E1554" s="1" t="s">
        <v>31</v>
      </c>
      <c r="F1554" s="1">
        <f t="shared" si="56"/>
        <v>310</v>
      </c>
      <c r="G1554" s="12">
        <f t="shared" si="57"/>
        <v>126.12903225806451</v>
      </c>
    </row>
    <row r="1555" spans="1:7" ht="13">
      <c r="A1555" s="4" t="s">
        <v>117</v>
      </c>
      <c r="B1555" s="1">
        <v>4.8</v>
      </c>
      <c r="C1555" s="1">
        <v>537</v>
      </c>
      <c r="D1555" s="1" t="s">
        <v>33</v>
      </c>
      <c r="E1555" s="1" t="s">
        <v>15</v>
      </c>
      <c r="F1555" s="1">
        <f t="shared" si="56"/>
        <v>480</v>
      </c>
      <c r="G1555" s="12">
        <f t="shared" si="57"/>
        <v>111.875</v>
      </c>
    </row>
    <row r="1556" spans="1:7" ht="13">
      <c r="A1556" s="4" t="s">
        <v>117</v>
      </c>
      <c r="B1556" s="1">
        <v>7.2</v>
      </c>
      <c r="C1556" s="1">
        <v>875</v>
      </c>
      <c r="D1556" s="1" t="s">
        <v>47</v>
      </c>
      <c r="E1556" s="1" t="s">
        <v>17</v>
      </c>
      <c r="F1556" s="1">
        <f t="shared" si="56"/>
        <v>720</v>
      </c>
      <c r="G1556" s="12">
        <f t="shared" si="57"/>
        <v>121.52777777777777</v>
      </c>
    </row>
    <row r="1557" spans="1:7" ht="13">
      <c r="A1557" s="4" t="s">
        <v>117</v>
      </c>
      <c r="B1557" s="1">
        <v>7.75</v>
      </c>
      <c r="C1557" s="1">
        <v>905</v>
      </c>
      <c r="D1557" s="1" t="s">
        <v>11</v>
      </c>
      <c r="E1557" s="1" t="s">
        <v>16</v>
      </c>
      <c r="F1557" s="1">
        <f t="shared" si="56"/>
        <v>775</v>
      </c>
      <c r="G1557" s="12">
        <f t="shared" si="57"/>
        <v>116.7741935483871</v>
      </c>
    </row>
    <row r="1558" spans="1:7" ht="13">
      <c r="A1558" s="4" t="s">
        <v>117</v>
      </c>
      <c r="B1558" s="1">
        <v>7.4</v>
      </c>
      <c r="C1558" s="1">
        <v>895</v>
      </c>
      <c r="D1558" s="1" t="s">
        <v>11</v>
      </c>
      <c r="E1558" s="1" t="s">
        <v>21</v>
      </c>
      <c r="F1558" s="1">
        <f t="shared" si="56"/>
        <v>740</v>
      </c>
      <c r="G1558" s="12">
        <f t="shared" si="57"/>
        <v>120.94594594594594</v>
      </c>
    </row>
    <row r="1559" spans="1:7" ht="13">
      <c r="A1559" s="4" t="s">
        <v>117</v>
      </c>
      <c r="B1559" s="1">
        <v>7.2</v>
      </c>
      <c r="C1559" s="1">
        <v>905</v>
      </c>
      <c r="D1559" s="1" t="s">
        <v>33</v>
      </c>
      <c r="E1559" s="1" t="s">
        <v>15</v>
      </c>
      <c r="F1559" s="1">
        <f t="shared" si="56"/>
        <v>720</v>
      </c>
      <c r="G1559" s="12">
        <f t="shared" si="57"/>
        <v>125.69444444444444</v>
      </c>
    </row>
    <row r="1560" spans="1:7" ht="13">
      <c r="A1560" s="4" t="s">
        <v>117</v>
      </c>
      <c r="B1560" s="1">
        <v>7.8</v>
      </c>
      <c r="C1560" s="1">
        <v>888</v>
      </c>
      <c r="D1560" s="1" t="s">
        <v>58</v>
      </c>
      <c r="E1560" s="1" t="s">
        <v>10</v>
      </c>
      <c r="F1560" s="1">
        <f t="shared" si="56"/>
        <v>780</v>
      </c>
      <c r="G1560" s="12">
        <f t="shared" si="57"/>
        <v>113.84615384615385</v>
      </c>
    </row>
    <row r="1561" spans="1:7" ht="13">
      <c r="A1561" s="4" t="s">
        <v>117</v>
      </c>
      <c r="B1561" s="1">
        <v>7.7</v>
      </c>
      <c r="C1561" s="1">
        <v>1007</v>
      </c>
      <c r="D1561" s="1" t="s">
        <v>58</v>
      </c>
      <c r="E1561" s="1" t="s">
        <v>14</v>
      </c>
      <c r="F1561" s="1">
        <f t="shared" si="56"/>
        <v>770</v>
      </c>
      <c r="G1561" s="12">
        <f t="shared" si="57"/>
        <v>130.77922077922076</v>
      </c>
    </row>
    <row r="1562" spans="1:7" ht="13">
      <c r="A1562" s="4" t="s">
        <v>117</v>
      </c>
      <c r="B1562" s="1">
        <v>9.57</v>
      </c>
      <c r="C1562" s="1">
        <v>1080</v>
      </c>
      <c r="D1562" s="1" t="s">
        <v>11</v>
      </c>
      <c r="E1562" s="1" t="s">
        <v>14</v>
      </c>
      <c r="F1562" s="1">
        <f t="shared" si="56"/>
        <v>957</v>
      </c>
      <c r="G1562" s="12">
        <f t="shared" si="57"/>
        <v>112.85266457680251</v>
      </c>
    </row>
    <row r="1563" spans="1:7" ht="13">
      <c r="A1563" s="4" t="s">
        <v>117</v>
      </c>
      <c r="B1563" s="1">
        <v>10.3</v>
      </c>
      <c r="C1563" s="1">
        <v>1210</v>
      </c>
      <c r="D1563" s="1" t="s">
        <v>37</v>
      </c>
      <c r="E1563" s="1" t="s">
        <v>26</v>
      </c>
      <c r="F1563" s="1">
        <f t="shared" si="56"/>
        <v>1030</v>
      </c>
      <c r="G1563" s="12">
        <f t="shared" si="57"/>
        <v>117.47572815533979</v>
      </c>
    </row>
    <row r="1564" spans="1:7" ht="13">
      <c r="A1564" s="4" t="s">
        <v>117</v>
      </c>
      <c r="B1564" s="1">
        <v>5.1100000000000003</v>
      </c>
      <c r="C1564" s="1">
        <v>619</v>
      </c>
      <c r="D1564" s="1" t="s">
        <v>43</v>
      </c>
      <c r="E1564" s="1" t="s">
        <v>8</v>
      </c>
      <c r="F1564" s="1">
        <f t="shared" si="56"/>
        <v>511.00000000000006</v>
      </c>
      <c r="G1564" s="12">
        <f t="shared" si="57"/>
        <v>121.13502935420743</v>
      </c>
    </row>
    <row r="1565" spans="1:7" ht="13">
      <c r="A1565" s="4" t="s">
        <v>117</v>
      </c>
      <c r="B1565" s="1">
        <v>7.3</v>
      </c>
      <c r="C1565" s="1">
        <v>930</v>
      </c>
      <c r="D1565" s="1" t="s">
        <v>11</v>
      </c>
      <c r="E1565" s="1" t="s">
        <v>16</v>
      </c>
      <c r="F1565" s="1">
        <f t="shared" si="56"/>
        <v>730</v>
      </c>
      <c r="G1565" s="12">
        <f t="shared" si="57"/>
        <v>127.39726027397261</v>
      </c>
    </row>
    <row r="1566" spans="1:7" ht="13">
      <c r="A1566" s="4" t="s">
        <v>117</v>
      </c>
      <c r="B1566" s="1">
        <v>6.09</v>
      </c>
      <c r="C1566" s="1">
        <v>654.4</v>
      </c>
      <c r="D1566" s="1" t="s">
        <v>42</v>
      </c>
      <c r="E1566" s="1" t="s">
        <v>15</v>
      </c>
      <c r="F1566" s="1">
        <f t="shared" si="56"/>
        <v>609</v>
      </c>
      <c r="G1566" s="12">
        <f t="shared" si="57"/>
        <v>107.45484400656814</v>
      </c>
    </row>
    <row r="1567" spans="1:7" ht="13">
      <c r="A1567" s="4" t="s">
        <v>117</v>
      </c>
      <c r="B1567" s="1">
        <v>6</v>
      </c>
      <c r="C1567" s="1">
        <v>765</v>
      </c>
      <c r="D1567" s="1" t="s">
        <v>11</v>
      </c>
      <c r="E1567" s="1" t="s">
        <v>19</v>
      </c>
      <c r="F1567" s="1">
        <f t="shared" si="56"/>
        <v>600</v>
      </c>
      <c r="G1567" s="12">
        <f t="shared" si="57"/>
        <v>127.5</v>
      </c>
    </row>
    <row r="1568" spans="1:7" ht="13">
      <c r="A1568" s="4" t="s">
        <v>117</v>
      </c>
      <c r="B1568" s="1">
        <v>8.6</v>
      </c>
      <c r="C1568" s="1">
        <v>963</v>
      </c>
      <c r="D1568" s="1" t="s">
        <v>33</v>
      </c>
      <c r="E1568" s="1" t="s">
        <v>15</v>
      </c>
      <c r="F1568" s="1">
        <f t="shared" si="56"/>
        <v>860</v>
      </c>
      <c r="G1568" s="12">
        <f t="shared" si="57"/>
        <v>111.97674418604652</v>
      </c>
    </row>
    <row r="1569" spans="1:7" ht="13">
      <c r="A1569" s="4" t="s">
        <v>117</v>
      </c>
      <c r="B1569" s="1">
        <v>4.8</v>
      </c>
      <c r="C1569" s="1">
        <v>610</v>
      </c>
      <c r="D1569" s="1" t="s">
        <v>38</v>
      </c>
      <c r="E1569" s="1" t="s">
        <v>21</v>
      </c>
      <c r="F1569" s="1">
        <f t="shared" si="56"/>
        <v>480</v>
      </c>
      <c r="G1569" s="12">
        <f t="shared" si="57"/>
        <v>127.08333333333334</v>
      </c>
    </row>
    <row r="1570" spans="1:7" ht="13">
      <c r="A1570" s="4" t="s">
        <v>117</v>
      </c>
      <c r="B1570" s="1">
        <v>8700</v>
      </c>
      <c r="C1570" s="1">
        <v>1124.2</v>
      </c>
      <c r="D1570" s="1" t="s">
        <v>11</v>
      </c>
      <c r="E1570" s="1" t="s">
        <v>7</v>
      </c>
      <c r="F1570" s="1">
        <f t="shared" si="56"/>
        <v>870000</v>
      </c>
      <c r="G1570" s="12">
        <f t="shared" si="57"/>
        <v>0.12921839080459771</v>
      </c>
    </row>
    <row r="1571" spans="1:7" ht="13">
      <c r="A1571" s="4" t="s">
        <v>117</v>
      </c>
      <c r="B1571" s="1">
        <v>3.48</v>
      </c>
      <c r="C1571" s="1">
        <v>441</v>
      </c>
      <c r="D1571" s="1" t="s">
        <v>11</v>
      </c>
      <c r="E1571" s="1" t="s">
        <v>7</v>
      </c>
      <c r="F1571" s="1">
        <f t="shared" si="56"/>
        <v>348</v>
      </c>
      <c r="G1571" s="12">
        <f t="shared" si="57"/>
        <v>126.72413793103448</v>
      </c>
    </row>
    <row r="1572" spans="1:7" ht="13">
      <c r="A1572" s="4" t="s">
        <v>117</v>
      </c>
      <c r="B1572" s="1">
        <v>6.4</v>
      </c>
      <c r="C1572" s="1">
        <v>789</v>
      </c>
      <c r="D1572" s="1" t="s">
        <v>38</v>
      </c>
      <c r="E1572" s="1" t="s">
        <v>9</v>
      </c>
      <c r="F1572" s="1">
        <f t="shared" si="56"/>
        <v>640</v>
      </c>
      <c r="G1572" s="12">
        <f t="shared" si="57"/>
        <v>123.28125</v>
      </c>
    </row>
    <row r="1573" spans="1:7" ht="13">
      <c r="A1573" s="4" t="s">
        <v>117</v>
      </c>
      <c r="B1573" s="1">
        <v>6.96</v>
      </c>
      <c r="C1573" s="1">
        <v>812</v>
      </c>
      <c r="D1573" s="1" t="s">
        <v>42</v>
      </c>
      <c r="E1573" s="1" t="s">
        <v>12</v>
      </c>
      <c r="F1573" s="1">
        <f t="shared" si="56"/>
        <v>696</v>
      </c>
      <c r="G1573" s="12">
        <f t="shared" si="57"/>
        <v>116.66666666666667</v>
      </c>
    </row>
    <row r="1574" spans="1:7" ht="13">
      <c r="A1574" s="4" t="s">
        <v>117</v>
      </c>
      <c r="B1574" s="1">
        <v>3</v>
      </c>
      <c r="C1574" s="1">
        <v>388</v>
      </c>
      <c r="D1574" s="1" t="s">
        <v>11</v>
      </c>
      <c r="E1574" s="1" t="s">
        <v>26</v>
      </c>
      <c r="F1574" s="1">
        <f t="shared" si="56"/>
        <v>300</v>
      </c>
      <c r="G1574" s="12">
        <f t="shared" si="57"/>
        <v>129.33333333333334</v>
      </c>
    </row>
    <row r="1575" spans="1:7" ht="13">
      <c r="A1575" s="4" t="s">
        <v>117</v>
      </c>
      <c r="B1575" s="1">
        <v>9.1999999999999993</v>
      </c>
      <c r="C1575" s="1">
        <v>1122</v>
      </c>
      <c r="D1575" s="1" t="s">
        <v>33</v>
      </c>
      <c r="E1575" s="1" t="s">
        <v>20</v>
      </c>
      <c r="F1575" s="1">
        <f t="shared" si="56"/>
        <v>919.99999999999989</v>
      </c>
      <c r="G1575" s="12">
        <f t="shared" si="57"/>
        <v>121.95652173913044</v>
      </c>
    </row>
    <row r="1576" spans="1:7" ht="13">
      <c r="A1576" s="4" t="s">
        <v>117</v>
      </c>
      <c r="B1576" s="1">
        <v>7.74</v>
      </c>
      <c r="C1576" s="1">
        <v>950</v>
      </c>
      <c r="D1576" s="1" t="s">
        <v>33</v>
      </c>
      <c r="E1576" s="1" t="s">
        <v>16</v>
      </c>
      <c r="F1576" s="1">
        <f t="shared" si="56"/>
        <v>774</v>
      </c>
      <c r="G1576" s="12">
        <f t="shared" si="57"/>
        <v>122.7390180878553</v>
      </c>
    </row>
    <row r="1577" spans="1:7" ht="13">
      <c r="A1577" s="4" t="s">
        <v>117</v>
      </c>
      <c r="B1577" s="1">
        <v>5.4</v>
      </c>
      <c r="C1577" s="1">
        <v>741</v>
      </c>
      <c r="D1577" s="1" t="s">
        <v>38</v>
      </c>
      <c r="E1577" s="1" t="s">
        <v>8</v>
      </c>
      <c r="F1577" s="1">
        <f t="shared" si="56"/>
        <v>540</v>
      </c>
      <c r="G1577" s="12">
        <f t="shared" si="57"/>
        <v>137.2222222222222</v>
      </c>
    </row>
    <row r="1578" spans="1:7" ht="13">
      <c r="A1578" s="4" t="s">
        <v>117</v>
      </c>
      <c r="B1578" s="1">
        <v>6.4</v>
      </c>
      <c r="C1578" s="1">
        <v>872</v>
      </c>
      <c r="D1578" s="1" t="s">
        <v>11</v>
      </c>
      <c r="E1578" s="1" t="s">
        <v>32</v>
      </c>
      <c r="F1578" s="1">
        <f t="shared" si="56"/>
        <v>640</v>
      </c>
      <c r="G1578" s="12">
        <f t="shared" si="57"/>
        <v>136.25</v>
      </c>
    </row>
    <row r="1579" spans="1:7" ht="13">
      <c r="A1579" s="4" t="s">
        <v>117</v>
      </c>
      <c r="B1579" s="1">
        <v>7.8</v>
      </c>
      <c r="C1579" s="1">
        <v>1002</v>
      </c>
      <c r="D1579" s="1" t="s">
        <v>11</v>
      </c>
      <c r="E1579" s="1" t="s">
        <v>17</v>
      </c>
      <c r="F1579" s="1">
        <f t="shared" si="56"/>
        <v>780</v>
      </c>
      <c r="G1579" s="12">
        <f t="shared" si="57"/>
        <v>128.46153846153845</v>
      </c>
    </row>
    <row r="1580" spans="1:7" ht="13">
      <c r="A1580" s="4" t="s">
        <v>117</v>
      </c>
      <c r="B1580" s="1">
        <v>7.74</v>
      </c>
      <c r="C1580" s="1">
        <v>1001</v>
      </c>
      <c r="D1580" s="1" t="s">
        <v>11</v>
      </c>
      <c r="E1580" s="1" t="s">
        <v>17</v>
      </c>
      <c r="F1580" s="1">
        <f t="shared" si="56"/>
        <v>774</v>
      </c>
      <c r="G1580" s="12">
        <f t="shared" si="57"/>
        <v>129.32816537467701</v>
      </c>
    </row>
    <row r="1581" spans="1:7" ht="13">
      <c r="A1581" s="4" t="s">
        <v>117</v>
      </c>
      <c r="B1581" s="1">
        <v>8</v>
      </c>
      <c r="C1581" s="1">
        <v>741</v>
      </c>
      <c r="D1581" s="1" t="s">
        <v>11</v>
      </c>
      <c r="E1581" s="1" t="s">
        <v>22</v>
      </c>
      <c r="F1581" s="1">
        <f t="shared" si="56"/>
        <v>800</v>
      </c>
      <c r="G1581" s="12">
        <f t="shared" si="57"/>
        <v>92.625</v>
      </c>
    </row>
    <row r="1582" spans="1:7" ht="13">
      <c r="A1582" s="4" t="s">
        <v>117</v>
      </c>
      <c r="B1582" s="1">
        <v>8</v>
      </c>
      <c r="C1582" s="1">
        <v>906</v>
      </c>
      <c r="D1582" s="1" t="s">
        <v>98</v>
      </c>
      <c r="E1582" s="1" t="s">
        <v>15</v>
      </c>
      <c r="F1582" s="1">
        <f t="shared" si="56"/>
        <v>800</v>
      </c>
      <c r="G1582" s="12">
        <f t="shared" si="57"/>
        <v>113.25</v>
      </c>
    </row>
    <row r="1583" spans="1:7" ht="13">
      <c r="A1583" s="4" t="s">
        <v>117</v>
      </c>
      <c r="B1583" s="1">
        <v>6.96</v>
      </c>
      <c r="C1583" s="1">
        <v>824</v>
      </c>
      <c r="D1583" s="1" t="s">
        <v>33</v>
      </c>
      <c r="E1583" s="1" t="s">
        <v>12</v>
      </c>
      <c r="F1583" s="1">
        <f t="shared" si="56"/>
        <v>696</v>
      </c>
      <c r="G1583" s="12">
        <f t="shared" si="57"/>
        <v>118.39080459770115</v>
      </c>
    </row>
    <row r="1584" spans="1:7" ht="13">
      <c r="A1584" s="4" t="s">
        <v>117</v>
      </c>
      <c r="B1584" s="1">
        <v>6.8</v>
      </c>
      <c r="C1584" s="1">
        <v>822</v>
      </c>
      <c r="D1584" s="1" t="s">
        <v>11</v>
      </c>
      <c r="E1584" s="1" t="s">
        <v>26</v>
      </c>
      <c r="F1584" s="1">
        <f t="shared" si="56"/>
        <v>680</v>
      </c>
      <c r="G1584" s="12">
        <f t="shared" si="57"/>
        <v>120.88235294117648</v>
      </c>
    </row>
    <row r="1585" spans="1:7" ht="13">
      <c r="A1585" s="4" t="s">
        <v>117</v>
      </c>
      <c r="B1585" s="1">
        <v>6.5</v>
      </c>
      <c r="C1585" s="1">
        <v>855</v>
      </c>
      <c r="D1585" s="1" t="s">
        <v>11</v>
      </c>
      <c r="E1585" s="1" t="s">
        <v>7</v>
      </c>
      <c r="F1585" s="1">
        <f t="shared" si="56"/>
        <v>650</v>
      </c>
      <c r="G1585" s="12">
        <f t="shared" si="57"/>
        <v>131.53846153846155</v>
      </c>
    </row>
    <row r="1586" spans="1:7" ht="13">
      <c r="A1586" s="4" t="s">
        <v>117</v>
      </c>
      <c r="B1586" s="1">
        <v>4.8600000000000003</v>
      </c>
      <c r="C1586" s="1">
        <v>596</v>
      </c>
      <c r="D1586" s="1" t="s">
        <v>38</v>
      </c>
      <c r="E1586" s="1" t="s">
        <v>15</v>
      </c>
      <c r="F1586" s="1">
        <f t="shared" si="56"/>
        <v>486.00000000000006</v>
      </c>
      <c r="G1586" s="12">
        <f t="shared" si="57"/>
        <v>122.63374485596707</v>
      </c>
    </row>
    <row r="1587" spans="1:7" ht="13">
      <c r="A1587" s="4" t="s">
        <v>117</v>
      </c>
      <c r="B1587" s="1">
        <v>4.1500000000000004</v>
      </c>
      <c r="C1587" s="1">
        <v>567</v>
      </c>
      <c r="D1587" s="1" t="s">
        <v>38</v>
      </c>
      <c r="E1587" s="1" t="s">
        <v>8</v>
      </c>
      <c r="F1587" s="1">
        <f t="shared" si="56"/>
        <v>415.00000000000006</v>
      </c>
      <c r="G1587" s="12">
        <f t="shared" si="57"/>
        <v>136.62650602409639</v>
      </c>
    </row>
    <row r="1588" spans="1:7" ht="13">
      <c r="A1588" s="4" t="s">
        <v>117</v>
      </c>
      <c r="B1588" s="1">
        <v>8.1</v>
      </c>
      <c r="C1588" s="1">
        <v>971</v>
      </c>
      <c r="D1588" s="1" t="s">
        <v>35</v>
      </c>
      <c r="E1588" s="1" t="s">
        <v>7</v>
      </c>
      <c r="F1588" s="1">
        <f t="shared" si="56"/>
        <v>810</v>
      </c>
      <c r="G1588" s="12">
        <f t="shared" si="57"/>
        <v>119.87654320987654</v>
      </c>
    </row>
    <row r="1589" spans="1:7" ht="13">
      <c r="A1589" s="4" t="s">
        <v>117</v>
      </c>
      <c r="B1589" s="1">
        <v>7.4</v>
      </c>
      <c r="C1589" s="1">
        <v>984</v>
      </c>
      <c r="D1589" s="1" t="s">
        <v>33</v>
      </c>
      <c r="E1589" s="1" t="s">
        <v>23</v>
      </c>
      <c r="F1589" s="1">
        <f t="shared" si="56"/>
        <v>740</v>
      </c>
      <c r="G1589" s="12">
        <f t="shared" si="57"/>
        <v>132.97297297297297</v>
      </c>
    </row>
    <row r="1590" spans="1:7" ht="13">
      <c r="A1590" s="4" t="s">
        <v>117</v>
      </c>
      <c r="B1590" s="1">
        <v>4.0999999999999996</v>
      </c>
      <c r="C1590" s="1">
        <v>525</v>
      </c>
      <c r="D1590" s="1" t="s">
        <v>38</v>
      </c>
      <c r="E1590" s="1" t="s">
        <v>16</v>
      </c>
      <c r="F1590" s="1">
        <f t="shared" si="56"/>
        <v>409.99999999999994</v>
      </c>
      <c r="G1590" s="12">
        <f t="shared" si="57"/>
        <v>128.04878048780489</v>
      </c>
    </row>
    <row r="1591" spans="1:7" ht="13">
      <c r="A1591" s="4" t="s">
        <v>117</v>
      </c>
      <c r="B1591" s="1">
        <v>5.8</v>
      </c>
      <c r="C1591" s="1">
        <v>603</v>
      </c>
      <c r="D1591" s="1" t="s">
        <v>11</v>
      </c>
      <c r="E1591" s="1" t="s">
        <v>16</v>
      </c>
      <c r="F1591" s="1">
        <f t="shared" si="56"/>
        <v>580</v>
      </c>
      <c r="G1591" s="12">
        <f t="shared" si="57"/>
        <v>103.96551724137932</v>
      </c>
    </row>
    <row r="1592" spans="1:7" ht="13">
      <c r="A1592" s="4" t="s">
        <v>117</v>
      </c>
      <c r="B1592" s="1">
        <v>6.9</v>
      </c>
      <c r="C1592" s="1">
        <v>774</v>
      </c>
      <c r="D1592" s="1" t="s">
        <v>11</v>
      </c>
      <c r="E1592" s="1" t="s">
        <v>68</v>
      </c>
      <c r="F1592" s="1">
        <f t="shared" si="56"/>
        <v>690</v>
      </c>
      <c r="G1592" s="12">
        <f t="shared" si="57"/>
        <v>112.17391304347825</v>
      </c>
    </row>
    <row r="1593" spans="1:7" ht="13">
      <c r="A1593" s="4" t="s">
        <v>117</v>
      </c>
      <c r="B1593" s="1">
        <v>5.6</v>
      </c>
      <c r="C1593" s="1">
        <v>595</v>
      </c>
      <c r="D1593" s="1" t="s">
        <v>33</v>
      </c>
      <c r="E1593" s="1" t="s">
        <v>7</v>
      </c>
      <c r="F1593" s="1">
        <f t="shared" si="56"/>
        <v>560</v>
      </c>
      <c r="G1593" s="12">
        <f t="shared" si="57"/>
        <v>106.25</v>
      </c>
    </row>
    <row r="1594" spans="1:7" ht="13">
      <c r="A1594" s="4" t="s">
        <v>117</v>
      </c>
      <c r="B1594" s="1">
        <v>7.56</v>
      </c>
      <c r="C1594" s="1">
        <v>876</v>
      </c>
      <c r="D1594" s="1" t="s">
        <v>53</v>
      </c>
      <c r="E1594" s="1" t="s">
        <v>31</v>
      </c>
      <c r="F1594" s="1">
        <f t="shared" si="56"/>
        <v>756</v>
      </c>
      <c r="G1594" s="12">
        <f t="shared" si="57"/>
        <v>115.87301587301587</v>
      </c>
    </row>
    <row r="1595" spans="1:7" ht="13">
      <c r="A1595" s="4" t="s">
        <v>117</v>
      </c>
      <c r="B1595" s="1">
        <v>7.74</v>
      </c>
      <c r="C1595" s="1">
        <v>832</v>
      </c>
      <c r="D1595" s="1" t="s">
        <v>33</v>
      </c>
      <c r="E1595" s="1" t="s">
        <v>26</v>
      </c>
      <c r="F1595" s="1">
        <f t="shared" si="56"/>
        <v>774</v>
      </c>
      <c r="G1595" s="12">
        <f t="shared" si="57"/>
        <v>107.49354005167959</v>
      </c>
    </row>
    <row r="1596" spans="1:7" ht="13">
      <c r="A1596" s="4" t="s">
        <v>117</v>
      </c>
      <c r="B1596" s="1">
        <v>6.4</v>
      </c>
      <c r="C1596" s="1">
        <v>785</v>
      </c>
      <c r="D1596" s="1" t="s">
        <v>11</v>
      </c>
      <c r="E1596" s="1" t="s">
        <v>26</v>
      </c>
      <c r="F1596" s="1">
        <f t="shared" si="56"/>
        <v>640</v>
      </c>
      <c r="G1596" s="12">
        <f t="shared" si="57"/>
        <v>122.65625</v>
      </c>
    </row>
    <row r="1597" spans="1:7" ht="13">
      <c r="A1597" s="4" t="s">
        <v>117</v>
      </c>
      <c r="B1597" s="1">
        <v>6.4</v>
      </c>
      <c r="C1597" s="1">
        <v>640</v>
      </c>
      <c r="D1597" s="1" t="s">
        <v>35</v>
      </c>
      <c r="E1597" s="1" t="s">
        <v>18</v>
      </c>
      <c r="F1597" s="1">
        <f t="shared" si="56"/>
        <v>640</v>
      </c>
      <c r="G1597" s="12">
        <f t="shared" si="57"/>
        <v>100</v>
      </c>
    </row>
    <row r="1598" spans="1:7" ht="13">
      <c r="A1598" s="4" t="s">
        <v>117</v>
      </c>
      <c r="B1598" s="1">
        <v>7.8</v>
      </c>
      <c r="C1598" s="1">
        <v>840</v>
      </c>
      <c r="D1598" s="1" t="s">
        <v>11</v>
      </c>
      <c r="E1598" s="1" t="s">
        <v>17</v>
      </c>
      <c r="F1598" s="1">
        <f t="shared" si="56"/>
        <v>780</v>
      </c>
      <c r="G1598" s="12">
        <f t="shared" si="57"/>
        <v>107.69230769230769</v>
      </c>
    </row>
    <row r="1599" spans="1:7" ht="13">
      <c r="A1599" s="4" t="s">
        <v>117</v>
      </c>
      <c r="B1599" s="1">
        <v>7.56</v>
      </c>
      <c r="C1599" s="1">
        <v>853</v>
      </c>
      <c r="D1599" s="1" t="s">
        <v>11</v>
      </c>
      <c r="E1599" s="1" t="s">
        <v>21</v>
      </c>
      <c r="F1599" s="1">
        <f t="shared" si="56"/>
        <v>756</v>
      </c>
      <c r="G1599" s="12">
        <f t="shared" si="57"/>
        <v>112.83068783068784</v>
      </c>
    </row>
    <row r="1600" spans="1:7" ht="13">
      <c r="A1600" s="4" t="s">
        <v>117</v>
      </c>
      <c r="B1600" s="1">
        <v>7.7</v>
      </c>
      <c r="C1600" s="1">
        <v>936</v>
      </c>
      <c r="D1600" s="1" t="s">
        <v>11</v>
      </c>
      <c r="E1600" s="1" t="s">
        <v>49</v>
      </c>
      <c r="F1600" s="1">
        <f t="shared" si="56"/>
        <v>770</v>
      </c>
      <c r="G1600" s="12">
        <f t="shared" si="57"/>
        <v>121.55844155844156</v>
      </c>
    </row>
    <row r="1601" spans="1:7" ht="13">
      <c r="A1601" s="4" t="s">
        <v>117</v>
      </c>
      <c r="B1601" s="1">
        <v>4</v>
      </c>
      <c r="C1601" s="1">
        <v>478</v>
      </c>
      <c r="D1601" s="1" t="s">
        <v>43</v>
      </c>
      <c r="E1601" s="1" t="s">
        <v>15</v>
      </c>
      <c r="F1601" s="1">
        <f t="shared" si="56"/>
        <v>400</v>
      </c>
      <c r="G1601" s="12">
        <f t="shared" si="57"/>
        <v>119.5</v>
      </c>
    </row>
    <row r="1602" spans="1:7" ht="13">
      <c r="A1602" s="4" t="s">
        <v>117</v>
      </c>
      <c r="B1602" s="1">
        <v>5.4</v>
      </c>
      <c r="C1602" s="1">
        <v>714</v>
      </c>
      <c r="D1602" s="1" t="s">
        <v>33</v>
      </c>
      <c r="E1602" s="1" t="s">
        <v>25</v>
      </c>
      <c r="F1602" s="1">
        <f t="shared" si="56"/>
        <v>540</v>
      </c>
      <c r="G1602" s="12">
        <f t="shared" si="57"/>
        <v>132.2222222222222</v>
      </c>
    </row>
    <row r="1603" spans="1:7" ht="13">
      <c r="A1603" s="4" t="s">
        <v>117</v>
      </c>
      <c r="B1603" s="1">
        <v>6</v>
      </c>
      <c r="C1603" s="1">
        <v>666.07</v>
      </c>
      <c r="D1603" s="1" t="s">
        <v>33</v>
      </c>
      <c r="E1603" s="1" t="s">
        <v>15</v>
      </c>
      <c r="F1603" s="1">
        <f t="shared" ref="F1603:F1666" si="58">B1603*100</f>
        <v>600</v>
      </c>
      <c r="G1603" s="12">
        <f t="shared" ref="G1603:G1666" si="59">C1603/B1603</f>
        <v>111.01166666666667</v>
      </c>
    </row>
    <row r="1604" spans="1:7" ht="13">
      <c r="A1604" s="4" t="s">
        <v>117</v>
      </c>
      <c r="B1604" s="1">
        <v>12.04</v>
      </c>
      <c r="C1604" s="1">
        <v>1450</v>
      </c>
      <c r="D1604" s="1" t="s">
        <v>11</v>
      </c>
      <c r="E1604" s="1" t="s">
        <v>8</v>
      </c>
      <c r="F1604" s="1">
        <f t="shared" si="58"/>
        <v>1204</v>
      </c>
      <c r="G1604" s="12">
        <f t="shared" si="59"/>
        <v>120.43189368770766</v>
      </c>
    </row>
    <row r="1605" spans="1:7" ht="13">
      <c r="A1605" s="4" t="s">
        <v>117</v>
      </c>
      <c r="B1605" s="1">
        <v>20</v>
      </c>
      <c r="C1605" s="1">
        <v>900</v>
      </c>
      <c r="D1605" s="1" t="s">
        <v>11</v>
      </c>
      <c r="E1605" s="1" t="s">
        <v>7</v>
      </c>
      <c r="F1605" s="1">
        <f t="shared" si="58"/>
        <v>2000</v>
      </c>
      <c r="G1605" s="12">
        <f t="shared" si="59"/>
        <v>45</v>
      </c>
    </row>
    <row r="1606" spans="1:7" ht="13">
      <c r="A1606" s="4" t="s">
        <v>117</v>
      </c>
      <c r="B1606" s="1">
        <v>9</v>
      </c>
      <c r="C1606" s="1">
        <v>1209</v>
      </c>
      <c r="D1606" s="1" t="s">
        <v>11</v>
      </c>
      <c r="E1606" s="1" t="s">
        <v>12</v>
      </c>
      <c r="F1606" s="1">
        <f t="shared" si="58"/>
        <v>900</v>
      </c>
      <c r="G1606" s="12">
        <f t="shared" si="59"/>
        <v>134.33333333333334</v>
      </c>
    </row>
    <row r="1607" spans="1:7" ht="13">
      <c r="A1607" s="4" t="s">
        <v>117</v>
      </c>
      <c r="B1607" s="1">
        <v>6.4</v>
      </c>
      <c r="C1607" s="1">
        <v>835</v>
      </c>
      <c r="D1607" s="1" t="s">
        <v>45</v>
      </c>
      <c r="E1607" s="1" t="s">
        <v>8</v>
      </c>
      <c r="F1607" s="1">
        <f t="shared" si="58"/>
        <v>640</v>
      </c>
      <c r="G1607" s="12">
        <f t="shared" si="59"/>
        <v>130.46875</v>
      </c>
    </row>
    <row r="1608" spans="1:7" ht="13">
      <c r="A1608" s="4" t="s">
        <v>117</v>
      </c>
      <c r="B1608" s="1">
        <v>6.24</v>
      </c>
      <c r="C1608" s="1">
        <v>980.8</v>
      </c>
      <c r="D1608" s="1" t="s">
        <v>11</v>
      </c>
      <c r="E1608" s="1" t="s">
        <v>17</v>
      </c>
      <c r="F1608" s="1">
        <f t="shared" si="58"/>
        <v>624</v>
      </c>
      <c r="G1608" s="12">
        <f t="shared" si="59"/>
        <v>157.17948717948715</v>
      </c>
    </row>
    <row r="1609" spans="1:7" ht="13">
      <c r="A1609" s="4" t="s">
        <v>117</v>
      </c>
      <c r="B1609" s="1">
        <v>5.74</v>
      </c>
      <c r="C1609" s="1">
        <v>628</v>
      </c>
      <c r="D1609" s="1" t="s">
        <v>11</v>
      </c>
      <c r="E1609" s="1" t="s">
        <v>15</v>
      </c>
      <c r="F1609" s="1">
        <f t="shared" si="58"/>
        <v>574</v>
      </c>
      <c r="G1609" s="12">
        <f t="shared" si="59"/>
        <v>109.40766550522648</v>
      </c>
    </row>
    <row r="1610" spans="1:7" ht="13">
      <c r="A1610" s="4" t="s">
        <v>117</v>
      </c>
      <c r="B1610" s="1">
        <v>4</v>
      </c>
      <c r="C1610" s="1">
        <v>479</v>
      </c>
      <c r="D1610" s="1" t="s">
        <v>11</v>
      </c>
      <c r="E1610" s="1" t="s">
        <v>8</v>
      </c>
      <c r="F1610" s="1">
        <f t="shared" si="58"/>
        <v>400</v>
      </c>
      <c r="G1610" s="12">
        <f t="shared" si="59"/>
        <v>119.75</v>
      </c>
    </row>
    <row r="1611" spans="1:7" ht="13">
      <c r="A1611" s="4" t="s">
        <v>117</v>
      </c>
      <c r="B1611" s="1">
        <v>6.72</v>
      </c>
      <c r="C1611" s="1">
        <v>814</v>
      </c>
      <c r="D1611" s="1" t="s">
        <v>33</v>
      </c>
      <c r="E1611" s="1" t="s">
        <v>27</v>
      </c>
      <c r="F1611" s="1">
        <f t="shared" si="58"/>
        <v>672</v>
      </c>
      <c r="G1611" s="12">
        <f t="shared" si="59"/>
        <v>121.13095238095238</v>
      </c>
    </row>
    <row r="1612" spans="1:7" ht="13">
      <c r="A1612" s="4" t="s">
        <v>117</v>
      </c>
      <c r="B1612" s="1">
        <v>5.39</v>
      </c>
      <c r="C1612" s="1">
        <v>843</v>
      </c>
      <c r="D1612" s="1" t="s">
        <v>11</v>
      </c>
      <c r="E1612" s="1" t="s">
        <v>26</v>
      </c>
      <c r="F1612" s="1">
        <f t="shared" si="58"/>
        <v>539</v>
      </c>
      <c r="G1612" s="12">
        <f t="shared" si="59"/>
        <v>156.40074211502784</v>
      </c>
    </row>
    <row r="1613" spans="1:7" ht="13">
      <c r="A1613" s="4" t="s">
        <v>117</v>
      </c>
      <c r="B1613" s="1">
        <v>7.74</v>
      </c>
      <c r="C1613" s="1">
        <v>958</v>
      </c>
      <c r="D1613" s="1" t="s">
        <v>33</v>
      </c>
      <c r="E1613" s="1" t="s">
        <v>16</v>
      </c>
      <c r="F1613" s="1">
        <f t="shared" si="58"/>
        <v>774</v>
      </c>
      <c r="G1613" s="12">
        <f t="shared" si="59"/>
        <v>123.77260981912144</v>
      </c>
    </row>
    <row r="1614" spans="1:7" ht="13">
      <c r="A1614" s="4" t="s">
        <v>117</v>
      </c>
      <c r="B1614" s="1">
        <v>8.6</v>
      </c>
      <c r="C1614" s="1">
        <v>966</v>
      </c>
      <c r="D1614" s="1" t="s">
        <v>40</v>
      </c>
      <c r="E1614" s="1" t="s">
        <v>68</v>
      </c>
      <c r="F1614" s="1">
        <f t="shared" si="58"/>
        <v>860</v>
      </c>
      <c r="G1614" s="12">
        <f t="shared" si="59"/>
        <v>112.32558139534885</v>
      </c>
    </row>
    <row r="1615" spans="1:7" ht="13">
      <c r="A1615" s="4" t="s">
        <v>117</v>
      </c>
      <c r="B1615" s="1">
        <v>6</v>
      </c>
      <c r="C1615" s="1">
        <v>754</v>
      </c>
      <c r="D1615" s="1" t="s">
        <v>11</v>
      </c>
      <c r="E1615" s="1" t="s">
        <v>12</v>
      </c>
      <c r="F1615" s="1">
        <f t="shared" si="58"/>
        <v>600</v>
      </c>
      <c r="G1615" s="12">
        <f t="shared" si="59"/>
        <v>125.66666666666667</v>
      </c>
    </row>
    <row r="1616" spans="1:7" ht="13">
      <c r="A1616" s="4" t="s">
        <v>117</v>
      </c>
      <c r="B1616" s="1">
        <v>7.74</v>
      </c>
      <c r="C1616" s="1">
        <v>884</v>
      </c>
      <c r="D1616" s="1" t="s">
        <v>37</v>
      </c>
      <c r="E1616" s="1" t="s">
        <v>16</v>
      </c>
      <c r="F1616" s="1">
        <f t="shared" si="58"/>
        <v>774</v>
      </c>
      <c r="G1616" s="12">
        <f t="shared" si="59"/>
        <v>114.21188630490956</v>
      </c>
    </row>
    <row r="1617" spans="1:7" ht="13">
      <c r="A1617" s="4" t="s">
        <v>117</v>
      </c>
      <c r="B1617" s="1">
        <v>8.8000000000000007</v>
      </c>
      <c r="C1617" s="1">
        <v>874</v>
      </c>
      <c r="D1617" s="1" t="s">
        <v>47</v>
      </c>
      <c r="E1617" s="1" t="s">
        <v>30</v>
      </c>
      <c r="F1617" s="1">
        <f t="shared" si="58"/>
        <v>880.00000000000011</v>
      </c>
      <c r="G1617" s="12">
        <f t="shared" si="59"/>
        <v>99.318181818181813</v>
      </c>
    </row>
    <row r="1618" spans="1:7" ht="13">
      <c r="A1618" s="4" t="s">
        <v>117</v>
      </c>
      <c r="B1618" s="1">
        <v>6.5</v>
      </c>
      <c r="C1618" s="1">
        <v>747</v>
      </c>
      <c r="D1618" s="1" t="s">
        <v>39</v>
      </c>
      <c r="E1618" s="1" t="s">
        <v>30</v>
      </c>
      <c r="F1618" s="1">
        <f t="shared" si="58"/>
        <v>650</v>
      </c>
      <c r="G1618" s="12">
        <f t="shared" si="59"/>
        <v>114.92307692307692</v>
      </c>
    </row>
    <row r="1619" spans="1:7" ht="13">
      <c r="A1619" s="4" t="s">
        <v>117</v>
      </c>
      <c r="B1619" s="1">
        <v>6.04</v>
      </c>
      <c r="C1619" s="1">
        <v>862</v>
      </c>
      <c r="D1619" s="1" t="s">
        <v>99</v>
      </c>
      <c r="E1619" s="1" t="s">
        <v>8</v>
      </c>
      <c r="F1619" s="1">
        <f t="shared" si="58"/>
        <v>604</v>
      </c>
      <c r="G1619" s="12">
        <f t="shared" si="59"/>
        <v>142.71523178807948</v>
      </c>
    </row>
    <row r="1620" spans="1:7" ht="13">
      <c r="A1620" s="4" t="s">
        <v>117</v>
      </c>
      <c r="B1620" s="1">
        <v>4.3</v>
      </c>
      <c r="C1620" s="1">
        <v>538</v>
      </c>
      <c r="D1620" s="1" t="s">
        <v>39</v>
      </c>
      <c r="E1620" s="1" t="s">
        <v>16</v>
      </c>
      <c r="F1620" s="1">
        <f t="shared" si="58"/>
        <v>430</v>
      </c>
      <c r="G1620" s="12">
        <f t="shared" si="59"/>
        <v>125.11627906976744</v>
      </c>
    </row>
    <row r="1621" spans="1:7" ht="13">
      <c r="A1621" s="4" t="s">
        <v>117</v>
      </c>
      <c r="B1621" s="1">
        <v>5</v>
      </c>
      <c r="C1621" s="1">
        <v>656</v>
      </c>
      <c r="D1621" s="1" t="s">
        <v>34</v>
      </c>
      <c r="E1621" s="1" t="s">
        <v>30</v>
      </c>
      <c r="F1621" s="1">
        <f t="shared" si="58"/>
        <v>500</v>
      </c>
      <c r="G1621" s="12">
        <f t="shared" si="59"/>
        <v>131.19999999999999</v>
      </c>
    </row>
    <row r="1622" spans="1:7" ht="13">
      <c r="A1622" s="4" t="s">
        <v>117</v>
      </c>
      <c r="B1622" s="1">
        <v>10.3</v>
      </c>
      <c r="C1622" s="1">
        <v>1230</v>
      </c>
      <c r="D1622" s="1" t="s">
        <v>40</v>
      </c>
      <c r="E1622" s="1" t="s">
        <v>17</v>
      </c>
      <c r="F1622" s="1">
        <f t="shared" si="58"/>
        <v>1030</v>
      </c>
      <c r="G1622" s="12">
        <f t="shared" si="59"/>
        <v>119.41747572815534</v>
      </c>
    </row>
    <row r="1623" spans="1:7" ht="13">
      <c r="A1623" s="4" t="s">
        <v>117</v>
      </c>
      <c r="B1623" s="1">
        <v>6.4</v>
      </c>
      <c r="C1623" s="1">
        <v>784.7</v>
      </c>
      <c r="D1623" s="1" t="s">
        <v>33</v>
      </c>
      <c r="E1623" s="1" t="s">
        <v>15</v>
      </c>
      <c r="F1623" s="1">
        <f t="shared" si="58"/>
        <v>640</v>
      </c>
      <c r="G1623" s="12">
        <f t="shared" si="59"/>
        <v>122.609375</v>
      </c>
    </row>
    <row r="1624" spans="1:7" ht="13">
      <c r="A1624" s="4" t="s">
        <v>117</v>
      </c>
      <c r="B1624" s="1">
        <v>7.8</v>
      </c>
      <c r="C1624" s="1">
        <v>1008</v>
      </c>
      <c r="D1624" s="1" t="s">
        <v>47</v>
      </c>
      <c r="E1624" s="1" t="s">
        <v>8</v>
      </c>
      <c r="F1624" s="1">
        <f t="shared" si="58"/>
        <v>780</v>
      </c>
      <c r="G1624" s="12">
        <f t="shared" si="59"/>
        <v>129.23076923076923</v>
      </c>
    </row>
    <row r="1625" spans="1:7" ht="13">
      <c r="A1625" s="4" t="s">
        <v>117</v>
      </c>
      <c r="B1625" s="1">
        <v>5.12</v>
      </c>
      <c r="C1625" s="1">
        <v>608</v>
      </c>
      <c r="D1625" s="1" t="s">
        <v>39</v>
      </c>
      <c r="E1625" s="1" t="s">
        <v>15</v>
      </c>
      <c r="F1625" s="1">
        <f t="shared" si="58"/>
        <v>512</v>
      </c>
      <c r="G1625" s="12">
        <f t="shared" si="59"/>
        <v>118.75</v>
      </c>
    </row>
    <row r="1626" spans="1:7" ht="13">
      <c r="A1626" s="4" t="s">
        <v>117</v>
      </c>
      <c r="B1626" s="1">
        <v>7.74</v>
      </c>
      <c r="C1626" s="1">
        <v>987</v>
      </c>
      <c r="D1626" s="1" t="s">
        <v>11</v>
      </c>
      <c r="E1626" s="1" t="s">
        <v>29</v>
      </c>
      <c r="F1626" s="1">
        <f t="shared" si="58"/>
        <v>774</v>
      </c>
      <c r="G1626" s="12">
        <f t="shared" si="59"/>
        <v>127.51937984496124</v>
      </c>
    </row>
    <row r="1627" spans="1:7" ht="13">
      <c r="A1627" s="4" t="s">
        <v>117</v>
      </c>
      <c r="B1627" s="1">
        <v>6.96</v>
      </c>
      <c r="C1627" s="1">
        <v>842</v>
      </c>
      <c r="D1627" s="1" t="s">
        <v>45</v>
      </c>
      <c r="E1627" s="1" t="s">
        <v>24</v>
      </c>
      <c r="F1627" s="1">
        <f t="shared" si="58"/>
        <v>696</v>
      </c>
      <c r="G1627" s="12">
        <f t="shared" si="59"/>
        <v>120.97701149425288</v>
      </c>
    </row>
    <row r="1628" spans="1:7" ht="13">
      <c r="A1628" s="4" t="s">
        <v>117</v>
      </c>
      <c r="B1628" s="1">
        <v>7.56</v>
      </c>
      <c r="C1628" s="1">
        <v>941</v>
      </c>
      <c r="D1628" s="1" t="s">
        <v>44</v>
      </c>
      <c r="E1628" s="1" t="s">
        <v>10</v>
      </c>
      <c r="F1628" s="1">
        <f t="shared" si="58"/>
        <v>756</v>
      </c>
      <c r="G1628" s="12">
        <f t="shared" si="59"/>
        <v>124.47089947089948</v>
      </c>
    </row>
    <row r="1629" spans="1:7" ht="13">
      <c r="A1629" s="4" t="s">
        <v>117</v>
      </c>
      <c r="B1629" s="1">
        <v>8.17</v>
      </c>
      <c r="C1629" s="1">
        <v>963</v>
      </c>
      <c r="D1629" s="1" t="s">
        <v>44</v>
      </c>
      <c r="E1629" s="1" t="s">
        <v>26</v>
      </c>
      <c r="F1629" s="1">
        <f t="shared" si="58"/>
        <v>817</v>
      </c>
      <c r="G1629" s="12">
        <f t="shared" si="59"/>
        <v>117.8702570379437</v>
      </c>
    </row>
    <row r="1630" spans="1:7" ht="13">
      <c r="A1630" s="4" t="s">
        <v>117</v>
      </c>
      <c r="B1630" s="1">
        <v>5.28</v>
      </c>
      <c r="C1630" s="1">
        <v>424</v>
      </c>
      <c r="D1630" s="1" t="s">
        <v>39</v>
      </c>
      <c r="E1630" s="1" t="s">
        <v>62</v>
      </c>
      <c r="F1630" s="1">
        <f t="shared" si="58"/>
        <v>528</v>
      </c>
      <c r="G1630" s="12">
        <f t="shared" si="59"/>
        <v>80.303030303030297</v>
      </c>
    </row>
    <row r="1631" spans="1:7" ht="13">
      <c r="A1631" s="4" t="s">
        <v>117</v>
      </c>
      <c r="B1631" s="1">
        <v>6.02</v>
      </c>
      <c r="C1631" s="1">
        <v>782</v>
      </c>
      <c r="D1631" s="1" t="s">
        <v>43</v>
      </c>
      <c r="E1631" s="1" t="s">
        <v>8</v>
      </c>
      <c r="F1631" s="1">
        <f t="shared" si="58"/>
        <v>602</v>
      </c>
      <c r="G1631" s="12">
        <f t="shared" si="59"/>
        <v>129.90033222591364</v>
      </c>
    </row>
    <row r="1632" spans="1:7" ht="13">
      <c r="A1632" s="4" t="s">
        <v>117</v>
      </c>
      <c r="B1632" s="1">
        <v>8.8000000000000007</v>
      </c>
      <c r="C1632" s="1">
        <v>1031</v>
      </c>
      <c r="D1632" s="1" t="s">
        <v>11</v>
      </c>
      <c r="E1632" s="1" t="s">
        <v>49</v>
      </c>
      <c r="F1632" s="1">
        <f t="shared" si="58"/>
        <v>880.00000000000011</v>
      </c>
      <c r="G1632" s="12">
        <f t="shared" si="59"/>
        <v>117.15909090909091</v>
      </c>
    </row>
    <row r="1633" spans="1:7" ht="13">
      <c r="A1633" s="4" t="s">
        <v>117</v>
      </c>
      <c r="B1633" s="1">
        <v>7.8</v>
      </c>
      <c r="C1633" s="1">
        <v>987</v>
      </c>
      <c r="D1633" s="1" t="s">
        <v>11</v>
      </c>
      <c r="E1633" s="1" t="s">
        <v>9</v>
      </c>
      <c r="F1633" s="1">
        <f t="shared" si="58"/>
        <v>780</v>
      </c>
      <c r="G1633" s="12">
        <f t="shared" si="59"/>
        <v>126.53846153846155</v>
      </c>
    </row>
    <row r="1634" spans="1:7" ht="13">
      <c r="A1634" s="4" t="s">
        <v>117</v>
      </c>
      <c r="B1634" s="1">
        <v>6.45</v>
      </c>
      <c r="C1634" s="1">
        <v>769</v>
      </c>
      <c r="D1634" s="1" t="s">
        <v>11</v>
      </c>
      <c r="E1634" s="1" t="s">
        <v>30</v>
      </c>
      <c r="F1634" s="1">
        <f t="shared" si="58"/>
        <v>645</v>
      </c>
      <c r="G1634" s="12">
        <f t="shared" si="59"/>
        <v>119.22480620155038</v>
      </c>
    </row>
    <row r="1635" spans="1:7" ht="13">
      <c r="A1635" s="4" t="s">
        <v>117</v>
      </c>
      <c r="B1635" s="1">
        <v>6.88</v>
      </c>
      <c r="C1635" s="1">
        <v>892</v>
      </c>
      <c r="D1635" s="1" t="s">
        <v>33</v>
      </c>
      <c r="E1635" s="1" t="s">
        <v>20</v>
      </c>
      <c r="F1635" s="1">
        <f t="shared" si="58"/>
        <v>688</v>
      </c>
      <c r="G1635" s="12">
        <f t="shared" si="59"/>
        <v>129.65116279069767</v>
      </c>
    </row>
    <row r="1636" spans="1:7" ht="13">
      <c r="A1636" s="4" t="s">
        <v>117</v>
      </c>
      <c r="B1636" s="1">
        <v>8.6999999999999993</v>
      </c>
      <c r="C1636" s="1">
        <v>1043</v>
      </c>
      <c r="D1636" s="1" t="s">
        <v>11</v>
      </c>
      <c r="E1636" s="1" t="s">
        <v>20</v>
      </c>
      <c r="F1636" s="1">
        <f t="shared" si="58"/>
        <v>869.99999999999989</v>
      </c>
      <c r="G1636" s="12">
        <f t="shared" si="59"/>
        <v>119.88505747126437</v>
      </c>
    </row>
    <row r="1637" spans="1:7" ht="13">
      <c r="A1637" s="4" t="s">
        <v>117</v>
      </c>
      <c r="B1637" s="1">
        <v>7.4</v>
      </c>
      <c r="C1637" s="1">
        <v>908.42</v>
      </c>
      <c r="D1637" s="1" t="s">
        <v>91</v>
      </c>
      <c r="E1637" s="1" t="s">
        <v>24</v>
      </c>
      <c r="F1637" s="1">
        <f t="shared" si="58"/>
        <v>740</v>
      </c>
      <c r="G1637" s="12">
        <f t="shared" si="59"/>
        <v>122.75945945945945</v>
      </c>
    </row>
    <row r="1638" spans="1:7" ht="13">
      <c r="A1638" s="4" t="s">
        <v>117</v>
      </c>
      <c r="B1638" s="1">
        <v>6.7</v>
      </c>
      <c r="C1638" s="1">
        <v>793</v>
      </c>
      <c r="D1638" s="1" t="s">
        <v>33</v>
      </c>
      <c r="E1638" s="1" t="s">
        <v>21</v>
      </c>
      <c r="F1638" s="1">
        <f t="shared" si="58"/>
        <v>670</v>
      </c>
      <c r="G1638" s="12">
        <f t="shared" si="59"/>
        <v>118.35820895522387</v>
      </c>
    </row>
    <row r="1639" spans="1:7" ht="13">
      <c r="A1639" s="4" t="s">
        <v>117</v>
      </c>
      <c r="B1639" s="1">
        <v>7.7</v>
      </c>
      <c r="C1639" s="1">
        <v>1058</v>
      </c>
      <c r="D1639" s="1" t="s">
        <v>34</v>
      </c>
      <c r="E1639" s="1" t="s">
        <v>10</v>
      </c>
      <c r="F1639" s="1">
        <f t="shared" si="58"/>
        <v>770</v>
      </c>
      <c r="G1639" s="12">
        <f t="shared" si="59"/>
        <v>137.40259740259739</v>
      </c>
    </row>
    <row r="1640" spans="1:7" ht="13">
      <c r="A1640" s="4" t="s">
        <v>117</v>
      </c>
      <c r="B1640" s="1">
        <v>7.74</v>
      </c>
      <c r="C1640" s="1">
        <v>970</v>
      </c>
      <c r="D1640" s="1" t="s">
        <v>11</v>
      </c>
      <c r="E1640" s="1" t="s">
        <v>9</v>
      </c>
      <c r="F1640" s="1">
        <f t="shared" si="58"/>
        <v>774</v>
      </c>
      <c r="G1640" s="12">
        <f t="shared" si="59"/>
        <v>125.32299741602067</v>
      </c>
    </row>
    <row r="1641" spans="1:7" ht="13">
      <c r="A1641" s="4" t="s">
        <v>117</v>
      </c>
      <c r="B1641" s="1">
        <v>5.81</v>
      </c>
      <c r="C1641" s="1">
        <v>795</v>
      </c>
      <c r="D1641" s="1" t="s">
        <v>38</v>
      </c>
      <c r="E1641" s="1" t="s">
        <v>8</v>
      </c>
      <c r="F1641" s="1">
        <f t="shared" si="58"/>
        <v>581</v>
      </c>
      <c r="G1641" s="12">
        <f t="shared" si="59"/>
        <v>136.83304647160071</v>
      </c>
    </row>
    <row r="1642" spans="1:7" ht="13">
      <c r="A1642" s="4" t="s">
        <v>117</v>
      </c>
      <c r="B1642" s="1">
        <v>7.5</v>
      </c>
      <c r="C1642" s="1">
        <v>936</v>
      </c>
      <c r="D1642" s="1" t="s">
        <v>11</v>
      </c>
      <c r="E1642" s="1" t="s">
        <v>15</v>
      </c>
      <c r="F1642" s="1">
        <f t="shared" si="58"/>
        <v>750</v>
      </c>
      <c r="G1642" s="12">
        <f t="shared" si="59"/>
        <v>124.8</v>
      </c>
    </row>
    <row r="1643" spans="1:7" ht="13">
      <c r="A1643" s="4" t="s">
        <v>117</v>
      </c>
      <c r="B1643" s="1">
        <v>8.75</v>
      </c>
      <c r="C1643" s="1">
        <v>1087</v>
      </c>
      <c r="D1643" s="1" t="s">
        <v>38</v>
      </c>
      <c r="E1643" s="1" t="s">
        <v>31</v>
      </c>
      <c r="F1643" s="1">
        <f t="shared" si="58"/>
        <v>875</v>
      </c>
      <c r="G1643" s="12">
        <f t="shared" si="59"/>
        <v>124.22857142857143</v>
      </c>
    </row>
    <row r="1644" spans="1:7" ht="13">
      <c r="A1644" s="4" t="s">
        <v>117</v>
      </c>
      <c r="B1644" s="1">
        <v>6</v>
      </c>
      <c r="C1644" s="1">
        <v>695</v>
      </c>
      <c r="D1644" s="1" t="s">
        <v>11</v>
      </c>
      <c r="E1644" s="1" t="s">
        <v>14</v>
      </c>
      <c r="F1644" s="1">
        <f t="shared" si="58"/>
        <v>600</v>
      </c>
      <c r="G1644" s="12">
        <f t="shared" si="59"/>
        <v>115.83333333333333</v>
      </c>
    </row>
    <row r="1645" spans="1:7" ht="13">
      <c r="A1645" s="4" t="s">
        <v>117</v>
      </c>
      <c r="B1645" s="1">
        <v>5.2</v>
      </c>
      <c r="C1645" s="1">
        <v>600</v>
      </c>
      <c r="D1645" s="1" t="s">
        <v>60</v>
      </c>
      <c r="E1645" s="1" t="s">
        <v>24</v>
      </c>
      <c r="F1645" s="1">
        <f t="shared" si="58"/>
        <v>520</v>
      </c>
      <c r="G1645" s="12">
        <f t="shared" si="59"/>
        <v>115.38461538461539</v>
      </c>
    </row>
    <row r="1646" spans="1:7" ht="13">
      <c r="A1646" s="4" t="s">
        <v>117</v>
      </c>
      <c r="B1646" s="1">
        <v>5.6</v>
      </c>
      <c r="C1646" s="1">
        <v>700</v>
      </c>
      <c r="D1646" s="1" t="s">
        <v>54</v>
      </c>
      <c r="E1646" s="1" t="s">
        <v>22</v>
      </c>
      <c r="F1646" s="1">
        <f t="shared" si="58"/>
        <v>560</v>
      </c>
      <c r="G1646" s="12">
        <f t="shared" si="59"/>
        <v>125.00000000000001</v>
      </c>
    </row>
    <row r="1647" spans="1:7" ht="13">
      <c r="A1647" s="4" t="s">
        <v>117</v>
      </c>
      <c r="B1647" s="1">
        <v>7.29</v>
      </c>
      <c r="C1647" s="1">
        <v>795</v>
      </c>
      <c r="D1647" s="1" t="s">
        <v>11</v>
      </c>
      <c r="E1647" s="1" t="s">
        <v>18</v>
      </c>
      <c r="F1647" s="1">
        <f t="shared" si="58"/>
        <v>729</v>
      </c>
      <c r="G1647" s="12">
        <f t="shared" si="59"/>
        <v>109.05349794238683</v>
      </c>
    </row>
    <row r="1648" spans="1:7" ht="13">
      <c r="A1648" s="4" t="s">
        <v>117</v>
      </c>
      <c r="B1648" s="1">
        <v>7.9</v>
      </c>
      <c r="C1648" s="1">
        <v>938</v>
      </c>
      <c r="D1648" s="1" t="s">
        <v>33</v>
      </c>
      <c r="E1648" s="1" t="s">
        <v>16</v>
      </c>
      <c r="F1648" s="1">
        <f t="shared" si="58"/>
        <v>790</v>
      </c>
      <c r="G1648" s="12">
        <f t="shared" si="59"/>
        <v>118.73417721518987</v>
      </c>
    </row>
    <row r="1649" spans="1:7" ht="13">
      <c r="A1649" s="4" t="s">
        <v>117</v>
      </c>
      <c r="B1649" s="1">
        <v>9.57</v>
      </c>
      <c r="C1649" s="1">
        <v>1020</v>
      </c>
      <c r="D1649" s="1" t="s">
        <v>37</v>
      </c>
      <c r="E1649" s="1" t="s">
        <v>7</v>
      </c>
      <c r="F1649" s="1">
        <f t="shared" si="58"/>
        <v>957</v>
      </c>
      <c r="G1649" s="12">
        <f t="shared" si="59"/>
        <v>106.58307210031347</v>
      </c>
    </row>
    <row r="1650" spans="1:7" ht="13">
      <c r="A1650" s="4" t="s">
        <v>117</v>
      </c>
      <c r="B1650" s="1">
        <v>5</v>
      </c>
      <c r="C1650" s="1">
        <v>850</v>
      </c>
      <c r="D1650" s="1" t="s">
        <v>11</v>
      </c>
      <c r="E1650" s="1" t="s">
        <v>28</v>
      </c>
      <c r="F1650" s="1">
        <f t="shared" si="58"/>
        <v>500</v>
      </c>
      <c r="G1650" s="12">
        <f t="shared" si="59"/>
        <v>170</v>
      </c>
    </row>
    <row r="1651" spans="1:7" ht="13">
      <c r="A1651" s="4" t="s">
        <v>117</v>
      </c>
      <c r="B1651" s="1">
        <v>4</v>
      </c>
      <c r="C1651" s="1">
        <v>537</v>
      </c>
      <c r="D1651" s="1" t="s">
        <v>11</v>
      </c>
      <c r="E1651" s="1" t="s">
        <v>10</v>
      </c>
      <c r="F1651" s="1">
        <f t="shared" si="58"/>
        <v>400</v>
      </c>
      <c r="G1651" s="12">
        <f t="shared" si="59"/>
        <v>134.25</v>
      </c>
    </row>
    <row r="1652" spans="1:7" ht="13">
      <c r="A1652" s="4" t="s">
        <v>117</v>
      </c>
      <c r="B1652" s="1">
        <v>6.88</v>
      </c>
      <c r="C1652" s="1">
        <v>898</v>
      </c>
      <c r="D1652" s="1" t="s">
        <v>43</v>
      </c>
      <c r="E1652" s="1" t="s">
        <v>16</v>
      </c>
      <c r="F1652" s="1">
        <f t="shared" si="58"/>
        <v>688</v>
      </c>
      <c r="G1652" s="12">
        <f t="shared" si="59"/>
        <v>130.52325581395348</v>
      </c>
    </row>
    <row r="1653" spans="1:7" ht="13">
      <c r="A1653" s="4" t="s">
        <v>117</v>
      </c>
      <c r="B1653" s="1">
        <v>4.0999999999999996</v>
      </c>
      <c r="C1653" s="1">
        <v>617</v>
      </c>
      <c r="D1653" s="1" t="s">
        <v>35</v>
      </c>
      <c r="E1653" s="1" t="s">
        <v>32</v>
      </c>
      <c r="F1653" s="1">
        <f t="shared" si="58"/>
        <v>409.99999999999994</v>
      </c>
      <c r="G1653" s="12">
        <f t="shared" si="59"/>
        <v>150.48780487804879</v>
      </c>
    </row>
    <row r="1654" spans="1:7" ht="13">
      <c r="A1654" s="4" t="s">
        <v>117</v>
      </c>
      <c r="B1654" s="1">
        <v>9</v>
      </c>
      <c r="C1654" s="1">
        <v>1050</v>
      </c>
      <c r="D1654" s="1" t="s">
        <v>39</v>
      </c>
      <c r="E1654" s="1" t="s">
        <v>49</v>
      </c>
      <c r="F1654" s="1">
        <f t="shared" si="58"/>
        <v>900</v>
      </c>
      <c r="G1654" s="12">
        <f t="shared" si="59"/>
        <v>116.66666666666667</v>
      </c>
    </row>
    <row r="1655" spans="1:7" ht="13">
      <c r="A1655" s="4" t="s">
        <v>117</v>
      </c>
      <c r="B1655" s="1">
        <v>4.5</v>
      </c>
      <c r="C1655" s="1">
        <v>626</v>
      </c>
      <c r="D1655" s="1" t="s">
        <v>38</v>
      </c>
      <c r="E1655" s="1" t="s">
        <v>9</v>
      </c>
      <c r="F1655" s="1">
        <f t="shared" si="58"/>
        <v>450</v>
      </c>
      <c r="G1655" s="12">
        <f t="shared" si="59"/>
        <v>139.11111111111111</v>
      </c>
    </row>
    <row r="1656" spans="1:7" ht="13">
      <c r="A1656" s="4" t="s">
        <v>117</v>
      </c>
      <c r="B1656" s="1">
        <v>4.2</v>
      </c>
      <c r="C1656" s="1">
        <v>512</v>
      </c>
      <c r="D1656" s="1" t="s">
        <v>38</v>
      </c>
      <c r="E1656" s="1" t="s">
        <v>15</v>
      </c>
      <c r="F1656" s="1">
        <f t="shared" si="58"/>
        <v>420</v>
      </c>
      <c r="G1656" s="12">
        <f t="shared" si="59"/>
        <v>121.9047619047619</v>
      </c>
    </row>
    <row r="1657" spans="1:7" ht="13">
      <c r="A1657" s="4" t="s">
        <v>117</v>
      </c>
      <c r="B1657" s="1">
        <v>7</v>
      </c>
      <c r="C1657" s="1">
        <v>810</v>
      </c>
      <c r="D1657" s="1" t="s">
        <v>33</v>
      </c>
      <c r="E1657" s="1" t="s">
        <v>25</v>
      </c>
      <c r="F1657" s="1">
        <f t="shared" si="58"/>
        <v>700</v>
      </c>
      <c r="G1657" s="12">
        <f t="shared" si="59"/>
        <v>115.71428571428571</v>
      </c>
    </row>
    <row r="1658" spans="1:7" ht="13">
      <c r="A1658" s="4" t="s">
        <v>117</v>
      </c>
      <c r="B1658" s="1">
        <v>5.18</v>
      </c>
      <c r="C1658" s="1">
        <v>672</v>
      </c>
      <c r="D1658" s="1" t="s">
        <v>11</v>
      </c>
      <c r="E1658" s="1" t="s">
        <v>16</v>
      </c>
      <c r="F1658" s="1">
        <f t="shared" si="58"/>
        <v>518</v>
      </c>
      <c r="G1658" s="12">
        <f t="shared" si="59"/>
        <v>129.72972972972974</v>
      </c>
    </row>
    <row r="1659" spans="1:7" ht="13">
      <c r="A1659" s="4" t="s">
        <v>117</v>
      </c>
      <c r="B1659" s="1">
        <v>6.25</v>
      </c>
      <c r="C1659" s="1">
        <v>482</v>
      </c>
      <c r="D1659" s="1" t="s">
        <v>11</v>
      </c>
      <c r="E1659" s="1" t="s">
        <v>32</v>
      </c>
      <c r="F1659" s="1">
        <f t="shared" si="58"/>
        <v>625</v>
      </c>
      <c r="G1659" s="12">
        <f t="shared" si="59"/>
        <v>77.12</v>
      </c>
    </row>
    <row r="1660" spans="1:7" ht="13">
      <c r="A1660" s="4" t="s">
        <v>117</v>
      </c>
      <c r="B1660" s="1">
        <v>7.56</v>
      </c>
      <c r="C1660" s="1">
        <v>808</v>
      </c>
      <c r="D1660" s="1" t="s">
        <v>33</v>
      </c>
      <c r="E1660" s="1" t="s">
        <v>15</v>
      </c>
      <c r="F1660" s="1">
        <f t="shared" si="58"/>
        <v>756</v>
      </c>
      <c r="G1660" s="12">
        <f t="shared" si="59"/>
        <v>106.87830687830689</v>
      </c>
    </row>
    <row r="1661" spans="1:7" ht="13">
      <c r="A1661" s="4" t="s">
        <v>117</v>
      </c>
      <c r="B1661" s="1">
        <v>9.4</v>
      </c>
      <c r="C1661" s="1">
        <v>499</v>
      </c>
      <c r="D1661" s="1" t="s">
        <v>33</v>
      </c>
      <c r="E1661" s="1" t="s">
        <v>8</v>
      </c>
      <c r="F1661" s="1">
        <f t="shared" si="58"/>
        <v>940</v>
      </c>
      <c r="G1661" s="12">
        <f t="shared" si="59"/>
        <v>53.085106382978722</v>
      </c>
    </row>
    <row r="1662" spans="1:7" ht="13">
      <c r="A1662" s="4" t="s">
        <v>117</v>
      </c>
      <c r="B1662" s="1">
        <v>6.5</v>
      </c>
      <c r="C1662" s="1">
        <v>807</v>
      </c>
      <c r="D1662" s="1" t="s">
        <v>11</v>
      </c>
      <c r="E1662" s="1" t="s">
        <v>17</v>
      </c>
      <c r="F1662" s="1">
        <f t="shared" si="58"/>
        <v>650</v>
      </c>
      <c r="G1662" s="12">
        <f t="shared" si="59"/>
        <v>124.15384615384616</v>
      </c>
    </row>
    <row r="1663" spans="1:7" ht="13">
      <c r="A1663" s="4" t="s">
        <v>117</v>
      </c>
      <c r="B1663" s="1">
        <v>7.74</v>
      </c>
      <c r="C1663" s="1">
        <v>996</v>
      </c>
      <c r="D1663" s="1" t="s">
        <v>33</v>
      </c>
      <c r="E1663" s="1" t="s">
        <v>9</v>
      </c>
      <c r="F1663" s="1">
        <f t="shared" si="58"/>
        <v>774</v>
      </c>
      <c r="G1663" s="12">
        <f t="shared" si="59"/>
        <v>128.68217054263565</v>
      </c>
    </row>
    <row r="1664" spans="1:7" ht="13">
      <c r="A1664" s="4" t="s">
        <v>117</v>
      </c>
      <c r="B1664" s="1">
        <v>5.88</v>
      </c>
      <c r="C1664" s="1">
        <v>703</v>
      </c>
      <c r="D1664" s="1" t="s">
        <v>11</v>
      </c>
      <c r="E1664" s="1" t="s">
        <v>15</v>
      </c>
      <c r="F1664" s="1">
        <f t="shared" si="58"/>
        <v>588</v>
      </c>
      <c r="G1664" s="12">
        <f t="shared" si="59"/>
        <v>119.5578231292517</v>
      </c>
    </row>
    <row r="1665" spans="1:7" ht="13">
      <c r="A1665" s="4" t="s">
        <v>117</v>
      </c>
      <c r="B1665" s="1">
        <v>5.12</v>
      </c>
      <c r="C1665" s="1">
        <v>617</v>
      </c>
      <c r="D1665" s="1" t="s">
        <v>11</v>
      </c>
      <c r="E1665" s="1" t="s">
        <v>16</v>
      </c>
      <c r="F1665" s="1">
        <f t="shared" si="58"/>
        <v>512</v>
      </c>
      <c r="G1665" s="12">
        <f t="shared" si="59"/>
        <v>120.5078125</v>
      </c>
    </row>
    <row r="1666" spans="1:7" ht="13">
      <c r="A1666" s="4" t="s">
        <v>117</v>
      </c>
      <c r="B1666" s="1">
        <v>7.56</v>
      </c>
      <c r="C1666" s="1">
        <v>912</v>
      </c>
      <c r="D1666" s="1" t="s">
        <v>11</v>
      </c>
      <c r="E1666" s="1" t="s">
        <v>25</v>
      </c>
      <c r="F1666" s="1">
        <f t="shared" si="58"/>
        <v>756</v>
      </c>
      <c r="G1666" s="12">
        <f t="shared" si="59"/>
        <v>120.63492063492065</v>
      </c>
    </row>
    <row r="1667" spans="1:7" ht="13">
      <c r="A1667" s="4" t="s">
        <v>117</v>
      </c>
      <c r="B1667" s="1">
        <v>4.7300000000000004</v>
      </c>
      <c r="C1667" s="1">
        <v>648</v>
      </c>
      <c r="D1667" s="1" t="s">
        <v>33</v>
      </c>
      <c r="E1667" s="1" t="s">
        <v>8</v>
      </c>
      <c r="F1667" s="1">
        <f t="shared" ref="F1667:F1730" si="60">B1667*100</f>
        <v>473.00000000000006</v>
      </c>
      <c r="G1667" s="12">
        <f t="shared" ref="G1667:G1730" si="61">C1667/B1667</f>
        <v>136.99788583509513</v>
      </c>
    </row>
    <row r="1668" spans="1:7" ht="13">
      <c r="A1668" s="4" t="s">
        <v>117</v>
      </c>
      <c r="B1668" s="1">
        <v>5.88</v>
      </c>
      <c r="C1668" s="1">
        <v>617</v>
      </c>
      <c r="D1668" s="1" t="s">
        <v>39</v>
      </c>
      <c r="E1668" s="1" t="s">
        <v>19</v>
      </c>
      <c r="F1668" s="1">
        <f t="shared" si="60"/>
        <v>588</v>
      </c>
      <c r="G1668" s="12">
        <f t="shared" si="61"/>
        <v>104.93197278911565</v>
      </c>
    </row>
    <row r="1669" spans="1:7" ht="13">
      <c r="A1669" s="4" t="s">
        <v>117</v>
      </c>
      <c r="B1669" s="1">
        <v>5.46</v>
      </c>
      <c r="C1669" s="1">
        <v>673</v>
      </c>
      <c r="D1669" s="1" t="s">
        <v>43</v>
      </c>
      <c r="E1669" s="1" t="s">
        <v>15</v>
      </c>
      <c r="F1669" s="1">
        <f t="shared" si="60"/>
        <v>546</v>
      </c>
      <c r="G1669" s="12">
        <f t="shared" si="61"/>
        <v>123.26007326007326</v>
      </c>
    </row>
    <row r="1670" spans="1:7" ht="13">
      <c r="A1670" s="4" t="s">
        <v>117</v>
      </c>
      <c r="B1670" s="1">
        <v>6.09</v>
      </c>
      <c r="C1670" s="1">
        <v>737</v>
      </c>
      <c r="D1670" s="1" t="s">
        <v>11</v>
      </c>
      <c r="E1670" s="1" t="s">
        <v>26</v>
      </c>
      <c r="F1670" s="1">
        <f t="shared" si="60"/>
        <v>609</v>
      </c>
      <c r="G1670" s="12">
        <f t="shared" si="61"/>
        <v>121.01806239737274</v>
      </c>
    </row>
    <row r="1671" spans="1:7" ht="13">
      <c r="A1671" s="4" t="s">
        <v>117</v>
      </c>
      <c r="B1671" s="1">
        <v>7.29</v>
      </c>
      <c r="C1671" s="1">
        <v>914</v>
      </c>
      <c r="D1671" s="1" t="s">
        <v>11</v>
      </c>
      <c r="E1671" s="1" t="s">
        <v>7</v>
      </c>
      <c r="F1671" s="1">
        <f t="shared" si="60"/>
        <v>729</v>
      </c>
      <c r="G1671" s="12">
        <f t="shared" si="61"/>
        <v>125.37722908093278</v>
      </c>
    </row>
    <row r="1672" spans="1:7" ht="13">
      <c r="A1672" s="4" t="s">
        <v>117</v>
      </c>
      <c r="B1672" s="1">
        <v>5.8</v>
      </c>
      <c r="C1672" s="1">
        <v>738</v>
      </c>
      <c r="D1672" s="1" t="s">
        <v>39</v>
      </c>
      <c r="E1672" s="1" t="s">
        <v>49</v>
      </c>
      <c r="F1672" s="1">
        <f t="shared" si="60"/>
        <v>580</v>
      </c>
      <c r="G1672" s="12">
        <f t="shared" si="61"/>
        <v>127.24137931034483</v>
      </c>
    </row>
    <row r="1673" spans="1:7" ht="13">
      <c r="A1673" s="4" t="s">
        <v>117</v>
      </c>
      <c r="B1673" s="1">
        <v>6.72</v>
      </c>
      <c r="C1673" s="1">
        <v>813</v>
      </c>
      <c r="D1673" s="1" t="s">
        <v>11</v>
      </c>
      <c r="E1673" s="1" t="s">
        <v>15</v>
      </c>
      <c r="F1673" s="1">
        <f t="shared" si="60"/>
        <v>672</v>
      </c>
      <c r="G1673" s="12">
        <f t="shared" si="61"/>
        <v>120.98214285714286</v>
      </c>
    </row>
    <row r="1674" spans="1:7" ht="13">
      <c r="A1674" s="4" t="s">
        <v>117</v>
      </c>
      <c r="B1674" s="1">
        <v>6.96</v>
      </c>
      <c r="C1674" s="1">
        <v>886</v>
      </c>
      <c r="D1674" s="1" t="s">
        <v>38</v>
      </c>
      <c r="E1674" s="1" t="s">
        <v>8</v>
      </c>
      <c r="F1674" s="1">
        <f t="shared" si="60"/>
        <v>696</v>
      </c>
      <c r="G1674" s="12">
        <f t="shared" si="61"/>
        <v>127.29885057471265</v>
      </c>
    </row>
    <row r="1675" spans="1:7" ht="13">
      <c r="A1675" s="4" t="s">
        <v>117</v>
      </c>
      <c r="B1675" s="1">
        <v>4.4000000000000004</v>
      </c>
      <c r="C1675" s="1">
        <v>415</v>
      </c>
      <c r="D1675" s="1" t="s">
        <v>42</v>
      </c>
      <c r="E1675" s="1" t="s">
        <v>22</v>
      </c>
      <c r="F1675" s="1">
        <f t="shared" si="60"/>
        <v>440.00000000000006</v>
      </c>
      <c r="G1675" s="12">
        <f t="shared" si="61"/>
        <v>94.318181818181813</v>
      </c>
    </row>
    <row r="1676" spans="1:7" ht="13">
      <c r="A1676" s="4" t="s">
        <v>117</v>
      </c>
      <c r="B1676" s="1">
        <v>4.92</v>
      </c>
      <c r="C1676" s="1">
        <v>613</v>
      </c>
      <c r="D1676" s="1" t="s">
        <v>43</v>
      </c>
      <c r="E1676" s="1" t="s">
        <v>10</v>
      </c>
      <c r="F1676" s="1">
        <f t="shared" si="60"/>
        <v>492</v>
      </c>
      <c r="G1676" s="12">
        <f t="shared" si="61"/>
        <v>124.59349593495935</v>
      </c>
    </row>
    <row r="1677" spans="1:7" ht="13">
      <c r="A1677" s="4" t="s">
        <v>117</v>
      </c>
      <c r="B1677" s="1">
        <v>6.375</v>
      </c>
      <c r="C1677" s="1">
        <v>784</v>
      </c>
      <c r="D1677" s="1" t="s">
        <v>11</v>
      </c>
      <c r="E1677" s="1" t="s">
        <v>12</v>
      </c>
      <c r="F1677" s="1">
        <f t="shared" si="60"/>
        <v>637.5</v>
      </c>
      <c r="G1677" s="12">
        <f t="shared" si="61"/>
        <v>122.98039215686275</v>
      </c>
    </row>
    <row r="1678" spans="1:7" ht="13">
      <c r="A1678" s="4" t="s">
        <v>117</v>
      </c>
      <c r="B1678" s="1">
        <v>6.88</v>
      </c>
      <c r="C1678" s="1">
        <v>871</v>
      </c>
      <c r="D1678" s="1" t="s">
        <v>38</v>
      </c>
      <c r="E1678" s="1" t="s">
        <v>7</v>
      </c>
      <c r="F1678" s="1">
        <f t="shared" si="60"/>
        <v>688</v>
      </c>
      <c r="G1678" s="12">
        <f t="shared" si="61"/>
        <v>126.59883720930233</v>
      </c>
    </row>
    <row r="1679" spans="1:7" ht="13">
      <c r="A1679" s="4" t="s">
        <v>117</v>
      </c>
      <c r="B1679" s="1">
        <v>4.3</v>
      </c>
      <c r="C1679" s="1">
        <v>508</v>
      </c>
      <c r="D1679" s="1" t="s">
        <v>35</v>
      </c>
      <c r="E1679" s="1" t="s">
        <v>10</v>
      </c>
      <c r="F1679" s="1">
        <f t="shared" si="60"/>
        <v>430</v>
      </c>
      <c r="G1679" s="12">
        <f t="shared" si="61"/>
        <v>118.13953488372094</v>
      </c>
    </row>
    <row r="1680" spans="1:7" ht="13">
      <c r="A1680" s="4" t="s">
        <v>117</v>
      </c>
      <c r="B1680" s="1">
        <v>6.9</v>
      </c>
      <c r="C1680" s="1">
        <v>880</v>
      </c>
      <c r="D1680" s="1" t="s">
        <v>42</v>
      </c>
      <c r="E1680" s="1" t="s">
        <v>17</v>
      </c>
      <c r="F1680" s="1">
        <f t="shared" si="60"/>
        <v>690</v>
      </c>
      <c r="G1680" s="12">
        <f t="shared" si="61"/>
        <v>127.53623188405797</v>
      </c>
    </row>
    <row r="1681" spans="1:7" ht="13">
      <c r="A1681" s="4" t="s">
        <v>117</v>
      </c>
      <c r="B1681" s="1">
        <v>6.96</v>
      </c>
      <c r="C1681" s="1">
        <v>1000</v>
      </c>
      <c r="D1681" s="1" t="s">
        <v>11</v>
      </c>
      <c r="E1681" s="1" t="s">
        <v>8</v>
      </c>
      <c r="F1681" s="1">
        <f t="shared" si="60"/>
        <v>696</v>
      </c>
      <c r="G1681" s="12">
        <f t="shared" si="61"/>
        <v>143.67816091954023</v>
      </c>
    </row>
    <row r="1682" spans="1:7" ht="13">
      <c r="A1682" s="4" t="s">
        <v>117</v>
      </c>
      <c r="B1682" s="1">
        <v>5</v>
      </c>
      <c r="C1682" s="1">
        <v>600</v>
      </c>
      <c r="D1682" s="1" t="s">
        <v>11</v>
      </c>
      <c r="E1682" s="1" t="s">
        <v>14</v>
      </c>
      <c r="F1682" s="1">
        <f t="shared" si="60"/>
        <v>500</v>
      </c>
      <c r="G1682" s="12">
        <f t="shared" si="61"/>
        <v>120</v>
      </c>
    </row>
    <row r="1683" spans="1:7" ht="13">
      <c r="A1683" s="4" t="s">
        <v>117</v>
      </c>
      <c r="B1683" s="1">
        <v>6</v>
      </c>
      <c r="C1683" s="1">
        <v>806.2</v>
      </c>
      <c r="D1683" s="1" t="s">
        <v>11</v>
      </c>
      <c r="E1683" s="1" t="s">
        <v>22</v>
      </c>
      <c r="F1683" s="1">
        <f t="shared" si="60"/>
        <v>600</v>
      </c>
      <c r="G1683" s="12">
        <f t="shared" si="61"/>
        <v>134.36666666666667</v>
      </c>
    </row>
    <row r="1684" spans="1:7" ht="13">
      <c r="A1684" s="4" t="s">
        <v>117</v>
      </c>
      <c r="B1684" s="1">
        <v>3.448</v>
      </c>
      <c r="C1684" s="1">
        <v>449</v>
      </c>
      <c r="D1684" s="1" t="s">
        <v>11</v>
      </c>
      <c r="E1684" s="1" t="s">
        <v>15</v>
      </c>
      <c r="F1684" s="1">
        <f t="shared" si="60"/>
        <v>344.8</v>
      </c>
      <c r="G1684" s="12">
        <f t="shared" si="61"/>
        <v>130.22041763341068</v>
      </c>
    </row>
    <row r="1685" spans="1:7" ht="13">
      <c r="A1685" s="4" t="s">
        <v>117</v>
      </c>
      <c r="B1685" s="1">
        <v>8.1</v>
      </c>
      <c r="C1685" s="1">
        <v>1124</v>
      </c>
      <c r="D1685" s="1" t="s">
        <v>11</v>
      </c>
      <c r="E1685" s="1" t="s">
        <v>8</v>
      </c>
      <c r="F1685" s="1">
        <f t="shared" si="60"/>
        <v>810</v>
      </c>
      <c r="G1685" s="12">
        <f t="shared" si="61"/>
        <v>138.76543209876544</v>
      </c>
    </row>
    <row r="1686" spans="1:7" ht="13">
      <c r="A1686" s="4" t="s">
        <v>117</v>
      </c>
      <c r="B1686" s="1">
        <v>7.9</v>
      </c>
      <c r="C1686" s="1">
        <v>987</v>
      </c>
      <c r="D1686" s="1" t="s">
        <v>11</v>
      </c>
      <c r="E1686" s="1" t="s">
        <v>27</v>
      </c>
      <c r="F1686" s="1">
        <f t="shared" si="60"/>
        <v>790</v>
      </c>
      <c r="G1686" s="12">
        <f t="shared" si="61"/>
        <v>124.9367088607595</v>
      </c>
    </row>
    <row r="1687" spans="1:7" ht="13">
      <c r="A1687" s="4" t="s">
        <v>117</v>
      </c>
      <c r="B1687" s="1">
        <v>5.2</v>
      </c>
      <c r="C1687" s="1">
        <v>673</v>
      </c>
      <c r="D1687" s="1" t="s">
        <v>42</v>
      </c>
      <c r="E1687" s="1" t="s">
        <v>30</v>
      </c>
      <c r="F1687" s="1">
        <f t="shared" si="60"/>
        <v>520</v>
      </c>
      <c r="G1687" s="12">
        <f t="shared" si="61"/>
        <v>129.42307692307691</v>
      </c>
    </row>
    <row r="1688" spans="1:7" ht="13">
      <c r="A1688" s="4" t="s">
        <v>117</v>
      </c>
      <c r="B1688" s="1">
        <v>6.3</v>
      </c>
      <c r="C1688" s="1">
        <v>702</v>
      </c>
      <c r="D1688" s="1" t="s">
        <v>43</v>
      </c>
      <c r="E1688" s="1" t="s">
        <v>29</v>
      </c>
      <c r="F1688" s="1">
        <f t="shared" si="60"/>
        <v>630</v>
      </c>
      <c r="G1688" s="12">
        <f t="shared" si="61"/>
        <v>111.42857142857143</v>
      </c>
    </row>
    <row r="1689" spans="1:7" ht="13">
      <c r="A1689" s="4" t="s">
        <v>117</v>
      </c>
      <c r="B1689" s="1">
        <v>8.64</v>
      </c>
      <c r="C1689" s="1">
        <v>1060</v>
      </c>
      <c r="D1689" s="1" t="s">
        <v>11</v>
      </c>
      <c r="E1689" s="1" t="s">
        <v>9</v>
      </c>
      <c r="F1689" s="1">
        <f t="shared" si="60"/>
        <v>864</v>
      </c>
      <c r="G1689" s="12">
        <f t="shared" si="61"/>
        <v>122.68518518518518</v>
      </c>
    </row>
    <row r="1690" spans="1:7" ht="13">
      <c r="A1690" s="4" t="s">
        <v>117</v>
      </c>
      <c r="B1690" s="1">
        <v>6.5</v>
      </c>
      <c r="C1690" s="1">
        <v>745</v>
      </c>
      <c r="D1690" s="1" t="s">
        <v>11</v>
      </c>
      <c r="E1690" s="1" t="s">
        <v>18</v>
      </c>
      <c r="F1690" s="1">
        <f t="shared" si="60"/>
        <v>650</v>
      </c>
      <c r="G1690" s="12">
        <f t="shared" si="61"/>
        <v>114.61538461538461</v>
      </c>
    </row>
    <row r="1691" spans="1:7" ht="13">
      <c r="A1691" s="4" t="s">
        <v>117</v>
      </c>
      <c r="B1691" s="1">
        <v>9.1300000000000008</v>
      </c>
      <c r="C1691" s="1">
        <v>1170</v>
      </c>
      <c r="D1691" s="1" t="s">
        <v>11</v>
      </c>
      <c r="E1691" s="1" t="s">
        <v>23</v>
      </c>
      <c r="F1691" s="1">
        <f t="shared" si="60"/>
        <v>913.00000000000011</v>
      </c>
      <c r="G1691" s="12">
        <f t="shared" si="61"/>
        <v>128.14895947426066</v>
      </c>
    </row>
    <row r="1692" spans="1:7" ht="13">
      <c r="A1692" s="4" t="s">
        <v>117</v>
      </c>
      <c r="B1692" s="1">
        <v>4.92</v>
      </c>
      <c r="C1692" s="1">
        <v>568</v>
      </c>
      <c r="D1692" s="1" t="s">
        <v>33</v>
      </c>
      <c r="E1692" s="1" t="s">
        <v>26</v>
      </c>
      <c r="F1692" s="1">
        <f t="shared" si="60"/>
        <v>492</v>
      </c>
      <c r="G1692" s="12">
        <f t="shared" si="61"/>
        <v>115.44715447154472</v>
      </c>
    </row>
    <row r="1693" spans="1:7" ht="13">
      <c r="A1693" s="4" t="s">
        <v>117</v>
      </c>
      <c r="B1693" s="1">
        <v>8.4</v>
      </c>
      <c r="C1693" s="1">
        <v>1050</v>
      </c>
      <c r="D1693" s="1" t="s">
        <v>33</v>
      </c>
      <c r="E1693" s="1" t="s">
        <v>25</v>
      </c>
      <c r="F1693" s="1">
        <f t="shared" si="60"/>
        <v>840</v>
      </c>
      <c r="G1693" s="12">
        <f t="shared" si="61"/>
        <v>125</v>
      </c>
    </row>
    <row r="1694" spans="1:7" ht="13">
      <c r="A1694" s="4" t="s">
        <v>117</v>
      </c>
      <c r="B1694" s="1">
        <v>7.3949999999999996</v>
      </c>
      <c r="C1694" s="1">
        <v>921</v>
      </c>
      <c r="D1694" s="1" t="s">
        <v>42</v>
      </c>
      <c r="E1694" s="1" t="s">
        <v>25</v>
      </c>
      <c r="F1694" s="1">
        <f t="shared" si="60"/>
        <v>739.5</v>
      </c>
      <c r="G1694" s="12">
        <f t="shared" si="61"/>
        <v>124.54361054766736</v>
      </c>
    </row>
    <row r="1695" spans="1:7" ht="13">
      <c r="A1695" s="4" t="s">
        <v>117</v>
      </c>
      <c r="B1695" s="1">
        <v>7.7</v>
      </c>
      <c r="C1695" s="1">
        <v>892</v>
      </c>
      <c r="D1695" s="1" t="s">
        <v>42</v>
      </c>
      <c r="E1695" s="1" t="s">
        <v>49</v>
      </c>
      <c r="F1695" s="1">
        <f t="shared" si="60"/>
        <v>770</v>
      </c>
      <c r="G1695" s="12">
        <f t="shared" si="61"/>
        <v>115.84415584415584</v>
      </c>
    </row>
    <row r="1696" spans="1:7" ht="13">
      <c r="A1696" s="4" t="s">
        <v>117</v>
      </c>
      <c r="B1696" s="1">
        <v>6.96</v>
      </c>
      <c r="C1696" s="1">
        <v>785</v>
      </c>
      <c r="D1696" s="1" t="s">
        <v>33</v>
      </c>
      <c r="E1696" s="1" t="s">
        <v>15</v>
      </c>
      <c r="F1696" s="1">
        <f t="shared" si="60"/>
        <v>696</v>
      </c>
      <c r="G1696" s="12">
        <f t="shared" si="61"/>
        <v>112.78735632183908</v>
      </c>
    </row>
    <row r="1697" spans="1:7" ht="13">
      <c r="A1697" s="4" t="s">
        <v>117</v>
      </c>
      <c r="B1697" s="1">
        <v>2.87</v>
      </c>
      <c r="C1697" s="1">
        <v>419</v>
      </c>
      <c r="D1697" s="1" t="s">
        <v>11</v>
      </c>
      <c r="E1697" s="1" t="s">
        <v>8</v>
      </c>
      <c r="F1697" s="1">
        <f t="shared" si="60"/>
        <v>287</v>
      </c>
      <c r="G1697" s="12">
        <f t="shared" si="61"/>
        <v>145.99303135888502</v>
      </c>
    </row>
    <row r="1698" spans="1:7" ht="13">
      <c r="A1698" s="4" t="s">
        <v>117</v>
      </c>
      <c r="B1698" s="1">
        <v>4.9000000000000004</v>
      </c>
      <c r="C1698" s="1">
        <v>467</v>
      </c>
      <c r="D1698" s="1" t="s">
        <v>11</v>
      </c>
      <c r="E1698" s="1" t="s">
        <v>18</v>
      </c>
      <c r="F1698" s="1">
        <f t="shared" si="60"/>
        <v>490.00000000000006</v>
      </c>
      <c r="G1698" s="12">
        <f t="shared" si="61"/>
        <v>95.306122448979579</v>
      </c>
    </row>
    <row r="1699" spans="1:7" ht="13">
      <c r="A1699" s="4" t="s">
        <v>117</v>
      </c>
      <c r="B1699" s="1">
        <v>6.7</v>
      </c>
      <c r="C1699" s="1">
        <v>793</v>
      </c>
      <c r="D1699" s="1" t="s">
        <v>58</v>
      </c>
      <c r="E1699" s="1" t="s">
        <v>22</v>
      </c>
      <c r="F1699" s="1">
        <f t="shared" si="60"/>
        <v>670</v>
      </c>
      <c r="G1699" s="12">
        <f t="shared" si="61"/>
        <v>118.35820895522387</v>
      </c>
    </row>
    <row r="1700" spans="1:7" ht="13">
      <c r="A1700" s="4" t="s">
        <v>117</v>
      </c>
      <c r="B1700" s="1">
        <v>7.74</v>
      </c>
      <c r="C1700" s="1">
        <v>828</v>
      </c>
      <c r="D1700" s="1" t="s">
        <v>33</v>
      </c>
      <c r="E1700" s="1" t="s">
        <v>26</v>
      </c>
      <c r="F1700" s="1">
        <f t="shared" si="60"/>
        <v>774</v>
      </c>
      <c r="G1700" s="12">
        <f t="shared" si="61"/>
        <v>106.9767441860465</v>
      </c>
    </row>
    <row r="1701" spans="1:7" ht="13">
      <c r="A1701" s="4" t="s">
        <v>117</v>
      </c>
      <c r="B1701" s="1">
        <v>4.05</v>
      </c>
      <c r="C1701" s="1">
        <v>484</v>
      </c>
      <c r="D1701" s="1" t="s">
        <v>38</v>
      </c>
      <c r="E1701" s="1" t="s">
        <v>30</v>
      </c>
      <c r="F1701" s="1">
        <f t="shared" si="60"/>
        <v>405</v>
      </c>
      <c r="G1701" s="12">
        <f t="shared" si="61"/>
        <v>119.50617283950618</v>
      </c>
    </row>
    <row r="1702" spans="1:7" ht="13">
      <c r="A1702" s="4" t="s">
        <v>117</v>
      </c>
      <c r="B1702" s="1">
        <v>5.16</v>
      </c>
      <c r="C1702" s="1">
        <v>641</v>
      </c>
      <c r="D1702" s="1" t="s">
        <v>42</v>
      </c>
      <c r="E1702" s="1" t="s">
        <v>22</v>
      </c>
      <c r="F1702" s="1">
        <f t="shared" si="60"/>
        <v>516</v>
      </c>
      <c r="G1702" s="12">
        <f t="shared" si="61"/>
        <v>124.22480620155038</v>
      </c>
    </row>
    <row r="1703" spans="1:7" ht="13">
      <c r="A1703" s="4" t="s">
        <v>117</v>
      </c>
      <c r="B1703" s="1">
        <v>7.5</v>
      </c>
      <c r="C1703" s="1">
        <v>850</v>
      </c>
      <c r="D1703" s="1" t="s">
        <v>79</v>
      </c>
      <c r="E1703" s="1" t="s">
        <v>22</v>
      </c>
      <c r="F1703" s="1">
        <f t="shared" si="60"/>
        <v>750</v>
      </c>
      <c r="G1703" s="12">
        <f t="shared" si="61"/>
        <v>113.33333333333333</v>
      </c>
    </row>
    <row r="1704" spans="1:7" ht="13">
      <c r="A1704" s="4" t="s">
        <v>117</v>
      </c>
      <c r="B1704" s="1">
        <v>4.3</v>
      </c>
      <c r="C1704" s="1">
        <v>555</v>
      </c>
      <c r="D1704" s="1" t="s">
        <v>39</v>
      </c>
      <c r="E1704" s="1" t="s">
        <v>15</v>
      </c>
      <c r="F1704" s="1">
        <f t="shared" si="60"/>
        <v>430</v>
      </c>
      <c r="G1704" s="12">
        <f t="shared" si="61"/>
        <v>129.06976744186048</v>
      </c>
    </row>
    <row r="1705" spans="1:7" ht="13">
      <c r="A1705" s="4" t="s">
        <v>117</v>
      </c>
      <c r="B1705" s="1">
        <v>4.3</v>
      </c>
      <c r="C1705" s="1">
        <v>427</v>
      </c>
      <c r="D1705" s="1" t="s">
        <v>11</v>
      </c>
      <c r="E1705" s="1" t="s">
        <v>16</v>
      </c>
      <c r="F1705" s="1">
        <f t="shared" si="60"/>
        <v>430</v>
      </c>
      <c r="G1705" s="12">
        <f t="shared" si="61"/>
        <v>99.302325581395351</v>
      </c>
    </row>
    <row r="1706" spans="1:7" ht="13">
      <c r="A1706" s="4" t="s">
        <v>117</v>
      </c>
      <c r="B1706" s="1">
        <v>5.6</v>
      </c>
      <c r="C1706" s="1">
        <v>763</v>
      </c>
      <c r="D1706" s="1" t="s">
        <v>33</v>
      </c>
      <c r="E1706" s="1" t="s">
        <v>12</v>
      </c>
      <c r="F1706" s="1">
        <f t="shared" si="60"/>
        <v>560</v>
      </c>
      <c r="G1706" s="12">
        <f t="shared" si="61"/>
        <v>136.25</v>
      </c>
    </row>
    <row r="1707" spans="1:7" ht="13">
      <c r="A1707" s="4" t="s">
        <v>117</v>
      </c>
      <c r="B1707" s="1">
        <v>6</v>
      </c>
      <c r="C1707" s="1">
        <v>807</v>
      </c>
      <c r="D1707" s="1" t="s">
        <v>11</v>
      </c>
      <c r="E1707" s="1" t="s">
        <v>7</v>
      </c>
      <c r="F1707" s="1">
        <f t="shared" si="60"/>
        <v>600</v>
      </c>
      <c r="G1707" s="12">
        <f t="shared" si="61"/>
        <v>134.5</v>
      </c>
    </row>
    <row r="1708" spans="1:7" ht="13">
      <c r="A1708" s="4" t="s">
        <v>117</v>
      </c>
      <c r="B1708" s="1">
        <v>4.3</v>
      </c>
      <c r="C1708" s="1">
        <v>639</v>
      </c>
      <c r="D1708" s="1" t="s">
        <v>47</v>
      </c>
      <c r="E1708" s="1" t="s">
        <v>8</v>
      </c>
      <c r="F1708" s="1">
        <f t="shared" si="60"/>
        <v>430</v>
      </c>
      <c r="G1708" s="12">
        <f t="shared" si="61"/>
        <v>148.6046511627907</v>
      </c>
    </row>
    <row r="1709" spans="1:7" ht="13">
      <c r="A1709" s="4" t="s">
        <v>117</v>
      </c>
      <c r="B1709" s="1">
        <v>6.72</v>
      </c>
      <c r="C1709" s="1">
        <v>967</v>
      </c>
      <c r="D1709" s="1" t="s">
        <v>43</v>
      </c>
      <c r="E1709" s="1" t="s">
        <v>20</v>
      </c>
      <c r="F1709" s="1">
        <f t="shared" si="60"/>
        <v>672</v>
      </c>
      <c r="G1709" s="12">
        <f t="shared" si="61"/>
        <v>143.89880952380952</v>
      </c>
    </row>
    <row r="1710" spans="1:7" ht="13">
      <c r="A1710" s="4" t="s">
        <v>117</v>
      </c>
      <c r="B1710" s="1">
        <v>5.3949999999999996</v>
      </c>
      <c r="C1710" s="1">
        <v>600</v>
      </c>
      <c r="D1710" s="1" t="s">
        <v>44</v>
      </c>
      <c r="E1710" s="1" t="s">
        <v>15</v>
      </c>
      <c r="F1710" s="1">
        <f t="shared" si="60"/>
        <v>539.5</v>
      </c>
      <c r="G1710" s="12">
        <f t="shared" si="61"/>
        <v>111.21408711770158</v>
      </c>
    </row>
    <row r="1711" spans="1:7" ht="13">
      <c r="A1711" s="4" t="s">
        <v>117</v>
      </c>
      <c r="B1711" s="1">
        <v>5.2</v>
      </c>
      <c r="C1711" s="1">
        <v>605</v>
      </c>
      <c r="D1711" s="1" t="s">
        <v>44</v>
      </c>
      <c r="E1711" s="1" t="s">
        <v>15</v>
      </c>
      <c r="F1711" s="1">
        <f t="shared" si="60"/>
        <v>520</v>
      </c>
      <c r="G1711" s="12">
        <f t="shared" si="61"/>
        <v>116.34615384615384</v>
      </c>
    </row>
    <row r="1712" spans="1:7" ht="13">
      <c r="A1712" s="4" t="s">
        <v>117</v>
      </c>
      <c r="B1712" s="1">
        <v>6.7</v>
      </c>
      <c r="C1712" s="1">
        <v>875</v>
      </c>
      <c r="D1712" s="1" t="s">
        <v>11</v>
      </c>
      <c r="E1712" s="1" t="s">
        <v>16</v>
      </c>
      <c r="F1712" s="1">
        <f t="shared" si="60"/>
        <v>670</v>
      </c>
      <c r="G1712" s="12">
        <f t="shared" si="61"/>
        <v>130.59701492537314</v>
      </c>
    </row>
    <row r="1713" spans="1:7" ht="13">
      <c r="A1713" s="4" t="s">
        <v>117</v>
      </c>
      <c r="B1713" s="1">
        <v>9.4600000000000009</v>
      </c>
      <c r="C1713" s="1">
        <v>1029</v>
      </c>
      <c r="D1713" s="1" t="s">
        <v>11</v>
      </c>
      <c r="E1713" s="1" t="s">
        <v>25</v>
      </c>
      <c r="F1713" s="1">
        <f t="shared" si="60"/>
        <v>946.00000000000011</v>
      </c>
      <c r="G1713" s="12">
        <f t="shared" si="61"/>
        <v>108.7737843551797</v>
      </c>
    </row>
    <row r="1714" spans="1:7" ht="13">
      <c r="A1714" s="4" t="s">
        <v>117</v>
      </c>
      <c r="B1714" s="1">
        <v>7.7</v>
      </c>
      <c r="C1714" s="1">
        <v>1020</v>
      </c>
      <c r="D1714" s="1" t="s">
        <v>53</v>
      </c>
      <c r="E1714" s="1" t="s">
        <v>17</v>
      </c>
      <c r="F1714" s="1">
        <f t="shared" si="60"/>
        <v>770</v>
      </c>
      <c r="G1714" s="12">
        <f t="shared" si="61"/>
        <v>132.46753246753246</v>
      </c>
    </row>
    <row r="1715" spans="1:7" ht="13">
      <c r="A1715" s="4" t="s">
        <v>117</v>
      </c>
      <c r="B1715" s="1">
        <v>5.5</v>
      </c>
      <c r="C1715" s="1">
        <v>803</v>
      </c>
      <c r="D1715" s="1" t="s">
        <v>35</v>
      </c>
      <c r="E1715" s="1" t="s">
        <v>8</v>
      </c>
      <c r="F1715" s="1">
        <f t="shared" si="60"/>
        <v>550</v>
      </c>
      <c r="G1715" s="12">
        <f t="shared" si="61"/>
        <v>146</v>
      </c>
    </row>
    <row r="1716" spans="1:7" ht="13">
      <c r="A1716" s="4" t="s">
        <v>117</v>
      </c>
      <c r="B1716" s="1">
        <v>6.96</v>
      </c>
      <c r="C1716" s="1">
        <v>841</v>
      </c>
      <c r="D1716" s="1" t="s">
        <v>11</v>
      </c>
      <c r="E1716" s="1" t="s">
        <v>31</v>
      </c>
      <c r="F1716" s="1">
        <f t="shared" si="60"/>
        <v>696</v>
      </c>
      <c r="G1716" s="12">
        <f t="shared" si="61"/>
        <v>120.83333333333333</v>
      </c>
    </row>
    <row r="1717" spans="1:7" ht="13">
      <c r="A1717" s="4" t="s">
        <v>117</v>
      </c>
      <c r="B1717" s="1">
        <v>3.87</v>
      </c>
      <c r="C1717" s="1">
        <v>480</v>
      </c>
      <c r="D1717" s="1" t="s">
        <v>67</v>
      </c>
      <c r="E1717" s="1" t="s">
        <v>8</v>
      </c>
      <c r="F1717" s="1">
        <f t="shared" si="60"/>
        <v>387</v>
      </c>
      <c r="G1717" s="12">
        <f t="shared" si="61"/>
        <v>124.03100775193798</v>
      </c>
    </row>
    <row r="1718" spans="1:7" ht="13">
      <c r="A1718" s="4" t="s">
        <v>117</v>
      </c>
      <c r="B1718" s="1">
        <v>7.56</v>
      </c>
      <c r="C1718" s="1">
        <v>1038</v>
      </c>
      <c r="D1718" s="1" t="s">
        <v>11</v>
      </c>
      <c r="E1718" s="1" t="s">
        <v>9</v>
      </c>
      <c r="F1718" s="1">
        <f t="shared" si="60"/>
        <v>756</v>
      </c>
      <c r="G1718" s="12">
        <f t="shared" si="61"/>
        <v>137.30158730158732</v>
      </c>
    </row>
    <row r="1719" spans="1:7" ht="13">
      <c r="A1719" s="4" t="s">
        <v>117</v>
      </c>
      <c r="B1719" s="1">
        <v>6.96</v>
      </c>
      <c r="C1719" s="1">
        <v>765</v>
      </c>
      <c r="D1719" s="1" t="s">
        <v>33</v>
      </c>
      <c r="E1719" s="1" t="s">
        <v>25</v>
      </c>
      <c r="F1719" s="1">
        <f t="shared" si="60"/>
        <v>696</v>
      </c>
      <c r="G1719" s="12">
        <f t="shared" si="61"/>
        <v>109.91379310344827</v>
      </c>
    </row>
    <row r="1720" spans="1:7" ht="13">
      <c r="A1720" s="4" t="s">
        <v>117</v>
      </c>
      <c r="B1720" s="1">
        <v>9.5</v>
      </c>
      <c r="C1720" s="1">
        <v>1160</v>
      </c>
      <c r="D1720" s="1" t="s">
        <v>11</v>
      </c>
      <c r="E1720" s="1" t="s">
        <v>31</v>
      </c>
      <c r="F1720" s="1">
        <f t="shared" si="60"/>
        <v>950</v>
      </c>
      <c r="G1720" s="12">
        <f t="shared" si="61"/>
        <v>122.10526315789474</v>
      </c>
    </row>
    <row r="1721" spans="1:7" ht="13">
      <c r="A1721" s="4" t="s">
        <v>117</v>
      </c>
      <c r="B1721" s="1">
        <v>6.7</v>
      </c>
      <c r="C1721" s="1">
        <v>740</v>
      </c>
      <c r="D1721" s="1" t="s">
        <v>11</v>
      </c>
      <c r="E1721" s="1" t="s">
        <v>30</v>
      </c>
      <c r="F1721" s="1">
        <f t="shared" si="60"/>
        <v>670</v>
      </c>
      <c r="G1721" s="12">
        <f t="shared" si="61"/>
        <v>110.44776119402985</v>
      </c>
    </row>
    <row r="1722" spans="1:7" ht="13">
      <c r="A1722" s="4" t="s">
        <v>117</v>
      </c>
      <c r="B1722" s="1">
        <v>5.0999999999999996</v>
      </c>
      <c r="C1722" s="1">
        <v>626.5</v>
      </c>
      <c r="D1722" s="1" t="s">
        <v>11</v>
      </c>
      <c r="E1722" s="1" t="s">
        <v>21</v>
      </c>
      <c r="F1722" s="1">
        <f t="shared" si="60"/>
        <v>509.99999999999994</v>
      </c>
      <c r="G1722" s="12">
        <f t="shared" si="61"/>
        <v>122.84313725490198</v>
      </c>
    </row>
    <row r="1723" spans="1:7" ht="13">
      <c r="A1723" s="4" t="s">
        <v>117</v>
      </c>
      <c r="B1723" s="1">
        <v>5.4</v>
      </c>
      <c r="C1723" s="1">
        <v>653</v>
      </c>
      <c r="D1723" s="1" t="s">
        <v>35</v>
      </c>
      <c r="E1723" s="1" t="s">
        <v>8</v>
      </c>
      <c r="F1723" s="1">
        <f t="shared" si="60"/>
        <v>540</v>
      </c>
      <c r="G1723" s="12">
        <f t="shared" si="61"/>
        <v>120.92592592592592</v>
      </c>
    </row>
    <row r="1724" spans="1:7" ht="13">
      <c r="A1724" s="4" t="s">
        <v>117</v>
      </c>
      <c r="B1724" s="1">
        <v>3.85</v>
      </c>
      <c r="C1724" s="1">
        <v>467</v>
      </c>
      <c r="D1724" s="1" t="s">
        <v>11</v>
      </c>
      <c r="E1724" s="1" t="s">
        <v>20</v>
      </c>
      <c r="F1724" s="1">
        <f t="shared" si="60"/>
        <v>385</v>
      </c>
      <c r="G1724" s="12">
        <f t="shared" si="61"/>
        <v>121.29870129870129</v>
      </c>
    </row>
    <row r="1725" spans="1:7" ht="13">
      <c r="A1725" s="4" t="s">
        <v>117</v>
      </c>
      <c r="B1725" s="1">
        <v>7.86</v>
      </c>
      <c r="C1725" s="1">
        <v>909</v>
      </c>
      <c r="D1725" s="1" t="s">
        <v>33</v>
      </c>
      <c r="E1725" s="1" t="s">
        <v>24</v>
      </c>
      <c r="F1725" s="1">
        <f t="shared" si="60"/>
        <v>786</v>
      </c>
      <c r="G1725" s="12">
        <f t="shared" si="61"/>
        <v>115.64885496183206</v>
      </c>
    </row>
    <row r="1726" spans="1:7" ht="13">
      <c r="A1726" s="4" t="s">
        <v>117</v>
      </c>
      <c r="B1726" s="1">
        <v>7.56</v>
      </c>
      <c r="C1726" s="1">
        <v>907</v>
      </c>
      <c r="D1726" s="1" t="s">
        <v>65</v>
      </c>
      <c r="E1726" s="1" t="s">
        <v>17</v>
      </c>
      <c r="F1726" s="1">
        <f t="shared" si="60"/>
        <v>756</v>
      </c>
      <c r="G1726" s="12">
        <f t="shared" si="61"/>
        <v>119.97354497354497</v>
      </c>
    </row>
    <row r="1727" spans="1:7" ht="13">
      <c r="A1727" s="4" t="s">
        <v>117</v>
      </c>
      <c r="B1727" s="1">
        <v>7</v>
      </c>
      <c r="C1727" s="1">
        <v>920</v>
      </c>
      <c r="D1727" s="1" t="s">
        <v>11</v>
      </c>
      <c r="E1727" s="1" t="s">
        <v>10</v>
      </c>
      <c r="F1727" s="1">
        <f t="shared" si="60"/>
        <v>700</v>
      </c>
      <c r="G1727" s="12">
        <f t="shared" si="61"/>
        <v>131.42857142857142</v>
      </c>
    </row>
    <row r="1728" spans="1:7" ht="13">
      <c r="A1728" s="4" t="s">
        <v>117</v>
      </c>
      <c r="B1728" s="1">
        <v>7.14</v>
      </c>
      <c r="C1728" s="1">
        <v>924</v>
      </c>
      <c r="D1728" s="1" t="s">
        <v>42</v>
      </c>
      <c r="E1728" s="1" t="s">
        <v>10</v>
      </c>
      <c r="F1728" s="1">
        <f t="shared" si="60"/>
        <v>714</v>
      </c>
      <c r="G1728" s="12">
        <f t="shared" si="61"/>
        <v>129.41176470588235</v>
      </c>
    </row>
    <row r="1729" spans="1:7" ht="13">
      <c r="A1729" s="4" t="s">
        <v>117</v>
      </c>
      <c r="B1729" s="1">
        <v>9.57</v>
      </c>
      <c r="C1729" s="1">
        <v>1070</v>
      </c>
      <c r="D1729" s="1" t="s">
        <v>42</v>
      </c>
      <c r="E1729" s="1" t="s">
        <v>22</v>
      </c>
      <c r="F1729" s="1">
        <f t="shared" si="60"/>
        <v>957</v>
      </c>
      <c r="G1729" s="12">
        <f t="shared" si="61"/>
        <v>111.80773249738766</v>
      </c>
    </row>
    <row r="1730" spans="1:7" ht="13">
      <c r="A1730" s="4" t="s">
        <v>117</v>
      </c>
      <c r="B1730" s="1">
        <v>5</v>
      </c>
      <c r="C1730" s="1">
        <v>507</v>
      </c>
      <c r="D1730" s="1" t="s">
        <v>50</v>
      </c>
      <c r="E1730" s="1" t="s">
        <v>7</v>
      </c>
      <c r="F1730" s="1">
        <f t="shared" si="60"/>
        <v>500</v>
      </c>
      <c r="G1730" s="12">
        <f t="shared" si="61"/>
        <v>101.4</v>
      </c>
    </row>
    <row r="1731" spans="1:7" ht="13">
      <c r="A1731" s="4" t="s">
        <v>117</v>
      </c>
      <c r="B1731" s="1">
        <v>6.8</v>
      </c>
      <c r="C1731" s="1">
        <v>683</v>
      </c>
      <c r="D1731" s="1" t="s">
        <v>100</v>
      </c>
      <c r="E1731" s="1" t="s">
        <v>29</v>
      </c>
      <c r="F1731" s="1">
        <f t="shared" ref="F1731:F1794" si="62">B1731*100</f>
        <v>680</v>
      </c>
      <c r="G1731" s="12">
        <f t="shared" ref="G1731:G1794" si="63">C1731/B1731</f>
        <v>100.44117647058823</v>
      </c>
    </row>
    <row r="1732" spans="1:7" ht="13">
      <c r="A1732" s="4" t="s">
        <v>117</v>
      </c>
      <c r="B1732" s="1">
        <v>4.5</v>
      </c>
      <c r="C1732" s="1">
        <v>539.6</v>
      </c>
      <c r="D1732" s="1" t="s">
        <v>43</v>
      </c>
      <c r="E1732" s="1" t="s">
        <v>15</v>
      </c>
      <c r="F1732" s="1">
        <f t="shared" si="62"/>
        <v>450</v>
      </c>
      <c r="G1732" s="12">
        <f t="shared" si="63"/>
        <v>119.91111111111111</v>
      </c>
    </row>
    <row r="1733" spans="1:7" ht="13">
      <c r="A1733" s="4" t="s">
        <v>117</v>
      </c>
      <c r="B1733" s="1">
        <v>5.74</v>
      </c>
      <c r="C1733" s="1">
        <v>707</v>
      </c>
      <c r="D1733" s="1" t="s">
        <v>42</v>
      </c>
      <c r="E1733" s="1" t="s">
        <v>32</v>
      </c>
      <c r="F1733" s="1">
        <f t="shared" si="62"/>
        <v>574</v>
      </c>
      <c r="G1733" s="12">
        <f t="shared" si="63"/>
        <v>123.17073170731707</v>
      </c>
    </row>
    <row r="1734" spans="1:7" ht="13">
      <c r="A1734" s="4" t="s">
        <v>117</v>
      </c>
      <c r="B1734" s="1">
        <v>9.1999999999999993</v>
      </c>
      <c r="C1734" s="1">
        <v>1102</v>
      </c>
      <c r="D1734" s="1" t="s">
        <v>43</v>
      </c>
      <c r="E1734" s="1" t="s">
        <v>14</v>
      </c>
      <c r="F1734" s="1">
        <f t="shared" si="62"/>
        <v>919.99999999999989</v>
      </c>
      <c r="G1734" s="12">
        <f t="shared" si="63"/>
        <v>119.78260869565219</v>
      </c>
    </row>
    <row r="1735" spans="1:7" ht="13">
      <c r="A1735" s="4" t="s">
        <v>117</v>
      </c>
      <c r="B1735" s="1">
        <v>4.5999999999999996</v>
      </c>
      <c r="C1735" s="1">
        <v>565</v>
      </c>
      <c r="D1735" s="1" t="s">
        <v>11</v>
      </c>
      <c r="E1735" s="1" t="s">
        <v>9</v>
      </c>
      <c r="F1735" s="1">
        <f t="shared" si="62"/>
        <v>459.99999999999994</v>
      </c>
      <c r="G1735" s="12">
        <f t="shared" si="63"/>
        <v>122.82608695652175</v>
      </c>
    </row>
    <row r="1736" spans="1:7" ht="13">
      <c r="A1736" s="4" t="s">
        <v>117</v>
      </c>
      <c r="B1736" s="1">
        <v>7.8</v>
      </c>
      <c r="C1736" s="1">
        <v>769</v>
      </c>
      <c r="D1736" s="1" t="s">
        <v>60</v>
      </c>
      <c r="E1736" s="1" t="s">
        <v>15</v>
      </c>
      <c r="F1736" s="1">
        <f t="shared" si="62"/>
        <v>780</v>
      </c>
      <c r="G1736" s="12">
        <f t="shared" si="63"/>
        <v>98.589743589743591</v>
      </c>
    </row>
    <row r="1737" spans="1:7" ht="13">
      <c r="A1737" s="4" t="s">
        <v>117</v>
      </c>
      <c r="B1737" s="1">
        <v>7.8</v>
      </c>
      <c r="C1737" s="1">
        <v>1000</v>
      </c>
      <c r="D1737" s="1" t="s">
        <v>33</v>
      </c>
      <c r="E1737" s="1" t="s">
        <v>8</v>
      </c>
      <c r="F1737" s="1">
        <f t="shared" si="62"/>
        <v>780</v>
      </c>
      <c r="G1737" s="12">
        <f t="shared" si="63"/>
        <v>128.2051282051282</v>
      </c>
    </row>
    <row r="1738" spans="1:7" ht="13">
      <c r="A1738" s="4" t="s">
        <v>117</v>
      </c>
      <c r="B1738" s="1">
        <v>6.3</v>
      </c>
      <c r="C1738" s="1">
        <v>680</v>
      </c>
      <c r="D1738" s="1" t="s">
        <v>40</v>
      </c>
      <c r="E1738" s="1" t="s">
        <v>18</v>
      </c>
      <c r="F1738" s="1">
        <f t="shared" si="62"/>
        <v>630</v>
      </c>
      <c r="G1738" s="12">
        <f t="shared" si="63"/>
        <v>107.93650793650794</v>
      </c>
    </row>
    <row r="1739" spans="1:7" ht="13">
      <c r="A1739" s="4" t="s">
        <v>117</v>
      </c>
      <c r="B1739" s="1">
        <v>6.7</v>
      </c>
      <c r="C1739" s="1">
        <v>836</v>
      </c>
      <c r="D1739" s="1" t="s">
        <v>43</v>
      </c>
      <c r="E1739" s="1" t="s">
        <v>49</v>
      </c>
      <c r="F1739" s="1">
        <f t="shared" si="62"/>
        <v>670</v>
      </c>
      <c r="G1739" s="12">
        <f t="shared" si="63"/>
        <v>124.77611940298507</v>
      </c>
    </row>
    <row r="1740" spans="1:7" ht="13">
      <c r="A1740" s="4" t="s">
        <v>117</v>
      </c>
      <c r="B1740" s="1">
        <v>4.5599999999999996</v>
      </c>
      <c r="C1740" s="1">
        <v>602</v>
      </c>
      <c r="D1740" s="1" t="s">
        <v>33</v>
      </c>
      <c r="E1740" s="1" t="s">
        <v>17</v>
      </c>
      <c r="F1740" s="1">
        <f t="shared" si="62"/>
        <v>455.99999999999994</v>
      </c>
      <c r="G1740" s="12">
        <f t="shared" si="63"/>
        <v>132.01754385964912</v>
      </c>
    </row>
    <row r="1741" spans="1:7" ht="13">
      <c r="A1741" s="4" t="s">
        <v>117</v>
      </c>
      <c r="B1741" s="1">
        <v>5</v>
      </c>
      <c r="C1741" s="1">
        <v>718</v>
      </c>
      <c r="D1741" s="1" t="s">
        <v>55</v>
      </c>
      <c r="E1741" s="1" t="s">
        <v>21</v>
      </c>
      <c r="F1741" s="1">
        <f t="shared" si="62"/>
        <v>500</v>
      </c>
      <c r="G1741" s="12">
        <f t="shared" si="63"/>
        <v>143.6</v>
      </c>
    </row>
    <row r="1742" spans="1:7" ht="13">
      <c r="A1742" s="4" t="s">
        <v>117</v>
      </c>
      <c r="B1742" s="1">
        <v>6.1</v>
      </c>
      <c r="C1742" s="1">
        <v>672</v>
      </c>
      <c r="D1742" s="1" t="s">
        <v>48</v>
      </c>
      <c r="E1742" s="1" t="s">
        <v>23</v>
      </c>
      <c r="F1742" s="1">
        <f t="shared" si="62"/>
        <v>610</v>
      </c>
      <c r="G1742" s="12">
        <f t="shared" si="63"/>
        <v>110.16393442622952</v>
      </c>
    </row>
    <row r="1743" spans="1:7" ht="13">
      <c r="A1743" s="4" t="s">
        <v>117</v>
      </c>
      <c r="B1743" s="1">
        <v>4.8</v>
      </c>
      <c r="C1743" s="1">
        <v>562</v>
      </c>
      <c r="D1743" s="1" t="s">
        <v>39</v>
      </c>
      <c r="E1743" s="1" t="s">
        <v>16</v>
      </c>
      <c r="F1743" s="1">
        <f t="shared" si="62"/>
        <v>480</v>
      </c>
      <c r="G1743" s="12">
        <f t="shared" si="63"/>
        <v>117.08333333333334</v>
      </c>
    </row>
    <row r="1744" spans="1:7" ht="13">
      <c r="A1744" s="4" t="s">
        <v>117</v>
      </c>
      <c r="B1744" s="1">
        <v>5.16</v>
      </c>
      <c r="C1744" s="1">
        <v>632</v>
      </c>
      <c r="D1744" s="1" t="s">
        <v>48</v>
      </c>
      <c r="E1744" s="1" t="s">
        <v>30</v>
      </c>
      <c r="F1744" s="1">
        <f t="shared" si="62"/>
        <v>516</v>
      </c>
      <c r="G1744" s="12">
        <f t="shared" si="63"/>
        <v>122.48062015503875</v>
      </c>
    </row>
    <row r="1745" spans="1:7" ht="13">
      <c r="A1745" s="4" t="s">
        <v>117</v>
      </c>
      <c r="B1745" s="1">
        <v>6.15</v>
      </c>
      <c r="C1745" s="1">
        <v>789</v>
      </c>
      <c r="D1745" s="1" t="s">
        <v>11</v>
      </c>
      <c r="E1745" s="1" t="s">
        <v>15</v>
      </c>
      <c r="F1745" s="1">
        <f t="shared" si="62"/>
        <v>615</v>
      </c>
      <c r="G1745" s="12">
        <f t="shared" si="63"/>
        <v>128.29268292682926</v>
      </c>
    </row>
    <row r="1746" spans="1:7" ht="13">
      <c r="A1746" s="4" t="s">
        <v>117</v>
      </c>
      <c r="B1746" s="1">
        <v>4.46</v>
      </c>
      <c r="C1746" s="1">
        <v>530</v>
      </c>
      <c r="D1746" s="1" t="s">
        <v>43</v>
      </c>
      <c r="E1746" s="1" t="s">
        <v>15</v>
      </c>
      <c r="F1746" s="1">
        <f t="shared" si="62"/>
        <v>446</v>
      </c>
      <c r="G1746" s="12">
        <f t="shared" si="63"/>
        <v>118.83408071748879</v>
      </c>
    </row>
    <row r="1747" spans="1:7" ht="13">
      <c r="A1747" s="4" t="s">
        <v>117</v>
      </c>
      <c r="B1747" s="1">
        <v>6</v>
      </c>
      <c r="C1747" s="1">
        <v>839</v>
      </c>
      <c r="D1747" s="1" t="s">
        <v>53</v>
      </c>
      <c r="E1747" s="1" t="s">
        <v>8</v>
      </c>
      <c r="F1747" s="1">
        <f t="shared" si="62"/>
        <v>600</v>
      </c>
      <c r="G1747" s="12">
        <f t="shared" si="63"/>
        <v>139.83333333333334</v>
      </c>
    </row>
    <row r="1748" spans="1:7" ht="13">
      <c r="A1748" s="4" t="s">
        <v>117</v>
      </c>
      <c r="B1748" s="1">
        <v>3.48</v>
      </c>
      <c r="C1748" s="1">
        <v>449</v>
      </c>
      <c r="D1748" s="1" t="s">
        <v>38</v>
      </c>
      <c r="E1748" s="1" t="s">
        <v>7</v>
      </c>
      <c r="F1748" s="1">
        <f t="shared" si="62"/>
        <v>348</v>
      </c>
      <c r="G1748" s="12">
        <f t="shared" si="63"/>
        <v>129.02298850574712</v>
      </c>
    </row>
    <row r="1749" spans="1:7" ht="13">
      <c r="A1749" s="4" t="s">
        <v>117</v>
      </c>
      <c r="B1749" s="1">
        <v>6.88</v>
      </c>
      <c r="C1749" s="1">
        <v>932</v>
      </c>
      <c r="D1749" s="1" t="s">
        <v>11</v>
      </c>
      <c r="E1749" s="1" t="s">
        <v>15</v>
      </c>
      <c r="F1749" s="1">
        <f t="shared" si="62"/>
        <v>688</v>
      </c>
      <c r="G1749" s="12">
        <f t="shared" si="63"/>
        <v>135.46511627906978</v>
      </c>
    </row>
    <row r="1750" spans="1:7" ht="13">
      <c r="A1750" s="4" t="s">
        <v>117</v>
      </c>
      <c r="B1750" s="1">
        <v>3</v>
      </c>
      <c r="C1750" s="1">
        <v>330</v>
      </c>
      <c r="D1750" s="1" t="s">
        <v>11</v>
      </c>
      <c r="E1750" s="1" t="s">
        <v>10</v>
      </c>
      <c r="F1750" s="1">
        <f t="shared" si="62"/>
        <v>300</v>
      </c>
      <c r="G1750" s="12">
        <f t="shared" si="63"/>
        <v>110</v>
      </c>
    </row>
    <row r="1751" spans="1:7" ht="13">
      <c r="A1751" s="4" t="s">
        <v>117</v>
      </c>
      <c r="B1751" s="1">
        <v>4.3499999999999996</v>
      </c>
      <c r="C1751" s="1">
        <v>349</v>
      </c>
      <c r="D1751" s="1" t="s">
        <v>11</v>
      </c>
      <c r="E1751" s="1" t="s">
        <v>15</v>
      </c>
      <c r="F1751" s="1">
        <f t="shared" si="62"/>
        <v>434.99999999999994</v>
      </c>
      <c r="G1751" s="12">
        <f t="shared" si="63"/>
        <v>80.229885057471265</v>
      </c>
    </row>
    <row r="1752" spans="1:7" ht="13">
      <c r="A1752" s="4" t="s">
        <v>117</v>
      </c>
      <c r="B1752" s="1">
        <v>5.8</v>
      </c>
      <c r="C1752" s="1">
        <v>687</v>
      </c>
      <c r="D1752" s="1" t="s">
        <v>39</v>
      </c>
      <c r="E1752" s="1" t="s">
        <v>10</v>
      </c>
      <c r="F1752" s="1">
        <f t="shared" si="62"/>
        <v>580</v>
      </c>
      <c r="G1752" s="12">
        <f t="shared" si="63"/>
        <v>118.44827586206897</v>
      </c>
    </row>
    <row r="1753" spans="1:7" ht="13">
      <c r="A1753" s="4" t="s">
        <v>117</v>
      </c>
      <c r="B1753" s="1">
        <v>5.81</v>
      </c>
      <c r="C1753" s="1">
        <v>751</v>
      </c>
      <c r="D1753" s="1" t="s">
        <v>38</v>
      </c>
      <c r="E1753" s="1" t="s">
        <v>8</v>
      </c>
      <c r="F1753" s="1">
        <f t="shared" si="62"/>
        <v>581</v>
      </c>
      <c r="G1753" s="12">
        <f t="shared" si="63"/>
        <v>129.25989672977624</v>
      </c>
    </row>
    <row r="1754" spans="1:7" ht="13">
      <c r="A1754" s="4" t="s">
        <v>117</v>
      </c>
      <c r="B1754" s="1">
        <v>8.6999999999999993</v>
      </c>
      <c r="C1754" s="1">
        <v>1120</v>
      </c>
      <c r="D1754" s="1" t="s">
        <v>45</v>
      </c>
      <c r="E1754" s="1" t="s">
        <v>20</v>
      </c>
      <c r="F1754" s="1">
        <f t="shared" si="62"/>
        <v>869.99999999999989</v>
      </c>
      <c r="G1754" s="12">
        <f t="shared" si="63"/>
        <v>128.73563218390805</v>
      </c>
    </row>
    <row r="1755" spans="1:7" ht="13">
      <c r="A1755" s="4" t="s">
        <v>117</v>
      </c>
      <c r="B1755" s="1">
        <v>6.09</v>
      </c>
      <c r="C1755" s="1">
        <v>826</v>
      </c>
      <c r="D1755" s="1" t="s">
        <v>44</v>
      </c>
      <c r="E1755" s="1" t="s">
        <v>20</v>
      </c>
      <c r="F1755" s="1">
        <f t="shared" si="62"/>
        <v>609</v>
      </c>
      <c r="G1755" s="12">
        <f t="shared" si="63"/>
        <v>135.63218390804599</v>
      </c>
    </row>
    <row r="1756" spans="1:7" ht="13">
      <c r="A1756" s="4" t="s">
        <v>117</v>
      </c>
      <c r="B1756" s="1">
        <v>6.5</v>
      </c>
      <c r="C1756" s="1">
        <v>811</v>
      </c>
      <c r="D1756" s="1" t="s">
        <v>101</v>
      </c>
      <c r="E1756" s="1" t="s">
        <v>20</v>
      </c>
      <c r="F1756" s="1">
        <f t="shared" si="62"/>
        <v>650</v>
      </c>
      <c r="G1756" s="12">
        <f t="shared" si="63"/>
        <v>124.76923076923077</v>
      </c>
    </row>
    <row r="1757" spans="1:7" ht="13">
      <c r="A1757" s="4" t="s">
        <v>117</v>
      </c>
      <c r="B1757" s="1">
        <v>20</v>
      </c>
      <c r="C1757" s="1">
        <v>1740</v>
      </c>
      <c r="D1757" s="1" t="s">
        <v>33</v>
      </c>
      <c r="E1757" s="1" t="s">
        <v>20</v>
      </c>
      <c r="F1757" s="1">
        <f t="shared" si="62"/>
        <v>2000</v>
      </c>
      <c r="G1757" s="12">
        <f t="shared" si="63"/>
        <v>87</v>
      </c>
    </row>
    <row r="1758" spans="1:7" ht="13">
      <c r="A1758" s="4" t="s">
        <v>117</v>
      </c>
      <c r="B1758" s="1">
        <v>4.2</v>
      </c>
      <c r="C1758" s="1">
        <v>557</v>
      </c>
      <c r="D1758" s="1" t="s">
        <v>57</v>
      </c>
      <c r="E1758" s="1" t="s">
        <v>26</v>
      </c>
      <c r="F1758" s="1">
        <f t="shared" si="62"/>
        <v>420</v>
      </c>
      <c r="G1758" s="12">
        <f t="shared" si="63"/>
        <v>132.61904761904762</v>
      </c>
    </row>
    <row r="1759" spans="1:7" ht="13">
      <c r="A1759" s="4" t="s">
        <v>117</v>
      </c>
      <c r="B1759" s="1">
        <v>9.1300000000000008</v>
      </c>
      <c r="C1759" s="1">
        <v>1.01</v>
      </c>
      <c r="D1759" s="1" t="s">
        <v>11</v>
      </c>
      <c r="E1759" s="1" t="s">
        <v>19</v>
      </c>
      <c r="F1759" s="1">
        <f t="shared" si="62"/>
        <v>913.00000000000011</v>
      </c>
      <c r="G1759" s="12">
        <f t="shared" si="63"/>
        <v>0.11062431544359254</v>
      </c>
    </row>
    <row r="1760" spans="1:7" ht="13">
      <c r="A1760" s="4" t="s">
        <v>117</v>
      </c>
      <c r="B1760" s="1">
        <v>7.74</v>
      </c>
      <c r="C1760" s="1">
        <v>972</v>
      </c>
      <c r="D1760" s="1" t="s">
        <v>11</v>
      </c>
      <c r="E1760" s="1" t="s">
        <v>23</v>
      </c>
      <c r="F1760" s="1">
        <f t="shared" si="62"/>
        <v>774</v>
      </c>
      <c r="G1760" s="12">
        <f t="shared" si="63"/>
        <v>125.58139534883721</v>
      </c>
    </row>
    <row r="1761" spans="1:7" ht="13">
      <c r="A1761" s="4" t="s">
        <v>117</v>
      </c>
      <c r="B1761" s="1">
        <v>7.29</v>
      </c>
      <c r="C1761" s="1">
        <v>958</v>
      </c>
      <c r="D1761" s="1" t="s">
        <v>33</v>
      </c>
      <c r="E1761" s="1" t="s">
        <v>17</v>
      </c>
      <c r="F1761" s="1">
        <f t="shared" si="62"/>
        <v>729</v>
      </c>
      <c r="G1761" s="12">
        <f t="shared" si="63"/>
        <v>131.41289437585735</v>
      </c>
    </row>
    <row r="1762" spans="1:7" ht="13">
      <c r="A1762" s="4" t="s">
        <v>117</v>
      </c>
      <c r="B1762" s="1">
        <v>5.0999999999999996</v>
      </c>
      <c r="C1762" s="1">
        <v>592</v>
      </c>
      <c r="D1762" s="1" t="s">
        <v>33</v>
      </c>
      <c r="E1762" s="1" t="s">
        <v>15</v>
      </c>
      <c r="F1762" s="1">
        <f t="shared" si="62"/>
        <v>509.99999999999994</v>
      </c>
      <c r="G1762" s="12">
        <f t="shared" si="63"/>
        <v>116.07843137254903</v>
      </c>
    </row>
    <row r="1763" spans="1:7" ht="13">
      <c r="A1763" s="4" t="s">
        <v>117</v>
      </c>
      <c r="B1763" s="1">
        <v>8.4</v>
      </c>
      <c r="C1763" s="1">
        <v>1067</v>
      </c>
      <c r="D1763" s="1" t="s">
        <v>33</v>
      </c>
      <c r="E1763" s="1" t="s">
        <v>22</v>
      </c>
      <c r="F1763" s="1">
        <f t="shared" si="62"/>
        <v>840</v>
      </c>
      <c r="G1763" s="12">
        <f t="shared" si="63"/>
        <v>127.02380952380952</v>
      </c>
    </row>
    <row r="1764" spans="1:7" ht="13">
      <c r="A1764" s="4" t="s">
        <v>117</v>
      </c>
      <c r="B1764" s="1">
        <v>6.7</v>
      </c>
      <c r="C1764" s="1">
        <v>909</v>
      </c>
      <c r="D1764" s="1" t="s">
        <v>11</v>
      </c>
      <c r="E1764" s="1" t="s">
        <v>8</v>
      </c>
      <c r="F1764" s="1">
        <f t="shared" si="62"/>
        <v>670</v>
      </c>
      <c r="G1764" s="12">
        <f t="shared" si="63"/>
        <v>135.67164179104478</v>
      </c>
    </row>
    <row r="1765" spans="1:7" ht="13">
      <c r="A1765" s="4" t="s">
        <v>117</v>
      </c>
      <c r="B1765" s="1">
        <v>8.6999999999999993</v>
      </c>
      <c r="C1765" s="1">
        <v>1049</v>
      </c>
      <c r="D1765" s="1" t="s">
        <v>11</v>
      </c>
      <c r="E1765" s="1" t="s">
        <v>26</v>
      </c>
      <c r="F1765" s="1">
        <f t="shared" si="62"/>
        <v>869.99999999999989</v>
      </c>
      <c r="G1765" s="12">
        <f t="shared" si="63"/>
        <v>120.57471264367817</v>
      </c>
    </row>
    <row r="1766" spans="1:7" ht="13">
      <c r="A1766" s="4" t="s">
        <v>117</v>
      </c>
      <c r="B1766" s="1">
        <v>9.3000000000000007</v>
      </c>
      <c r="C1766" s="1">
        <v>1126</v>
      </c>
      <c r="D1766" s="1" t="s">
        <v>45</v>
      </c>
      <c r="E1766" s="1" t="s">
        <v>10</v>
      </c>
      <c r="F1766" s="1">
        <f t="shared" si="62"/>
        <v>930.00000000000011</v>
      </c>
      <c r="G1766" s="12">
        <f t="shared" si="63"/>
        <v>121.07526881720429</v>
      </c>
    </row>
    <row r="1767" spans="1:7" ht="13">
      <c r="A1767" s="4" t="s">
        <v>117</v>
      </c>
      <c r="B1767" s="1">
        <v>7.44</v>
      </c>
      <c r="C1767" s="1">
        <v>756</v>
      </c>
      <c r="D1767" s="1" t="s">
        <v>35</v>
      </c>
      <c r="E1767" s="1" t="s">
        <v>18</v>
      </c>
      <c r="F1767" s="1">
        <f t="shared" si="62"/>
        <v>744</v>
      </c>
      <c r="G1767" s="12">
        <f t="shared" si="63"/>
        <v>101.61290322580645</v>
      </c>
    </row>
    <row r="1768" spans="1:7" ht="13">
      <c r="A1768" s="4" t="s">
        <v>117</v>
      </c>
      <c r="B1768" s="1">
        <v>7.56</v>
      </c>
      <c r="C1768" s="1">
        <v>1000</v>
      </c>
      <c r="D1768" s="1" t="s">
        <v>11</v>
      </c>
      <c r="E1768" s="1" t="s">
        <v>7</v>
      </c>
      <c r="F1768" s="1">
        <f t="shared" si="62"/>
        <v>756</v>
      </c>
      <c r="G1768" s="12">
        <f t="shared" si="63"/>
        <v>132.27513227513228</v>
      </c>
    </row>
    <row r="1769" spans="1:7" ht="13">
      <c r="A1769" s="4" t="s">
        <v>117</v>
      </c>
      <c r="B1769" s="1">
        <v>5.22</v>
      </c>
      <c r="C1769" s="1">
        <v>592</v>
      </c>
      <c r="D1769" s="1" t="s">
        <v>11</v>
      </c>
      <c r="E1769" s="1" t="s">
        <v>31</v>
      </c>
      <c r="F1769" s="1">
        <f t="shared" si="62"/>
        <v>522</v>
      </c>
      <c r="G1769" s="12">
        <f t="shared" si="63"/>
        <v>113.40996168582376</v>
      </c>
    </row>
    <row r="1770" spans="1:7" ht="13">
      <c r="A1770" s="4" t="s">
        <v>117</v>
      </c>
      <c r="B1770" s="1">
        <v>6.1</v>
      </c>
      <c r="C1770" s="1">
        <v>780</v>
      </c>
      <c r="D1770" s="1" t="s">
        <v>11</v>
      </c>
      <c r="E1770" s="1" t="s">
        <v>15</v>
      </c>
      <c r="F1770" s="1">
        <f t="shared" si="62"/>
        <v>610</v>
      </c>
      <c r="G1770" s="12">
        <f t="shared" si="63"/>
        <v>127.8688524590164</v>
      </c>
    </row>
    <row r="1771" spans="1:7" ht="13">
      <c r="A1771" s="4" t="s">
        <v>117</v>
      </c>
      <c r="B1771" s="1">
        <v>8.6</v>
      </c>
      <c r="C1771" s="1">
        <v>1040</v>
      </c>
      <c r="D1771" s="1" t="s">
        <v>33</v>
      </c>
      <c r="E1771" s="1" t="s">
        <v>26</v>
      </c>
      <c r="F1771" s="1">
        <f t="shared" si="62"/>
        <v>860</v>
      </c>
      <c r="G1771" s="12">
        <f t="shared" si="63"/>
        <v>120.93023255813954</v>
      </c>
    </row>
    <row r="1772" spans="1:7" ht="13">
      <c r="A1772" s="4" t="s">
        <v>117</v>
      </c>
      <c r="B1772" s="1">
        <v>4.3499999999999996</v>
      </c>
      <c r="C1772" s="1">
        <v>717</v>
      </c>
      <c r="D1772" s="1" t="s">
        <v>43</v>
      </c>
      <c r="E1772" s="1" t="s">
        <v>30</v>
      </c>
      <c r="F1772" s="1">
        <f t="shared" si="62"/>
        <v>434.99999999999994</v>
      </c>
      <c r="G1772" s="12">
        <f t="shared" si="63"/>
        <v>164.82758620689657</v>
      </c>
    </row>
    <row r="1773" spans="1:7" ht="13">
      <c r="A1773" s="4" t="s">
        <v>117</v>
      </c>
      <c r="B1773" s="1">
        <v>4.9800000000000004</v>
      </c>
      <c r="C1773" s="1">
        <v>561</v>
      </c>
      <c r="D1773" s="1" t="s">
        <v>11</v>
      </c>
      <c r="E1773" s="1" t="s">
        <v>25</v>
      </c>
      <c r="F1773" s="1">
        <f t="shared" si="62"/>
        <v>498.00000000000006</v>
      </c>
      <c r="G1773" s="12">
        <f t="shared" si="63"/>
        <v>112.65060240963855</v>
      </c>
    </row>
    <row r="1774" spans="1:7" ht="13">
      <c r="A1774" s="4" t="s">
        <v>117</v>
      </c>
      <c r="B1774" s="1">
        <v>5.2</v>
      </c>
      <c r="C1774" s="1">
        <v>610</v>
      </c>
      <c r="D1774" s="1" t="s">
        <v>45</v>
      </c>
      <c r="E1774" s="1" t="s">
        <v>15</v>
      </c>
      <c r="F1774" s="1">
        <f t="shared" si="62"/>
        <v>520</v>
      </c>
      <c r="G1774" s="12">
        <f t="shared" si="63"/>
        <v>117.30769230769231</v>
      </c>
    </row>
    <row r="1775" spans="1:7" ht="13">
      <c r="A1775" s="4" t="s">
        <v>117</v>
      </c>
      <c r="B1775" s="1">
        <v>9.57</v>
      </c>
      <c r="C1775" s="1">
        <v>1045</v>
      </c>
      <c r="D1775" s="1" t="s">
        <v>11</v>
      </c>
      <c r="E1775" s="1" t="s">
        <v>10</v>
      </c>
      <c r="F1775" s="1">
        <f t="shared" si="62"/>
        <v>957</v>
      </c>
      <c r="G1775" s="12">
        <f t="shared" si="63"/>
        <v>109.19540229885057</v>
      </c>
    </row>
    <row r="1776" spans="1:7" ht="13">
      <c r="A1776" s="4" t="s">
        <v>117</v>
      </c>
      <c r="B1776" s="1">
        <v>6.02</v>
      </c>
      <c r="C1776" s="1">
        <v>792</v>
      </c>
      <c r="D1776" s="1" t="s">
        <v>42</v>
      </c>
      <c r="E1776" s="1" t="s">
        <v>14</v>
      </c>
      <c r="F1776" s="1">
        <f t="shared" si="62"/>
        <v>602</v>
      </c>
      <c r="G1776" s="12">
        <f t="shared" si="63"/>
        <v>131.56146179401995</v>
      </c>
    </row>
    <row r="1777" spans="1:7" ht="13">
      <c r="A1777" s="4" t="s">
        <v>117</v>
      </c>
      <c r="B1777" s="1">
        <v>6.9</v>
      </c>
      <c r="C1777" s="1">
        <v>913</v>
      </c>
      <c r="D1777" s="1" t="s">
        <v>39</v>
      </c>
      <c r="E1777" s="1" t="s">
        <v>16</v>
      </c>
      <c r="F1777" s="1">
        <f t="shared" si="62"/>
        <v>690</v>
      </c>
      <c r="G1777" s="12">
        <f t="shared" si="63"/>
        <v>132.31884057971013</v>
      </c>
    </row>
    <row r="1778" spans="1:7" ht="13">
      <c r="A1778" s="4" t="s">
        <v>117</v>
      </c>
      <c r="B1778" s="1">
        <v>7.8</v>
      </c>
      <c r="C1778" s="1">
        <v>935</v>
      </c>
      <c r="D1778" s="1" t="s">
        <v>40</v>
      </c>
      <c r="E1778" s="1" t="s">
        <v>15</v>
      </c>
      <c r="F1778" s="1">
        <f t="shared" si="62"/>
        <v>780</v>
      </c>
      <c r="G1778" s="12">
        <f t="shared" si="63"/>
        <v>119.87179487179488</v>
      </c>
    </row>
    <row r="1779" spans="1:7" ht="13">
      <c r="A1779" s="4" t="s">
        <v>117</v>
      </c>
      <c r="B1779" s="1">
        <v>6</v>
      </c>
      <c r="C1779" s="1">
        <v>593</v>
      </c>
      <c r="D1779" s="1" t="s">
        <v>40</v>
      </c>
      <c r="E1779" s="1" t="s">
        <v>8</v>
      </c>
      <c r="F1779" s="1">
        <f t="shared" si="62"/>
        <v>600</v>
      </c>
      <c r="G1779" s="12">
        <f t="shared" si="63"/>
        <v>98.833333333333329</v>
      </c>
    </row>
    <row r="1780" spans="1:7" ht="13">
      <c r="A1780" s="4" t="s">
        <v>117</v>
      </c>
      <c r="B1780" s="1">
        <v>6.96</v>
      </c>
      <c r="C1780" s="1">
        <v>880</v>
      </c>
      <c r="D1780" s="1" t="s">
        <v>38</v>
      </c>
      <c r="E1780" s="1" t="s">
        <v>16</v>
      </c>
      <c r="F1780" s="1">
        <f t="shared" si="62"/>
        <v>696</v>
      </c>
      <c r="G1780" s="12">
        <f t="shared" si="63"/>
        <v>126.43678160919541</v>
      </c>
    </row>
    <row r="1781" spans="1:7" ht="13">
      <c r="A1781" s="4" t="s">
        <v>117</v>
      </c>
      <c r="B1781" s="1">
        <v>7.4</v>
      </c>
      <c r="C1781" s="1">
        <v>948</v>
      </c>
      <c r="D1781" s="1" t="s">
        <v>11</v>
      </c>
      <c r="E1781" s="1" t="s">
        <v>10</v>
      </c>
      <c r="F1781" s="1">
        <f t="shared" si="62"/>
        <v>740</v>
      </c>
      <c r="G1781" s="12">
        <f t="shared" si="63"/>
        <v>128.1081081081081</v>
      </c>
    </row>
    <row r="1782" spans="1:7" ht="13">
      <c r="A1782" s="4" t="s">
        <v>117</v>
      </c>
      <c r="B1782" s="1">
        <v>7.29</v>
      </c>
      <c r="C1782" s="1">
        <v>843</v>
      </c>
      <c r="D1782" s="1" t="s">
        <v>11</v>
      </c>
      <c r="E1782" s="1" t="s">
        <v>27</v>
      </c>
      <c r="F1782" s="1">
        <f t="shared" si="62"/>
        <v>729</v>
      </c>
      <c r="G1782" s="12">
        <f t="shared" si="63"/>
        <v>115.63786008230453</v>
      </c>
    </row>
    <row r="1783" spans="1:7" ht="13">
      <c r="A1783" s="4" t="s">
        <v>117</v>
      </c>
      <c r="B1783" s="1">
        <v>7.7</v>
      </c>
      <c r="C1783" s="1">
        <v>979</v>
      </c>
      <c r="D1783" s="1" t="s">
        <v>33</v>
      </c>
      <c r="E1783" s="1" t="s">
        <v>16</v>
      </c>
      <c r="F1783" s="1">
        <f t="shared" si="62"/>
        <v>770</v>
      </c>
      <c r="G1783" s="12">
        <f t="shared" si="63"/>
        <v>127.14285714285714</v>
      </c>
    </row>
    <row r="1784" spans="1:7" ht="13">
      <c r="A1784" s="4" t="s">
        <v>117</v>
      </c>
      <c r="B1784" s="1">
        <v>5.0999999999999996</v>
      </c>
      <c r="C1784" s="1">
        <v>612</v>
      </c>
      <c r="D1784" s="1" t="s">
        <v>40</v>
      </c>
      <c r="E1784" s="1" t="s">
        <v>15</v>
      </c>
      <c r="F1784" s="1">
        <f t="shared" si="62"/>
        <v>509.99999999999994</v>
      </c>
      <c r="G1784" s="12">
        <f t="shared" si="63"/>
        <v>120.00000000000001</v>
      </c>
    </row>
    <row r="1785" spans="1:7" ht="13">
      <c r="A1785" s="4" t="s">
        <v>117</v>
      </c>
      <c r="B1785" s="1">
        <v>7.2</v>
      </c>
      <c r="C1785" s="1">
        <v>805</v>
      </c>
      <c r="D1785" s="1" t="s">
        <v>33</v>
      </c>
      <c r="E1785" s="1" t="s">
        <v>12</v>
      </c>
      <c r="F1785" s="1">
        <f t="shared" si="62"/>
        <v>720</v>
      </c>
      <c r="G1785" s="12">
        <f t="shared" si="63"/>
        <v>111.80555555555556</v>
      </c>
    </row>
    <row r="1786" spans="1:7" ht="13">
      <c r="A1786" s="4" t="s">
        <v>117</v>
      </c>
      <c r="B1786" s="1">
        <v>6.1</v>
      </c>
      <c r="C1786" s="1">
        <v>740</v>
      </c>
      <c r="D1786" s="1" t="s">
        <v>33</v>
      </c>
      <c r="E1786" s="1" t="s">
        <v>9</v>
      </c>
      <c r="F1786" s="1">
        <f t="shared" si="62"/>
        <v>610</v>
      </c>
      <c r="G1786" s="12">
        <f t="shared" si="63"/>
        <v>121.31147540983608</v>
      </c>
    </row>
    <row r="1787" spans="1:7" ht="13">
      <c r="A1787" s="4" t="s">
        <v>117</v>
      </c>
      <c r="B1787" s="1">
        <v>6.23</v>
      </c>
      <c r="C1787" s="1">
        <v>429</v>
      </c>
      <c r="D1787" s="1" t="s">
        <v>11</v>
      </c>
      <c r="E1787" s="1" t="s">
        <v>17</v>
      </c>
      <c r="F1787" s="1">
        <f t="shared" si="62"/>
        <v>623</v>
      </c>
      <c r="G1787" s="12">
        <f t="shared" si="63"/>
        <v>68.860353130016051</v>
      </c>
    </row>
    <row r="1788" spans="1:7" ht="13">
      <c r="A1788" s="4" t="s">
        <v>117</v>
      </c>
      <c r="B1788" s="1">
        <v>5.22</v>
      </c>
      <c r="C1788" s="1">
        <v>698</v>
      </c>
      <c r="D1788" s="1" t="s">
        <v>43</v>
      </c>
      <c r="E1788" s="1" t="s">
        <v>8</v>
      </c>
      <c r="F1788" s="1">
        <f t="shared" si="62"/>
        <v>522</v>
      </c>
      <c r="G1788" s="12">
        <f t="shared" si="63"/>
        <v>133.71647509578546</v>
      </c>
    </row>
    <row r="1789" spans="1:7" ht="13">
      <c r="A1789" s="4" t="s">
        <v>117</v>
      </c>
      <c r="B1789" s="1">
        <v>6.02</v>
      </c>
      <c r="C1789" s="1">
        <v>779</v>
      </c>
      <c r="D1789" s="1" t="s">
        <v>38</v>
      </c>
      <c r="E1789" s="1" t="s">
        <v>8</v>
      </c>
      <c r="F1789" s="1">
        <f t="shared" si="62"/>
        <v>602</v>
      </c>
      <c r="G1789" s="12">
        <f t="shared" si="63"/>
        <v>129.40199335548175</v>
      </c>
    </row>
    <row r="1790" spans="1:7" ht="13">
      <c r="A1790" s="4" t="s">
        <v>117</v>
      </c>
      <c r="B1790" s="1">
        <v>8.2650000000000006</v>
      </c>
      <c r="C1790" s="1">
        <v>969</v>
      </c>
      <c r="D1790" s="1" t="s">
        <v>43</v>
      </c>
      <c r="E1790" s="1" t="s">
        <v>18</v>
      </c>
      <c r="F1790" s="1">
        <f t="shared" si="62"/>
        <v>826.5</v>
      </c>
      <c r="G1790" s="12">
        <f t="shared" si="63"/>
        <v>117.24137931034483</v>
      </c>
    </row>
    <row r="1791" spans="1:7" ht="13">
      <c r="A1791" s="4" t="s">
        <v>117</v>
      </c>
      <c r="B1791" s="1">
        <v>6.4</v>
      </c>
      <c r="C1791" s="1">
        <v>853</v>
      </c>
      <c r="D1791" s="1" t="s">
        <v>11</v>
      </c>
      <c r="E1791" s="1" t="s">
        <v>8</v>
      </c>
      <c r="F1791" s="1">
        <f t="shared" si="62"/>
        <v>640</v>
      </c>
      <c r="G1791" s="12">
        <f t="shared" si="63"/>
        <v>133.28125</v>
      </c>
    </row>
    <row r="1792" spans="1:7" ht="13">
      <c r="A1792" s="4" t="s">
        <v>117</v>
      </c>
      <c r="B1792" s="1">
        <v>7.5</v>
      </c>
      <c r="C1792" s="1">
        <v>940</v>
      </c>
      <c r="D1792" s="1" t="s">
        <v>39</v>
      </c>
      <c r="E1792" s="1" t="s">
        <v>9</v>
      </c>
      <c r="F1792" s="1">
        <f t="shared" si="62"/>
        <v>750</v>
      </c>
      <c r="G1792" s="12">
        <f t="shared" si="63"/>
        <v>125.33333333333333</v>
      </c>
    </row>
    <row r="1793" spans="1:7" ht="13">
      <c r="A1793" s="4" t="s">
        <v>117</v>
      </c>
      <c r="B1793" s="1">
        <v>5.2</v>
      </c>
      <c r="C1793" s="1">
        <v>641</v>
      </c>
      <c r="D1793" s="1" t="s">
        <v>47</v>
      </c>
      <c r="E1793" s="1" t="s">
        <v>26</v>
      </c>
      <c r="F1793" s="1">
        <f t="shared" si="62"/>
        <v>520</v>
      </c>
      <c r="G1793" s="12">
        <f t="shared" si="63"/>
        <v>123.26923076923076</v>
      </c>
    </row>
    <row r="1794" spans="1:7" ht="13">
      <c r="A1794" s="4" t="s">
        <v>117</v>
      </c>
      <c r="B1794" s="1">
        <v>7.7</v>
      </c>
      <c r="C1794" s="1">
        <v>864</v>
      </c>
      <c r="D1794" s="1" t="s">
        <v>37</v>
      </c>
      <c r="E1794" s="1" t="s">
        <v>26</v>
      </c>
      <c r="F1794" s="1">
        <f t="shared" si="62"/>
        <v>770</v>
      </c>
      <c r="G1794" s="12">
        <f t="shared" si="63"/>
        <v>112.20779220779221</v>
      </c>
    </row>
    <row r="1795" spans="1:7" ht="13">
      <c r="A1795" s="4" t="s">
        <v>117</v>
      </c>
      <c r="B1795" s="1">
        <v>6.72</v>
      </c>
      <c r="C1795" s="1">
        <v>762</v>
      </c>
      <c r="D1795" s="1" t="s">
        <v>39</v>
      </c>
      <c r="E1795" s="1" t="s">
        <v>25</v>
      </c>
      <c r="F1795" s="1">
        <f t="shared" ref="F1795:F1858" si="64">B1795*100</f>
        <v>672</v>
      </c>
      <c r="G1795" s="12">
        <f t="shared" ref="G1795:G1858" si="65">C1795/B1795</f>
        <v>113.39285714285715</v>
      </c>
    </row>
    <row r="1796" spans="1:7" ht="13">
      <c r="A1796" s="4" t="s">
        <v>117</v>
      </c>
      <c r="B1796" s="1">
        <v>6.23</v>
      </c>
      <c r="C1796" s="1">
        <v>732</v>
      </c>
      <c r="D1796" s="1" t="s">
        <v>11</v>
      </c>
      <c r="E1796" s="1" t="s">
        <v>12</v>
      </c>
      <c r="F1796" s="1">
        <f t="shared" si="64"/>
        <v>623</v>
      </c>
      <c r="G1796" s="12">
        <f t="shared" si="65"/>
        <v>117.49598715890851</v>
      </c>
    </row>
    <row r="1797" spans="1:7" ht="13">
      <c r="A1797" s="4" t="s">
        <v>117</v>
      </c>
      <c r="B1797" s="1">
        <v>5.2</v>
      </c>
      <c r="C1797" s="1">
        <v>610</v>
      </c>
      <c r="D1797" s="1" t="s">
        <v>53</v>
      </c>
      <c r="E1797" s="1" t="s">
        <v>15</v>
      </c>
      <c r="F1797" s="1">
        <f t="shared" si="64"/>
        <v>520</v>
      </c>
      <c r="G1797" s="12">
        <f t="shared" si="65"/>
        <v>117.30769230769231</v>
      </c>
    </row>
    <row r="1798" spans="1:7" ht="13">
      <c r="A1798" s="4" t="s">
        <v>117</v>
      </c>
      <c r="B1798" s="1">
        <v>9.57</v>
      </c>
      <c r="C1798" s="1">
        <v>1055</v>
      </c>
      <c r="D1798" s="1" t="s">
        <v>11</v>
      </c>
      <c r="E1798" s="1" t="s">
        <v>29</v>
      </c>
      <c r="F1798" s="1">
        <f t="shared" si="64"/>
        <v>957</v>
      </c>
      <c r="G1798" s="12">
        <f t="shared" si="65"/>
        <v>110.24033437826542</v>
      </c>
    </row>
    <row r="1799" spans="1:7" ht="13">
      <c r="A1799" s="4" t="s">
        <v>117</v>
      </c>
      <c r="B1799" s="1">
        <v>7.6</v>
      </c>
      <c r="C1799" s="1">
        <v>851</v>
      </c>
      <c r="D1799" s="1" t="s">
        <v>33</v>
      </c>
      <c r="E1799" s="1" t="s">
        <v>17</v>
      </c>
      <c r="F1799" s="1">
        <f t="shared" si="64"/>
        <v>760</v>
      </c>
      <c r="G1799" s="12">
        <f t="shared" si="65"/>
        <v>111.97368421052632</v>
      </c>
    </row>
    <row r="1800" spans="1:7" ht="13">
      <c r="A1800" s="4" t="s">
        <v>117</v>
      </c>
      <c r="B1800" s="1">
        <v>7.8</v>
      </c>
      <c r="C1800" s="1">
        <v>961</v>
      </c>
      <c r="D1800" s="1" t="s">
        <v>11</v>
      </c>
      <c r="E1800" s="1" t="s">
        <v>8</v>
      </c>
      <c r="F1800" s="1">
        <f t="shared" si="64"/>
        <v>780</v>
      </c>
      <c r="G1800" s="12">
        <f t="shared" si="65"/>
        <v>123.2051282051282</v>
      </c>
    </row>
    <row r="1801" spans="1:7" ht="13">
      <c r="A1801" s="4" t="s">
        <v>117</v>
      </c>
      <c r="B1801" s="1">
        <v>2.4</v>
      </c>
      <c r="C1801" s="1">
        <v>409</v>
      </c>
      <c r="D1801" s="1" t="s">
        <v>43</v>
      </c>
      <c r="E1801" s="1" t="s">
        <v>9</v>
      </c>
      <c r="F1801" s="1">
        <f t="shared" si="64"/>
        <v>240</v>
      </c>
      <c r="G1801" s="12">
        <f t="shared" si="65"/>
        <v>170.41666666666669</v>
      </c>
    </row>
    <row r="1802" spans="1:7" ht="13">
      <c r="A1802" s="4" t="s">
        <v>117</v>
      </c>
      <c r="B1802" s="1">
        <v>5.14</v>
      </c>
      <c r="C1802" s="1">
        <v>603</v>
      </c>
      <c r="D1802" s="1" t="s">
        <v>35</v>
      </c>
      <c r="E1802" s="1" t="s">
        <v>21</v>
      </c>
      <c r="F1802" s="1">
        <f t="shared" si="64"/>
        <v>514</v>
      </c>
      <c r="G1802" s="12">
        <f t="shared" si="65"/>
        <v>117.31517509727627</v>
      </c>
    </row>
    <row r="1803" spans="1:7" ht="13">
      <c r="A1803" s="4" t="s">
        <v>117</v>
      </c>
      <c r="B1803" s="1">
        <v>7.74</v>
      </c>
      <c r="C1803" s="1">
        <v>948.43</v>
      </c>
      <c r="D1803" s="1" t="s">
        <v>37</v>
      </c>
      <c r="E1803" s="1" t="s">
        <v>7</v>
      </c>
      <c r="F1803" s="1">
        <f t="shared" si="64"/>
        <v>774</v>
      </c>
      <c r="G1803" s="12">
        <f t="shared" si="65"/>
        <v>122.53617571059431</v>
      </c>
    </row>
    <row r="1804" spans="1:7" ht="13">
      <c r="A1804" s="4" t="s">
        <v>117</v>
      </c>
      <c r="B1804" s="1">
        <v>5.5</v>
      </c>
      <c r="C1804" s="1">
        <v>766</v>
      </c>
      <c r="D1804" s="1" t="s">
        <v>11</v>
      </c>
      <c r="E1804" s="1" t="s">
        <v>10</v>
      </c>
      <c r="F1804" s="1">
        <f t="shared" si="64"/>
        <v>550</v>
      </c>
      <c r="G1804" s="12">
        <f t="shared" si="65"/>
        <v>139.27272727272728</v>
      </c>
    </row>
    <row r="1805" spans="1:7" ht="13">
      <c r="A1805" s="4" t="s">
        <v>117</v>
      </c>
      <c r="B1805" s="1">
        <v>7.7</v>
      </c>
      <c r="C1805" s="1">
        <v>938</v>
      </c>
      <c r="D1805" s="1" t="s">
        <v>40</v>
      </c>
      <c r="E1805" s="1" t="s">
        <v>23</v>
      </c>
      <c r="F1805" s="1">
        <f t="shared" si="64"/>
        <v>770</v>
      </c>
      <c r="G1805" s="12">
        <f t="shared" si="65"/>
        <v>121.81818181818181</v>
      </c>
    </row>
    <row r="1806" spans="1:7" ht="13">
      <c r="A1806" s="4" t="s">
        <v>117</v>
      </c>
      <c r="B1806" s="1">
        <v>9</v>
      </c>
      <c r="C1806" s="1">
        <v>1086</v>
      </c>
      <c r="D1806" s="1" t="s">
        <v>33</v>
      </c>
      <c r="E1806" s="1" t="s">
        <v>25</v>
      </c>
      <c r="F1806" s="1">
        <f t="shared" si="64"/>
        <v>900</v>
      </c>
      <c r="G1806" s="12">
        <f t="shared" si="65"/>
        <v>120.66666666666667</v>
      </c>
    </row>
    <row r="1807" spans="1:7" ht="13">
      <c r="A1807" s="4" t="s">
        <v>117</v>
      </c>
      <c r="B1807" s="1">
        <v>5</v>
      </c>
      <c r="C1807" s="1">
        <v>537</v>
      </c>
      <c r="D1807" s="1" t="s">
        <v>38</v>
      </c>
      <c r="E1807" s="1" t="s">
        <v>15</v>
      </c>
      <c r="F1807" s="1">
        <f t="shared" si="64"/>
        <v>500</v>
      </c>
      <c r="G1807" s="12">
        <f t="shared" si="65"/>
        <v>107.4</v>
      </c>
    </row>
    <row r="1808" spans="1:7" ht="13">
      <c r="A1808" s="4" t="s">
        <v>117</v>
      </c>
      <c r="B1808" s="1">
        <v>5.2</v>
      </c>
      <c r="C1808" s="1">
        <v>646</v>
      </c>
      <c r="D1808" s="1" t="s">
        <v>11</v>
      </c>
      <c r="E1808" s="1" t="s">
        <v>8</v>
      </c>
      <c r="F1808" s="1">
        <f t="shared" si="64"/>
        <v>520</v>
      </c>
      <c r="G1808" s="12">
        <f t="shared" si="65"/>
        <v>124.23076923076923</v>
      </c>
    </row>
    <row r="1809" spans="1:7" ht="13">
      <c r="A1809" s="4" t="s">
        <v>117</v>
      </c>
      <c r="B1809" s="1">
        <v>6.88</v>
      </c>
      <c r="C1809" s="1">
        <v>811</v>
      </c>
      <c r="D1809" s="1" t="s">
        <v>11</v>
      </c>
      <c r="E1809" s="1" t="s">
        <v>46</v>
      </c>
      <c r="F1809" s="1">
        <f t="shared" si="64"/>
        <v>688</v>
      </c>
      <c r="G1809" s="12">
        <f t="shared" si="65"/>
        <v>117.87790697674419</v>
      </c>
    </row>
    <row r="1810" spans="1:7" ht="13">
      <c r="A1810" s="4" t="s">
        <v>117</v>
      </c>
      <c r="B1810" s="1">
        <v>4.7</v>
      </c>
      <c r="C1810" s="1">
        <v>600</v>
      </c>
      <c r="D1810" s="1" t="s">
        <v>11</v>
      </c>
      <c r="E1810" s="1" t="s">
        <v>16</v>
      </c>
      <c r="F1810" s="1">
        <f t="shared" si="64"/>
        <v>470</v>
      </c>
      <c r="G1810" s="12">
        <f t="shared" si="65"/>
        <v>127.6595744680851</v>
      </c>
    </row>
    <row r="1811" spans="1:7" ht="13">
      <c r="A1811" s="4" t="s">
        <v>124</v>
      </c>
      <c r="B1811" s="1">
        <v>6.88</v>
      </c>
      <c r="C1811" s="1">
        <v>840</v>
      </c>
      <c r="D1811" s="1" t="s">
        <v>11</v>
      </c>
      <c r="E1811" s="1" t="s">
        <v>8</v>
      </c>
      <c r="F1811" s="1">
        <f t="shared" si="64"/>
        <v>688</v>
      </c>
      <c r="G1811" s="12">
        <f t="shared" si="65"/>
        <v>122.09302325581396</v>
      </c>
    </row>
    <row r="1812" spans="1:7" ht="13">
      <c r="A1812" s="4" t="s">
        <v>124</v>
      </c>
      <c r="B1812" s="1">
        <v>6</v>
      </c>
      <c r="C1812" s="1">
        <v>726</v>
      </c>
      <c r="D1812" s="1" t="s">
        <v>11</v>
      </c>
      <c r="E1812" s="1" t="s">
        <v>8</v>
      </c>
      <c r="F1812" s="1">
        <f t="shared" si="64"/>
        <v>600</v>
      </c>
      <c r="G1812" s="12">
        <f t="shared" si="65"/>
        <v>121</v>
      </c>
    </row>
    <row r="1813" spans="1:7" ht="13">
      <c r="A1813" s="4" t="s">
        <v>118</v>
      </c>
      <c r="B1813" s="1">
        <v>6.09</v>
      </c>
      <c r="C1813" s="1">
        <v>719</v>
      </c>
      <c r="D1813" s="1" t="s">
        <v>47</v>
      </c>
      <c r="E1813" s="1" t="s">
        <v>24</v>
      </c>
      <c r="F1813" s="1">
        <f t="shared" si="64"/>
        <v>609</v>
      </c>
      <c r="G1813" s="12">
        <f t="shared" si="65"/>
        <v>118.0623973727422</v>
      </c>
    </row>
    <row r="1814" spans="1:7" ht="13">
      <c r="A1814" s="4" t="s">
        <v>118</v>
      </c>
      <c r="B1814" s="1">
        <v>6.88</v>
      </c>
      <c r="C1814" s="1">
        <v>753</v>
      </c>
      <c r="D1814" s="1" t="s">
        <v>53</v>
      </c>
      <c r="E1814" s="1" t="s">
        <v>16</v>
      </c>
      <c r="F1814" s="1">
        <f t="shared" si="64"/>
        <v>688</v>
      </c>
      <c r="G1814" s="12">
        <f t="shared" si="65"/>
        <v>109.44767441860465</v>
      </c>
    </row>
    <row r="1815" spans="1:7" ht="13">
      <c r="A1815" s="4" t="s">
        <v>118</v>
      </c>
      <c r="B1815" s="1">
        <v>8.1999999999999993</v>
      </c>
      <c r="C1815" s="1">
        <v>890</v>
      </c>
      <c r="D1815" s="1" t="s">
        <v>43</v>
      </c>
      <c r="E1815" s="1" t="s">
        <v>25</v>
      </c>
      <c r="F1815" s="1">
        <f t="shared" si="64"/>
        <v>819.99999999999989</v>
      </c>
      <c r="G1815" s="12">
        <f t="shared" si="65"/>
        <v>108.53658536585367</v>
      </c>
    </row>
    <row r="1816" spans="1:7" ht="13">
      <c r="A1816" s="4" t="s">
        <v>118</v>
      </c>
      <c r="B1816" s="1">
        <v>8.64</v>
      </c>
      <c r="C1816" s="1">
        <v>1000</v>
      </c>
      <c r="D1816" s="1" t="s">
        <v>11</v>
      </c>
      <c r="E1816" s="1" t="s">
        <v>9</v>
      </c>
      <c r="F1816" s="1">
        <f t="shared" si="64"/>
        <v>864</v>
      </c>
      <c r="G1816" s="12">
        <f t="shared" si="65"/>
        <v>115.74074074074073</v>
      </c>
    </row>
    <row r="1817" spans="1:7" ht="13">
      <c r="A1817" s="4" t="s">
        <v>118</v>
      </c>
      <c r="B1817" s="1">
        <v>9</v>
      </c>
      <c r="C1817" s="1">
        <v>986</v>
      </c>
      <c r="D1817" s="1" t="s">
        <v>11</v>
      </c>
      <c r="E1817" s="1" t="s">
        <v>10</v>
      </c>
      <c r="F1817" s="1">
        <f t="shared" si="64"/>
        <v>900</v>
      </c>
      <c r="G1817" s="12">
        <f t="shared" si="65"/>
        <v>109.55555555555556</v>
      </c>
    </row>
    <row r="1818" spans="1:7" ht="13">
      <c r="A1818" s="4" t="s">
        <v>118</v>
      </c>
      <c r="B1818" s="1">
        <v>8</v>
      </c>
      <c r="C1818" s="1">
        <v>768</v>
      </c>
      <c r="D1818" s="1" t="s">
        <v>33</v>
      </c>
      <c r="E1818" s="1" t="s">
        <v>17</v>
      </c>
      <c r="F1818" s="1">
        <f t="shared" si="64"/>
        <v>800</v>
      </c>
      <c r="G1818" s="12">
        <f t="shared" si="65"/>
        <v>96</v>
      </c>
    </row>
    <row r="1819" spans="1:7" ht="13">
      <c r="A1819" s="4" t="s">
        <v>118</v>
      </c>
      <c r="B1819" s="1">
        <v>2.87</v>
      </c>
      <c r="C1819" s="1">
        <v>364</v>
      </c>
      <c r="D1819" s="1" t="s">
        <v>11</v>
      </c>
      <c r="E1819" s="1" t="s">
        <v>8</v>
      </c>
      <c r="F1819" s="1">
        <f t="shared" si="64"/>
        <v>287</v>
      </c>
      <c r="G1819" s="12">
        <f t="shared" si="65"/>
        <v>126.82926829268293</v>
      </c>
    </row>
    <row r="1820" spans="1:7" ht="13">
      <c r="A1820" s="4" t="s">
        <v>118</v>
      </c>
      <c r="B1820" s="1">
        <v>7.4</v>
      </c>
      <c r="C1820" s="1">
        <v>845</v>
      </c>
      <c r="D1820" s="1" t="s">
        <v>52</v>
      </c>
      <c r="E1820" s="1" t="s">
        <v>10</v>
      </c>
      <c r="F1820" s="1">
        <f t="shared" si="64"/>
        <v>740</v>
      </c>
      <c r="G1820" s="12">
        <f t="shared" si="65"/>
        <v>114.18918918918918</v>
      </c>
    </row>
    <row r="1821" spans="1:7" ht="13">
      <c r="A1821" s="4" t="s">
        <v>118</v>
      </c>
      <c r="B1821" s="1">
        <v>6.9</v>
      </c>
      <c r="C1821" s="1">
        <v>672.29</v>
      </c>
      <c r="D1821" s="1" t="s">
        <v>34</v>
      </c>
      <c r="E1821" s="1" t="s">
        <v>21</v>
      </c>
      <c r="F1821" s="1">
        <f t="shared" si="64"/>
        <v>690</v>
      </c>
      <c r="G1821" s="12">
        <f t="shared" si="65"/>
        <v>97.433333333333323</v>
      </c>
    </row>
    <row r="1822" spans="1:7" ht="13">
      <c r="A1822" s="4" t="s">
        <v>118</v>
      </c>
      <c r="B1822" s="1">
        <v>8.8000000000000007</v>
      </c>
      <c r="C1822" s="1">
        <v>940</v>
      </c>
      <c r="D1822" s="1" t="s">
        <v>11</v>
      </c>
      <c r="E1822" s="1" t="s">
        <v>17</v>
      </c>
      <c r="F1822" s="1">
        <f t="shared" si="64"/>
        <v>880.00000000000011</v>
      </c>
      <c r="G1822" s="12">
        <f t="shared" si="65"/>
        <v>106.81818181818181</v>
      </c>
    </row>
    <row r="1823" spans="1:7" ht="13">
      <c r="A1823" s="4" t="s">
        <v>118</v>
      </c>
      <c r="B1823" s="1">
        <v>5.2</v>
      </c>
      <c r="C1823" s="1">
        <v>682</v>
      </c>
      <c r="D1823" s="1" t="s">
        <v>39</v>
      </c>
      <c r="E1823" s="1" t="s">
        <v>9</v>
      </c>
      <c r="F1823" s="1">
        <f t="shared" si="64"/>
        <v>520</v>
      </c>
      <c r="G1823" s="12">
        <f t="shared" si="65"/>
        <v>131.15384615384616</v>
      </c>
    </row>
    <row r="1824" spans="1:7" ht="13">
      <c r="A1824" s="4" t="s">
        <v>118</v>
      </c>
      <c r="B1824" s="1">
        <v>4.32</v>
      </c>
      <c r="C1824" s="1">
        <v>419</v>
      </c>
      <c r="D1824" s="1" t="s">
        <v>39</v>
      </c>
      <c r="E1824" s="1" t="s">
        <v>15</v>
      </c>
      <c r="F1824" s="1">
        <f t="shared" si="64"/>
        <v>432</v>
      </c>
      <c r="G1824" s="12">
        <f t="shared" si="65"/>
        <v>96.990740740740733</v>
      </c>
    </row>
    <row r="1825" spans="1:7" ht="13">
      <c r="A1825" s="4" t="s">
        <v>118</v>
      </c>
      <c r="B1825" s="1">
        <v>8.6</v>
      </c>
      <c r="C1825" s="1">
        <v>909</v>
      </c>
      <c r="D1825" s="1" t="s">
        <v>11</v>
      </c>
      <c r="E1825" s="1" t="s">
        <v>68</v>
      </c>
      <c r="F1825" s="1">
        <f t="shared" si="64"/>
        <v>860</v>
      </c>
      <c r="G1825" s="12">
        <f t="shared" si="65"/>
        <v>105.69767441860465</v>
      </c>
    </row>
    <row r="1826" spans="1:7" ht="13">
      <c r="A1826" s="4" t="s">
        <v>118</v>
      </c>
      <c r="B1826" s="1">
        <v>7.74</v>
      </c>
      <c r="C1826" s="1">
        <v>845</v>
      </c>
      <c r="D1826" s="1" t="s">
        <v>11</v>
      </c>
      <c r="E1826" s="1" t="s">
        <v>30</v>
      </c>
      <c r="F1826" s="1">
        <f t="shared" si="64"/>
        <v>774</v>
      </c>
      <c r="G1826" s="12">
        <f t="shared" si="65"/>
        <v>109.17312661498708</v>
      </c>
    </row>
    <row r="1827" spans="1:7" ht="13">
      <c r="A1827" s="4" t="s">
        <v>118</v>
      </c>
      <c r="B1827" s="1">
        <v>10</v>
      </c>
      <c r="C1827" s="1">
        <v>1046</v>
      </c>
      <c r="D1827" s="1" t="s">
        <v>45</v>
      </c>
      <c r="E1827" s="1" t="s">
        <v>15</v>
      </c>
      <c r="F1827" s="1">
        <f t="shared" si="64"/>
        <v>1000</v>
      </c>
      <c r="G1827" s="12">
        <f t="shared" si="65"/>
        <v>104.6</v>
      </c>
    </row>
    <row r="1828" spans="1:7" ht="13">
      <c r="A1828" s="4" t="s">
        <v>118</v>
      </c>
      <c r="B1828" s="1">
        <v>7</v>
      </c>
      <c r="C1828" s="1">
        <v>837.96</v>
      </c>
      <c r="D1828" s="1" t="s">
        <v>33</v>
      </c>
      <c r="E1828" s="1" t="s">
        <v>25</v>
      </c>
      <c r="F1828" s="1">
        <f t="shared" si="64"/>
        <v>700</v>
      </c>
      <c r="G1828" s="12">
        <f t="shared" si="65"/>
        <v>119.70857142857143</v>
      </c>
    </row>
    <row r="1829" spans="1:7" ht="13">
      <c r="A1829" s="4" t="s">
        <v>118</v>
      </c>
      <c r="B1829" s="1">
        <v>5.81</v>
      </c>
      <c r="C1829" s="1">
        <v>657</v>
      </c>
      <c r="D1829" s="1" t="s">
        <v>38</v>
      </c>
      <c r="E1829" s="1" t="s">
        <v>8</v>
      </c>
      <c r="F1829" s="1">
        <f t="shared" si="64"/>
        <v>581</v>
      </c>
      <c r="G1829" s="12">
        <f t="shared" si="65"/>
        <v>113.08089500860586</v>
      </c>
    </row>
    <row r="1830" spans="1:7" ht="13">
      <c r="A1830" s="4" t="s">
        <v>118</v>
      </c>
      <c r="B1830" s="1">
        <v>8.1999999999999993</v>
      </c>
      <c r="C1830" s="1">
        <v>825</v>
      </c>
      <c r="D1830" s="1" t="s">
        <v>11</v>
      </c>
      <c r="E1830" s="1" t="s">
        <v>12</v>
      </c>
      <c r="F1830" s="1">
        <f t="shared" si="64"/>
        <v>819.99999999999989</v>
      </c>
      <c r="G1830" s="12">
        <f t="shared" si="65"/>
        <v>100.60975609756099</v>
      </c>
    </row>
    <row r="1831" spans="1:7" ht="13">
      <c r="A1831" s="4" t="s">
        <v>118</v>
      </c>
      <c r="B1831" s="1">
        <v>7.4</v>
      </c>
      <c r="C1831" s="1">
        <v>790</v>
      </c>
      <c r="D1831" s="1" t="s">
        <v>55</v>
      </c>
      <c r="E1831" s="1" t="s">
        <v>17</v>
      </c>
      <c r="F1831" s="1">
        <f t="shared" si="64"/>
        <v>740</v>
      </c>
      <c r="G1831" s="12">
        <f t="shared" si="65"/>
        <v>106.75675675675676</v>
      </c>
    </row>
    <row r="1832" spans="1:7" ht="13">
      <c r="A1832" s="4" t="s">
        <v>118</v>
      </c>
      <c r="B1832" s="1">
        <v>6</v>
      </c>
      <c r="C1832" s="1">
        <v>497</v>
      </c>
      <c r="D1832" s="1" t="s">
        <v>33</v>
      </c>
      <c r="E1832" s="1" t="s">
        <v>15</v>
      </c>
      <c r="F1832" s="1">
        <f t="shared" si="64"/>
        <v>600</v>
      </c>
      <c r="G1832" s="12">
        <f t="shared" si="65"/>
        <v>82.833333333333329</v>
      </c>
    </row>
    <row r="1833" spans="1:7" ht="13">
      <c r="A1833" s="4" t="s">
        <v>118</v>
      </c>
      <c r="B1833" s="1">
        <v>6.02</v>
      </c>
      <c r="C1833" s="1">
        <v>685</v>
      </c>
      <c r="D1833" s="1" t="s">
        <v>38</v>
      </c>
      <c r="E1833" s="1" t="s">
        <v>8</v>
      </c>
      <c r="F1833" s="1">
        <f t="shared" si="64"/>
        <v>602</v>
      </c>
      <c r="G1833" s="12">
        <f t="shared" si="65"/>
        <v>113.7873754152824</v>
      </c>
    </row>
    <row r="1834" spans="1:7" ht="13">
      <c r="A1834" s="4" t="s">
        <v>118</v>
      </c>
      <c r="B1834" s="1">
        <v>7.76</v>
      </c>
      <c r="C1834" s="1">
        <v>914</v>
      </c>
      <c r="D1834" s="1" t="s">
        <v>11</v>
      </c>
      <c r="E1834" s="1" t="s">
        <v>16</v>
      </c>
      <c r="F1834" s="1">
        <f t="shared" si="64"/>
        <v>776</v>
      </c>
      <c r="G1834" s="12">
        <f t="shared" si="65"/>
        <v>117.78350515463917</v>
      </c>
    </row>
    <row r="1835" spans="1:7" ht="13">
      <c r="A1835" s="4" t="s">
        <v>118</v>
      </c>
      <c r="B1835" s="1">
        <v>5.2</v>
      </c>
      <c r="C1835" s="1">
        <v>633</v>
      </c>
      <c r="D1835" s="1" t="s">
        <v>11</v>
      </c>
      <c r="E1835" s="1" t="s">
        <v>19</v>
      </c>
      <c r="F1835" s="1">
        <f t="shared" si="64"/>
        <v>520</v>
      </c>
      <c r="G1835" s="12">
        <f t="shared" si="65"/>
        <v>121.73076923076923</v>
      </c>
    </row>
    <row r="1836" spans="1:7" ht="13">
      <c r="A1836" s="4" t="s">
        <v>118</v>
      </c>
      <c r="B1836" s="1">
        <v>7.29</v>
      </c>
      <c r="C1836" s="1">
        <v>749</v>
      </c>
      <c r="D1836" s="1" t="s">
        <v>11</v>
      </c>
      <c r="E1836" s="1" t="s">
        <v>27</v>
      </c>
      <c r="F1836" s="1">
        <f t="shared" si="64"/>
        <v>729</v>
      </c>
      <c r="G1836" s="12">
        <f t="shared" si="65"/>
        <v>102.74348422496571</v>
      </c>
    </row>
    <row r="1837" spans="1:7" ht="13">
      <c r="A1837" s="4" t="s">
        <v>118</v>
      </c>
      <c r="B1837" s="1">
        <v>7.36</v>
      </c>
      <c r="C1837" s="1">
        <v>831</v>
      </c>
      <c r="D1837" s="1" t="s">
        <v>37</v>
      </c>
      <c r="E1837" s="1" t="s">
        <v>15</v>
      </c>
      <c r="F1837" s="1">
        <f t="shared" si="64"/>
        <v>736</v>
      </c>
      <c r="G1837" s="12">
        <f t="shared" si="65"/>
        <v>112.90760869565217</v>
      </c>
    </row>
    <row r="1838" spans="1:7" ht="13">
      <c r="A1838" s="4" t="s">
        <v>118</v>
      </c>
      <c r="B1838" s="1">
        <v>6</v>
      </c>
      <c r="C1838" s="1">
        <v>701</v>
      </c>
      <c r="D1838" s="1" t="s">
        <v>53</v>
      </c>
      <c r="E1838" s="1" t="s">
        <v>22</v>
      </c>
      <c r="F1838" s="1">
        <f t="shared" si="64"/>
        <v>600</v>
      </c>
      <c r="G1838" s="12">
        <f t="shared" si="65"/>
        <v>116.83333333333333</v>
      </c>
    </row>
    <row r="1839" spans="1:7" ht="13">
      <c r="A1839" s="4" t="s">
        <v>118</v>
      </c>
      <c r="B1839" s="1">
        <v>6</v>
      </c>
      <c r="C1839" s="1">
        <v>700</v>
      </c>
      <c r="D1839" s="1" t="s">
        <v>11</v>
      </c>
      <c r="E1839" s="1" t="s">
        <v>27</v>
      </c>
      <c r="F1839" s="1">
        <f t="shared" si="64"/>
        <v>600</v>
      </c>
      <c r="G1839" s="12">
        <f t="shared" si="65"/>
        <v>116.66666666666667</v>
      </c>
    </row>
    <row r="1840" spans="1:7" ht="13">
      <c r="A1840" s="4" t="s">
        <v>118</v>
      </c>
      <c r="B1840" s="1">
        <v>8.8000000000000007</v>
      </c>
      <c r="C1840" s="1">
        <v>1000</v>
      </c>
      <c r="D1840" s="1" t="s">
        <v>53</v>
      </c>
      <c r="E1840" s="1" t="s">
        <v>8</v>
      </c>
      <c r="F1840" s="1">
        <f t="shared" si="64"/>
        <v>880.00000000000011</v>
      </c>
      <c r="G1840" s="12">
        <f t="shared" si="65"/>
        <v>113.63636363636363</v>
      </c>
    </row>
    <row r="1841" spans="1:7" ht="13">
      <c r="A1841" s="4" t="s">
        <v>118</v>
      </c>
      <c r="B1841" s="1">
        <v>5.39</v>
      </c>
      <c r="C1841" s="1">
        <v>681</v>
      </c>
      <c r="D1841" s="1" t="s">
        <v>11</v>
      </c>
      <c r="E1841" s="1" t="s">
        <v>26</v>
      </c>
      <c r="F1841" s="1">
        <f t="shared" si="64"/>
        <v>539</v>
      </c>
      <c r="G1841" s="12">
        <f t="shared" si="65"/>
        <v>126.34508348794064</v>
      </c>
    </row>
    <row r="1842" spans="1:7" ht="13">
      <c r="A1842" s="4" t="s">
        <v>118</v>
      </c>
      <c r="B1842" s="1">
        <v>8.6</v>
      </c>
      <c r="C1842" s="1">
        <v>850</v>
      </c>
      <c r="D1842" s="1" t="s">
        <v>53</v>
      </c>
      <c r="E1842" s="1" t="s">
        <v>17</v>
      </c>
      <c r="F1842" s="1">
        <f t="shared" si="64"/>
        <v>860</v>
      </c>
      <c r="G1842" s="12">
        <f t="shared" si="65"/>
        <v>98.83720930232559</v>
      </c>
    </row>
    <row r="1843" spans="1:7" ht="13">
      <c r="A1843" s="4" t="s">
        <v>118</v>
      </c>
      <c r="B1843" s="1">
        <v>6</v>
      </c>
      <c r="C1843" s="1">
        <v>683</v>
      </c>
      <c r="D1843" s="1" t="s">
        <v>11</v>
      </c>
      <c r="E1843" s="1" t="s">
        <v>23</v>
      </c>
      <c r="F1843" s="1">
        <f t="shared" si="64"/>
        <v>600</v>
      </c>
      <c r="G1843" s="12">
        <f t="shared" si="65"/>
        <v>113.83333333333333</v>
      </c>
    </row>
    <row r="1844" spans="1:7" ht="13">
      <c r="A1844" s="4" t="s">
        <v>118</v>
      </c>
      <c r="B1844" s="1">
        <v>6.9</v>
      </c>
      <c r="C1844" s="1">
        <v>766</v>
      </c>
      <c r="D1844" s="1" t="s">
        <v>33</v>
      </c>
      <c r="E1844" s="1" t="s">
        <v>16</v>
      </c>
      <c r="F1844" s="1">
        <f t="shared" si="64"/>
        <v>690</v>
      </c>
      <c r="G1844" s="12">
        <f t="shared" si="65"/>
        <v>111.01449275362319</v>
      </c>
    </row>
    <row r="1845" spans="1:7" ht="13">
      <c r="A1845" s="4" t="s">
        <v>118</v>
      </c>
      <c r="B1845" s="1">
        <v>9.1999999999999993</v>
      </c>
      <c r="C1845" s="1">
        <v>955</v>
      </c>
      <c r="D1845" s="1" t="s">
        <v>37</v>
      </c>
      <c r="E1845" s="1" t="s">
        <v>18</v>
      </c>
      <c r="F1845" s="1">
        <f t="shared" si="64"/>
        <v>919.99999999999989</v>
      </c>
      <c r="G1845" s="12">
        <f t="shared" si="65"/>
        <v>103.80434782608697</v>
      </c>
    </row>
    <row r="1846" spans="1:7" ht="13">
      <c r="A1846" s="4" t="s">
        <v>118</v>
      </c>
      <c r="B1846" s="1">
        <v>3.48</v>
      </c>
      <c r="C1846" s="1">
        <v>432</v>
      </c>
      <c r="D1846" s="1" t="s">
        <v>11</v>
      </c>
      <c r="E1846" s="1" t="s">
        <v>16</v>
      </c>
      <c r="F1846" s="1">
        <f t="shared" si="64"/>
        <v>348</v>
      </c>
      <c r="G1846" s="12">
        <f t="shared" si="65"/>
        <v>124.13793103448276</v>
      </c>
    </row>
    <row r="1847" spans="1:7" ht="13">
      <c r="A1847" s="4" t="s">
        <v>118</v>
      </c>
      <c r="B1847" s="1">
        <v>9.1999999999999993</v>
      </c>
      <c r="C1847" s="1">
        <v>1005</v>
      </c>
      <c r="D1847" s="1" t="s">
        <v>43</v>
      </c>
      <c r="E1847" s="1" t="s">
        <v>14</v>
      </c>
      <c r="F1847" s="1">
        <f t="shared" si="64"/>
        <v>919.99999999999989</v>
      </c>
      <c r="G1847" s="12">
        <f t="shared" si="65"/>
        <v>109.23913043478262</v>
      </c>
    </row>
    <row r="1848" spans="1:7" ht="13">
      <c r="A1848" s="4" t="s">
        <v>118</v>
      </c>
      <c r="B1848" s="1">
        <v>6.9</v>
      </c>
      <c r="C1848" s="1">
        <v>743</v>
      </c>
      <c r="D1848" s="1" t="s">
        <v>42</v>
      </c>
      <c r="E1848" s="1" t="s">
        <v>7</v>
      </c>
      <c r="F1848" s="1">
        <f t="shared" si="64"/>
        <v>690</v>
      </c>
      <c r="G1848" s="12">
        <f t="shared" si="65"/>
        <v>107.68115942028984</v>
      </c>
    </row>
    <row r="1849" spans="1:7" ht="13">
      <c r="A1849" s="4" t="s">
        <v>118</v>
      </c>
      <c r="B1849" s="1">
        <v>5.3</v>
      </c>
      <c r="C1849" s="1">
        <v>601</v>
      </c>
      <c r="D1849" s="1" t="s">
        <v>11</v>
      </c>
      <c r="E1849" s="1" t="s">
        <v>21</v>
      </c>
      <c r="F1849" s="1">
        <f t="shared" si="64"/>
        <v>530</v>
      </c>
      <c r="G1849" s="12">
        <f t="shared" si="65"/>
        <v>113.39622641509435</v>
      </c>
    </row>
    <row r="1850" spans="1:7" ht="13">
      <c r="A1850" s="4" t="s">
        <v>118</v>
      </c>
      <c r="B1850" s="1">
        <v>8</v>
      </c>
      <c r="C1850" s="1">
        <v>961</v>
      </c>
      <c r="D1850" s="1" t="s">
        <v>11</v>
      </c>
      <c r="E1850" s="1" t="s">
        <v>7</v>
      </c>
      <c r="F1850" s="1">
        <f t="shared" si="64"/>
        <v>800</v>
      </c>
      <c r="G1850" s="12">
        <f t="shared" si="65"/>
        <v>120.125</v>
      </c>
    </row>
    <row r="1851" spans="1:7" ht="13">
      <c r="A1851" s="4" t="s">
        <v>118</v>
      </c>
      <c r="B1851" s="1">
        <v>4.2</v>
      </c>
      <c r="C1851" s="1">
        <v>445</v>
      </c>
      <c r="D1851" s="1" t="s">
        <v>64</v>
      </c>
      <c r="E1851" s="1" t="s">
        <v>22</v>
      </c>
      <c r="F1851" s="1">
        <f t="shared" si="64"/>
        <v>420</v>
      </c>
      <c r="G1851" s="12">
        <f t="shared" si="65"/>
        <v>105.95238095238095</v>
      </c>
    </row>
    <row r="1852" spans="1:7" ht="13">
      <c r="A1852" s="4" t="s">
        <v>118</v>
      </c>
      <c r="B1852" s="1">
        <v>6.96</v>
      </c>
      <c r="C1852" s="1">
        <v>779</v>
      </c>
      <c r="D1852" s="1" t="s">
        <v>11</v>
      </c>
      <c r="E1852" s="1" t="s">
        <v>8</v>
      </c>
      <c r="F1852" s="1">
        <f t="shared" si="64"/>
        <v>696</v>
      </c>
      <c r="G1852" s="12">
        <f t="shared" si="65"/>
        <v>111.92528735632185</v>
      </c>
    </row>
    <row r="1853" spans="1:7" ht="13">
      <c r="A1853" s="4" t="s">
        <v>118</v>
      </c>
      <c r="B1853" s="1">
        <v>8.6999999999999993</v>
      </c>
      <c r="C1853" s="1">
        <v>1007</v>
      </c>
      <c r="D1853" s="1" t="s">
        <v>11</v>
      </c>
      <c r="E1853" s="1" t="s">
        <v>24</v>
      </c>
      <c r="F1853" s="1">
        <f t="shared" si="64"/>
        <v>869.99999999999989</v>
      </c>
      <c r="G1853" s="12">
        <f t="shared" si="65"/>
        <v>115.74712643678161</v>
      </c>
    </row>
    <row r="1854" spans="1:7" ht="13">
      <c r="A1854" s="4" t="s">
        <v>118</v>
      </c>
      <c r="B1854" s="1">
        <v>7.92</v>
      </c>
      <c r="C1854" s="1">
        <v>767</v>
      </c>
      <c r="D1854" s="1" t="s">
        <v>44</v>
      </c>
      <c r="E1854" s="1" t="s">
        <v>15</v>
      </c>
      <c r="F1854" s="1">
        <f t="shared" si="64"/>
        <v>792</v>
      </c>
      <c r="G1854" s="12">
        <f t="shared" si="65"/>
        <v>96.843434343434339</v>
      </c>
    </row>
    <row r="1855" spans="1:7" ht="13">
      <c r="A1855" s="4" t="s">
        <v>118</v>
      </c>
      <c r="B1855" s="1">
        <v>7</v>
      </c>
      <c r="C1855" s="1">
        <v>705</v>
      </c>
      <c r="D1855" s="1" t="s">
        <v>40</v>
      </c>
      <c r="E1855" s="1" t="s">
        <v>17</v>
      </c>
      <c r="F1855" s="1">
        <f t="shared" si="64"/>
        <v>700</v>
      </c>
      <c r="G1855" s="12">
        <f t="shared" si="65"/>
        <v>100.71428571428571</v>
      </c>
    </row>
    <row r="1856" spans="1:7" ht="13">
      <c r="A1856" s="4" t="s">
        <v>118</v>
      </c>
      <c r="B1856" s="1">
        <v>6.9</v>
      </c>
      <c r="C1856" s="1">
        <v>687</v>
      </c>
      <c r="D1856" s="1" t="s">
        <v>11</v>
      </c>
      <c r="E1856" s="1" t="s">
        <v>26</v>
      </c>
      <c r="F1856" s="1">
        <f t="shared" si="64"/>
        <v>690</v>
      </c>
      <c r="G1856" s="12">
        <f t="shared" si="65"/>
        <v>99.565217391304344</v>
      </c>
    </row>
    <row r="1857" spans="1:7" ht="13">
      <c r="A1857" s="4" t="s">
        <v>118</v>
      </c>
      <c r="B1857" s="1">
        <v>7.83</v>
      </c>
      <c r="C1857" s="1">
        <v>899</v>
      </c>
      <c r="D1857" s="1" t="s">
        <v>35</v>
      </c>
      <c r="E1857" s="1" t="s">
        <v>23</v>
      </c>
      <c r="F1857" s="1">
        <f t="shared" si="64"/>
        <v>783</v>
      </c>
      <c r="G1857" s="12">
        <f t="shared" si="65"/>
        <v>114.81481481481481</v>
      </c>
    </row>
    <row r="1858" spans="1:7" ht="13">
      <c r="A1858" s="4" t="s">
        <v>118</v>
      </c>
      <c r="B1858" s="1">
        <v>7.4</v>
      </c>
      <c r="C1858" s="1">
        <v>810</v>
      </c>
      <c r="D1858" s="1" t="s">
        <v>11</v>
      </c>
      <c r="E1858" s="1" t="s">
        <v>20</v>
      </c>
      <c r="F1858" s="1">
        <f t="shared" si="64"/>
        <v>740</v>
      </c>
      <c r="G1858" s="12">
        <f t="shared" si="65"/>
        <v>109.45945945945945</v>
      </c>
    </row>
    <row r="1859" spans="1:7" ht="13">
      <c r="A1859" s="4" t="s">
        <v>118</v>
      </c>
      <c r="B1859" s="1">
        <v>5.0999999999999996</v>
      </c>
      <c r="C1859" s="1">
        <v>753</v>
      </c>
      <c r="D1859" s="1" t="s">
        <v>42</v>
      </c>
      <c r="E1859" s="1" t="s">
        <v>21</v>
      </c>
      <c r="F1859" s="1">
        <f t="shared" ref="F1859:F1922" si="66">B1859*100</f>
        <v>509.99999999999994</v>
      </c>
      <c r="G1859" s="12">
        <f t="shared" ref="G1859:G1922" si="67">C1859/B1859</f>
        <v>147.64705882352942</v>
      </c>
    </row>
    <row r="1860" spans="1:7" ht="13">
      <c r="A1860" s="4" t="s">
        <v>118</v>
      </c>
      <c r="B1860" s="1">
        <v>7.74</v>
      </c>
      <c r="C1860" s="1">
        <v>825</v>
      </c>
      <c r="D1860" s="1" t="s">
        <v>70</v>
      </c>
      <c r="E1860" s="1" t="s">
        <v>23</v>
      </c>
      <c r="F1860" s="1">
        <f t="shared" si="66"/>
        <v>774</v>
      </c>
      <c r="G1860" s="12">
        <f t="shared" si="67"/>
        <v>106.5891472868217</v>
      </c>
    </row>
    <row r="1861" spans="1:7" ht="13">
      <c r="A1861" s="4" t="s">
        <v>118</v>
      </c>
      <c r="B1861" s="1">
        <v>5</v>
      </c>
      <c r="C1861" s="1">
        <v>616</v>
      </c>
      <c r="D1861" s="1" t="s">
        <v>43</v>
      </c>
      <c r="E1861" s="1" t="s">
        <v>8</v>
      </c>
      <c r="F1861" s="1">
        <f t="shared" si="66"/>
        <v>500</v>
      </c>
      <c r="G1861" s="12">
        <f t="shared" si="67"/>
        <v>123.2</v>
      </c>
    </row>
    <row r="1862" spans="1:7" ht="13">
      <c r="A1862" s="4" t="s">
        <v>118</v>
      </c>
      <c r="B1862" s="1">
        <v>6.88</v>
      </c>
      <c r="C1862" s="1">
        <v>215</v>
      </c>
      <c r="D1862" s="1" t="s">
        <v>11</v>
      </c>
      <c r="E1862" s="1" t="s">
        <v>10</v>
      </c>
      <c r="F1862" s="1">
        <f t="shared" si="66"/>
        <v>688</v>
      </c>
      <c r="G1862" s="12">
        <f t="shared" si="67"/>
        <v>31.25</v>
      </c>
    </row>
    <row r="1863" spans="1:7" ht="13">
      <c r="A1863" s="4" t="s">
        <v>118</v>
      </c>
      <c r="B1863" s="1">
        <v>8.6999999999999993</v>
      </c>
      <c r="C1863" s="1">
        <v>1017</v>
      </c>
      <c r="D1863" s="1" t="s">
        <v>11</v>
      </c>
      <c r="E1863" s="1" t="s">
        <v>10</v>
      </c>
      <c r="F1863" s="1">
        <f t="shared" si="66"/>
        <v>869.99999999999989</v>
      </c>
      <c r="G1863" s="12">
        <f t="shared" si="67"/>
        <v>116.89655172413794</v>
      </c>
    </row>
    <row r="1864" spans="1:7" ht="13">
      <c r="A1864" s="4" t="s">
        <v>118</v>
      </c>
      <c r="B1864" s="1">
        <v>3.68</v>
      </c>
      <c r="C1864" s="1">
        <v>480</v>
      </c>
      <c r="D1864" s="1" t="s">
        <v>11</v>
      </c>
      <c r="E1864" s="1" t="s">
        <v>26</v>
      </c>
      <c r="F1864" s="1">
        <f t="shared" si="66"/>
        <v>368</v>
      </c>
      <c r="G1864" s="12">
        <f t="shared" si="67"/>
        <v>130.43478260869566</v>
      </c>
    </row>
    <row r="1865" spans="1:7" ht="13">
      <c r="A1865" s="4" t="s">
        <v>118</v>
      </c>
      <c r="B1865" s="1">
        <v>7.56</v>
      </c>
      <c r="C1865" s="1">
        <v>924</v>
      </c>
      <c r="D1865" s="1" t="s">
        <v>11</v>
      </c>
      <c r="E1865" s="1" t="s">
        <v>7</v>
      </c>
      <c r="F1865" s="1">
        <f t="shared" si="66"/>
        <v>756</v>
      </c>
      <c r="G1865" s="12">
        <f t="shared" si="67"/>
        <v>122.22222222222223</v>
      </c>
    </row>
    <row r="1866" spans="1:7" ht="13">
      <c r="A1866" s="4" t="s">
        <v>118</v>
      </c>
      <c r="B1866" s="1">
        <v>7.56</v>
      </c>
      <c r="C1866" s="1">
        <v>802</v>
      </c>
      <c r="D1866" s="1" t="s">
        <v>11</v>
      </c>
      <c r="E1866" s="1" t="s">
        <v>25</v>
      </c>
      <c r="F1866" s="1">
        <f t="shared" si="66"/>
        <v>756</v>
      </c>
      <c r="G1866" s="12">
        <f t="shared" si="67"/>
        <v>106.08465608465609</v>
      </c>
    </row>
    <row r="1867" spans="1:7" ht="13">
      <c r="A1867" s="4" t="s">
        <v>118</v>
      </c>
      <c r="B1867" s="1">
        <v>6.96</v>
      </c>
      <c r="C1867" s="1">
        <v>756.96</v>
      </c>
      <c r="D1867" s="1" t="s">
        <v>38</v>
      </c>
      <c r="E1867" s="1" t="s">
        <v>15</v>
      </c>
      <c r="F1867" s="1">
        <f t="shared" si="66"/>
        <v>696</v>
      </c>
      <c r="G1867" s="12">
        <f t="shared" si="67"/>
        <v>108.75862068965517</v>
      </c>
    </row>
    <row r="1868" spans="1:7" ht="13">
      <c r="A1868" s="4" t="s">
        <v>118</v>
      </c>
      <c r="B1868" s="1">
        <v>6.7</v>
      </c>
      <c r="C1868" s="1">
        <v>804</v>
      </c>
      <c r="D1868" s="1" t="s">
        <v>11</v>
      </c>
      <c r="E1868" s="1" t="s">
        <v>16</v>
      </c>
      <c r="F1868" s="1">
        <f t="shared" si="66"/>
        <v>670</v>
      </c>
      <c r="G1868" s="12">
        <f t="shared" si="67"/>
        <v>120</v>
      </c>
    </row>
    <row r="1869" spans="1:7" ht="13">
      <c r="A1869" s="4" t="s">
        <v>118</v>
      </c>
      <c r="B1869" s="1">
        <v>7.6</v>
      </c>
      <c r="C1869" s="1">
        <v>879</v>
      </c>
      <c r="D1869" s="1" t="s">
        <v>11</v>
      </c>
      <c r="E1869" s="1" t="s">
        <v>17</v>
      </c>
      <c r="F1869" s="1">
        <f t="shared" si="66"/>
        <v>760</v>
      </c>
      <c r="G1869" s="12">
        <f t="shared" si="67"/>
        <v>115.65789473684211</v>
      </c>
    </row>
    <row r="1870" spans="1:7" ht="13">
      <c r="A1870" s="4" t="s">
        <v>118</v>
      </c>
      <c r="B1870" s="1">
        <v>7.7</v>
      </c>
      <c r="C1870" s="1">
        <v>831</v>
      </c>
      <c r="D1870" s="1" t="s">
        <v>11</v>
      </c>
      <c r="E1870" s="1" t="s">
        <v>49</v>
      </c>
      <c r="F1870" s="1">
        <f t="shared" si="66"/>
        <v>770</v>
      </c>
      <c r="G1870" s="12">
        <f t="shared" si="67"/>
        <v>107.92207792207792</v>
      </c>
    </row>
    <row r="1871" spans="1:7" ht="13">
      <c r="A1871" s="4" t="s">
        <v>118</v>
      </c>
      <c r="B1871" s="1">
        <v>5.81</v>
      </c>
      <c r="C1871" s="1">
        <v>715</v>
      </c>
      <c r="D1871" s="1" t="s">
        <v>38</v>
      </c>
      <c r="E1871" s="1" t="s">
        <v>8</v>
      </c>
      <c r="F1871" s="1">
        <f t="shared" si="66"/>
        <v>581</v>
      </c>
      <c r="G1871" s="12">
        <f t="shared" si="67"/>
        <v>123.06368330464717</v>
      </c>
    </row>
    <row r="1872" spans="1:7" ht="13">
      <c r="A1872" s="4" t="s">
        <v>118</v>
      </c>
      <c r="B1872" s="1">
        <v>7.7</v>
      </c>
      <c r="C1872" s="1">
        <v>842</v>
      </c>
      <c r="D1872" s="1" t="s">
        <v>39</v>
      </c>
      <c r="E1872" s="1" t="s">
        <v>16</v>
      </c>
      <c r="F1872" s="1">
        <f t="shared" si="66"/>
        <v>770</v>
      </c>
      <c r="G1872" s="12">
        <f t="shared" si="67"/>
        <v>109.35064935064935</v>
      </c>
    </row>
    <row r="1873" spans="1:7" ht="13">
      <c r="A1873" s="4" t="s">
        <v>118</v>
      </c>
      <c r="B1873" s="1">
        <v>6.8</v>
      </c>
      <c r="C1873" s="1">
        <v>792</v>
      </c>
      <c r="D1873" s="1" t="s">
        <v>11</v>
      </c>
      <c r="E1873" s="1" t="s">
        <v>24</v>
      </c>
      <c r="F1873" s="1">
        <f t="shared" si="66"/>
        <v>680</v>
      </c>
      <c r="G1873" s="12">
        <f t="shared" si="67"/>
        <v>116.47058823529412</v>
      </c>
    </row>
    <row r="1874" spans="1:7" ht="13">
      <c r="A1874" s="4" t="s">
        <v>118</v>
      </c>
      <c r="B1874" s="1">
        <v>6.88</v>
      </c>
      <c r="C1874" s="1">
        <v>825</v>
      </c>
      <c r="D1874" s="1" t="s">
        <v>43</v>
      </c>
      <c r="E1874" s="1" t="s">
        <v>8</v>
      </c>
      <c r="F1874" s="1">
        <f t="shared" si="66"/>
        <v>688</v>
      </c>
      <c r="G1874" s="12">
        <f t="shared" si="67"/>
        <v>119.91279069767442</v>
      </c>
    </row>
    <row r="1875" spans="1:7" ht="13">
      <c r="A1875" s="4" t="s">
        <v>118</v>
      </c>
      <c r="B1875" s="1">
        <v>6.4</v>
      </c>
      <c r="C1875" s="1">
        <v>779</v>
      </c>
      <c r="D1875" s="1" t="s">
        <v>85</v>
      </c>
      <c r="E1875" s="1" t="s">
        <v>8</v>
      </c>
      <c r="F1875" s="1">
        <f t="shared" si="66"/>
        <v>640</v>
      </c>
      <c r="G1875" s="12">
        <f t="shared" si="67"/>
        <v>121.71875</v>
      </c>
    </row>
    <row r="1876" spans="1:7" ht="13">
      <c r="A1876" s="4" t="s">
        <v>118</v>
      </c>
      <c r="B1876" s="1">
        <v>7.74</v>
      </c>
      <c r="C1876" s="1">
        <v>873</v>
      </c>
      <c r="D1876" s="1" t="s">
        <v>33</v>
      </c>
      <c r="E1876" s="1" t="s">
        <v>16</v>
      </c>
      <c r="F1876" s="1">
        <f t="shared" si="66"/>
        <v>774</v>
      </c>
      <c r="G1876" s="12">
        <f t="shared" si="67"/>
        <v>112.7906976744186</v>
      </c>
    </row>
    <row r="1877" spans="1:7" ht="13">
      <c r="A1877" s="4" t="s">
        <v>118</v>
      </c>
      <c r="B1877" s="1">
        <v>4.4000000000000004</v>
      </c>
      <c r="C1877" s="1">
        <v>525</v>
      </c>
      <c r="D1877" s="1" t="s">
        <v>11</v>
      </c>
      <c r="E1877" s="1" t="s">
        <v>12</v>
      </c>
      <c r="F1877" s="1">
        <f t="shared" si="66"/>
        <v>440.00000000000006</v>
      </c>
      <c r="G1877" s="12">
        <f t="shared" si="67"/>
        <v>119.31818181818181</v>
      </c>
    </row>
    <row r="1878" spans="1:7" ht="13">
      <c r="A1878" s="4" t="s">
        <v>118</v>
      </c>
      <c r="B1878" s="1">
        <v>5</v>
      </c>
      <c r="C1878" s="1">
        <v>487</v>
      </c>
      <c r="D1878" s="1" t="s">
        <v>11</v>
      </c>
      <c r="E1878" s="1" t="s">
        <v>20</v>
      </c>
      <c r="F1878" s="1">
        <f t="shared" si="66"/>
        <v>500</v>
      </c>
      <c r="G1878" s="12">
        <f t="shared" si="67"/>
        <v>97.4</v>
      </c>
    </row>
    <row r="1879" spans="1:7" ht="13">
      <c r="A1879" s="4" t="s">
        <v>118</v>
      </c>
      <c r="B1879" s="1">
        <v>5.3949999999999996</v>
      </c>
      <c r="C1879" s="1">
        <v>595</v>
      </c>
      <c r="D1879" s="1" t="s">
        <v>45</v>
      </c>
      <c r="E1879" s="1" t="s">
        <v>15</v>
      </c>
      <c r="F1879" s="1">
        <f t="shared" si="66"/>
        <v>539.5</v>
      </c>
      <c r="G1879" s="12">
        <f t="shared" si="67"/>
        <v>110.28730305838741</v>
      </c>
    </row>
    <row r="1880" spans="1:7" ht="13">
      <c r="A1880" s="4" t="s">
        <v>118</v>
      </c>
      <c r="B1880" s="1">
        <v>7.43</v>
      </c>
      <c r="C1880" s="1">
        <v>845</v>
      </c>
      <c r="D1880" s="1" t="s">
        <v>11</v>
      </c>
      <c r="E1880" s="1" t="s">
        <v>32</v>
      </c>
      <c r="F1880" s="1">
        <f t="shared" si="66"/>
        <v>743</v>
      </c>
      <c r="G1880" s="12">
        <f t="shared" si="67"/>
        <v>113.72812920592195</v>
      </c>
    </row>
    <row r="1881" spans="1:7" ht="13">
      <c r="A1881" s="4" t="s">
        <v>118</v>
      </c>
      <c r="B1881" s="1">
        <v>7.56</v>
      </c>
      <c r="C1881" s="1">
        <v>788</v>
      </c>
      <c r="D1881" s="1" t="s">
        <v>11</v>
      </c>
      <c r="E1881" s="1" t="s">
        <v>27</v>
      </c>
      <c r="F1881" s="1">
        <f t="shared" si="66"/>
        <v>756</v>
      </c>
      <c r="G1881" s="12">
        <f t="shared" si="67"/>
        <v>104.23280423280424</v>
      </c>
    </row>
    <row r="1882" spans="1:7" ht="13">
      <c r="A1882" s="4" t="s">
        <v>118</v>
      </c>
      <c r="B1882" s="1">
        <v>6.5</v>
      </c>
      <c r="C1882" s="1">
        <v>749</v>
      </c>
      <c r="D1882" s="1" t="s">
        <v>43</v>
      </c>
      <c r="E1882" s="1" t="s">
        <v>25</v>
      </c>
      <c r="F1882" s="1">
        <f t="shared" si="66"/>
        <v>650</v>
      </c>
      <c r="G1882" s="12">
        <f t="shared" si="67"/>
        <v>115.23076923076923</v>
      </c>
    </row>
    <row r="1883" spans="1:7" ht="13">
      <c r="A1883" s="4" t="s">
        <v>118</v>
      </c>
      <c r="B1883" s="1">
        <v>5.8</v>
      </c>
      <c r="C1883" s="1">
        <v>633</v>
      </c>
      <c r="D1883" s="1" t="s">
        <v>40</v>
      </c>
      <c r="E1883" s="1" t="s">
        <v>7</v>
      </c>
      <c r="F1883" s="1">
        <f t="shared" si="66"/>
        <v>580</v>
      </c>
      <c r="G1883" s="12">
        <f t="shared" si="67"/>
        <v>109.13793103448276</v>
      </c>
    </row>
    <row r="1884" spans="1:7" ht="13">
      <c r="A1884" s="4" t="s">
        <v>118</v>
      </c>
      <c r="B1884" s="1">
        <v>7.5</v>
      </c>
      <c r="C1884" s="1">
        <v>830</v>
      </c>
      <c r="D1884" s="1" t="s">
        <v>39</v>
      </c>
      <c r="E1884" s="1" t="s">
        <v>9</v>
      </c>
      <c r="F1884" s="1">
        <f t="shared" si="66"/>
        <v>750</v>
      </c>
      <c r="G1884" s="12">
        <f t="shared" si="67"/>
        <v>110.66666666666667</v>
      </c>
    </row>
    <row r="1885" spans="1:7" ht="13">
      <c r="A1885" s="4" t="s">
        <v>118</v>
      </c>
      <c r="B1885" s="1">
        <v>7</v>
      </c>
      <c r="C1885" s="1">
        <v>830</v>
      </c>
      <c r="D1885" s="1" t="s">
        <v>36</v>
      </c>
      <c r="E1885" s="1" t="s">
        <v>15</v>
      </c>
      <c r="F1885" s="1">
        <f t="shared" si="66"/>
        <v>700</v>
      </c>
      <c r="G1885" s="12">
        <f t="shared" si="67"/>
        <v>118.57142857142857</v>
      </c>
    </row>
    <row r="1886" spans="1:7" ht="13">
      <c r="A1886" s="4" t="s">
        <v>118</v>
      </c>
      <c r="B1886" s="1">
        <v>5.12</v>
      </c>
      <c r="C1886" s="1">
        <v>583</v>
      </c>
      <c r="D1886" s="1" t="s">
        <v>11</v>
      </c>
      <c r="E1886" s="1" t="s">
        <v>16</v>
      </c>
      <c r="F1886" s="1">
        <f t="shared" si="66"/>
        <v>512</v>
      </c>
      <c r="G1886" s="12">
        <f t="shared" si="67"/>
        <v>113.8671875</v>
      </c>
    </row>
    <row r="1887" spans="1:7" ht="13">
      <c r="A1887" s="4" t="s">
        <v>118</v>
      </c>
      <c r="B1887" s="1">
        <v>7.8</v>
      </c>
      <c r="C1887" s="1">
        <v>856</v>
      </c>
      <c r="D1887" s="1" t="s">
        <v>11</v>
      </c>
      <c r="E1887" s="1" t="s">
        <v>18</v>
      </c>
      <c r="F1887" s="1">
        <f t="shared" si="66"/>
        <v>780</v>
      </c>
      <c r="G1887" s="12">
        <f t="shared" si="67"/>
        <v>109.74358974358975</v>
      </c>
    </row>
    <row r="1888" spans="1:7" ht="13">
      <c r="A1888" s="4" t="s">
        <v>118</v>
      </c>
      <c r="B1888" s="1">
        <v>6.4</v>
      </c>
      <c r="C1888" s="1">
        <v>687</v>
      </c>
      <c r="D1888" s="1" t="s">
        <v>42</v>
      </c>
      <c r="E1888" s="1" t="s">
        <v>18</v>
      </c>
      <c r="F1888" s="1">
        <f t="shared" si="66"/>
        <v>640</v>
      </c>
      <c r="G1888" s="12">
        <f t="shared" si="67"/>
        <v>107.34375</v>
      </c>
    </row>
    <row r="1889" spans="1:7" ht="13">
      <c r="A1889" s="4" t="s">
        <v>118</v>
      </c>
      <c r="B1889" s="1">
        <v>5</v>
      </c>
      <c r="C1889" s="1">
        <v>611</v>
      </c>
      <c r="D1889" s="1" t="s">
        <v>47</v>
      </c>
      <c r="E1889" s="1" t="s">
        <v>19</v>
      </c>
      <c r="F1889" s="1">
        <f t="shared" si="66"/>
        <v>500</v>
      </c>
      <c r="G1889" s="12">
        <f t="shared" si="67"/>
        <v>122.2</v>
      </c>
    </row>
    <row r="1890" spans="1:7" ht="13">
      <c r="A1890" s="4" t="s">
        <v>118</v>
      </c>
      <c r="B1890" s="1">
        <v>6</v>
      </c>
      <c r="C1890" s="1">
        <v>589</v>
      </c>
      <c r="D1890" s="1" t="s">
        <v>40</v>
      </c>
      <c r="E1890" s="1" t="s">
        <v>8</v>
      </c>
      <c r="F1890" s="1">
        <f t="shared" si="66"/>
        <v>600</v>
      </c>
      <c r="G1890" s="12">
        <f t="shared" si="67"/>
        <v>98.166666666666671</v>
      </c>
    </row>
    <row r="1891" spans="1:7" ht="13">
      <c r="A1891" s="4" t="s">
        <v>118</v>
      </c>
      <c r="B1891" s="1">
        <v>9.1300000000000008</v>
      </c>
      <c r="C1891" s="1">
        <v>938</v>
      </c>
      <c r="D1891" s="1" t="s">
        <v>11</v>
      </c>
      <c r="E1891" s="1" t="s">
        <v>20</v>
      </c>
      <c r="F1891" s="1">
        <f t="shared" si="66"/>
        <v>913.00000000000011</v>
      </c>
      <c r="G1891" s="12">
        <f t="shared" si="67"/>
        <v>102.73822562979188</v>
      </c>
    </row>
    <row r="1892" spans="1:7" ht="13">
      <c r="A1892" s="4" t="s">
        <v>118</v>
      </c>
      <c r="B1892" s="1">
        <v>6</v>
      </c>
      <c r="C1892" s="1">
        <v>655</v>
      </c>
      <c r="D1892" s="1" t="s">
        <v>11</v>
      </c>
      <c r="E1892" s="1" t="s">
        <v>12</v>
      </c>
      <c r="F1892" s="1">
        <f t="shared" si="66"/>
        <v>600</v>
      </c>
      <c r="G1892" s="12">
        <f t="shared" si="67"/>
        <v>109.16666666666667</v>
      </c>
    </row>
    <row r="1893" spans="1:7" ht="13">
      <c r="A1893" s="4" t="s">
        <v>118</v>
      </c>
      <c r="B1893" s="1">
        <v>7.8</v>
      </c>
      <c r="C1893" s="1">
        <v>883</v>
      </c>
      <c r="D1893" s="1" t="s">
        <v>11</v>
      </c>
      <c r="E1893" s="1" t="s">
        <v>8</v>
      </c>
      <c r="F1893" s="1">
        <f t="shared" si="66"/>
        <v>780</v>
      </c>
      <c r="G1893" s="12">
        <f t="shared" si="67"/>
        <v>113.2051282051282</v>
      </c>
    </row>
    <row r="1894" spans="1:7" ht="13">
      <c r="A1894" s="4" t="s">
        <v>118</v>
      </c>
      <c r="B1894" s="1">
        <v>6.4</v>
      </c>
      <c r="C1894" s="1">
        <v>755</v>
      </c>
      <c r="D1894" s="1" t="s">
        <v>11</v>
      </c>
      <c r="E1894" s="1" t="s">
        <v>32</v>
      </c>
      <c r="F1894" s="1">
        <f t="shared" si="66"/>
        <v>640</v>
      </c>
      <c r="G1894" s="12">
        <f t="shared" si="67"/>
        <v>117.96875</v>
      </c>
    </row>
    <row r="1895" spans="1:7" ht="13">
      <c r="A1895" s="4" t="s">
        <v>118</v>
      </c>
      <c r="B1895" s="1">
        <v>5.16</v>
      </c>
      <c r="C1895" s="1">
        <v>576</v>
      </c>
      <c r="D1895" s="1" t="s">
        <v>39</v>
      </c>
      <c r="E1895" s="1" t="s">
        <v>15</v>
      </c>
      <c r="F1895" s="1">
        <f t="shared" si="66"/>
        <v>516</v>
      </c>
      <c r="G1895" s="12">
        <f t="shared" si="67"/>
        <v>111.62790697674419</v>
      </c>
    </row>
    <row r="1896" spans="1:7" ht="13">
      <c r="A1896" s="4" t="s">
        <v>118</v>
      </c>
      <c r="B1896" s="1">
        <v>7.2</v>
      </c>
      <c r="C1896" s="1">
        <v>835</v>
      </c>
      <c r="D1896" s="1" t="s">
        <v>11</v>
      </c>
      <c r="E1896" s="1" t="s">
        <v>10</v>
      </c>
      <c r="F1896" s="1">
        <f t="shared" si="66"/>
        <v>720</v>
      </c>
      <c r="G1896" s="12">
        <f t="shared" si="67"/>
        <v>115.97222222222221</v>
      </c>
    </row>
    <row r="1897" spans="1:7" ht="13">
      <c r="A1897" s="4" t="s">
        <v>118</v>
      </c>
      <c r="B1897" s="1">
        <v>6.8</v>
      </c>
      <c r="C1897" s="1">
        <v>821</v>
      </c>
      <c r="D1897" s="1" t="s">
        <v>11</v>
      </c>
      <c r="E1897" s="1" t="s">
        <v>23</v>
      </c>
      <c r="F1897" s="1">
        <f t="shared" si="66"/>
        <v>680</v>
      </c>
      <c r="G1897" s="12">
        <f t="shared" si="67"/>
        <v>120.73529411764706</v>
      </c>
    </row>
    <row r="1898" spans="1:7" ht="13">
      <c r="A1898" s="4" t="s">
        <v>118</v>
      </c>
      <c r="B1898" s="1">
        <v>7.29</v>
      </c>
      <c r="C1898" s="1">
        <v>823</v>
      </c>
      <c r="D1898" s="1" t="s">
        <v>11</v>
      </c>
      <c r="E1898" s="1" t="s">
        <v>7</v>
      </c>
      <c r="F1898" s="1">
        <f t="shared" si="66"/>
        <v>729</v>
      </c>
      <c r="G1898" s="12">
        <f t="shared" si="67"/>
        <v>112.89437585733882</v>
      </c>
    </row>
    <row r="1899" spans="1:7" ht="13">
      <c r="A1899" s="4" t="s">
        <v>118</v>
      </c>
      <c r="B1899" s="1">
        <v>5</v>
      </c>
      <c r="C1899" s="1">
        <v>380</v>
      </c>
      <c r="D1899" s="1" t="s">
        <v>35</v>
      </c>
      <c r="E1899" s="1" t="s">
        <v>21</v>
      </c>
      <c r="F1899" s="1">
        <f t="shared" si="66"/>
        <v>500</v>
      </c>
      <c r="G1899" s="12">
        <f t="shared" si="67"/>
        <v>76</v>
      </c>
    </row>
    <row r="1900" spans="1:7" ht="13">
      <c r="A1900" s="4" t="s">
        <v>118</v>
      </c>
      <c r="B1900" s="1">
        <v>5.88</v>
      </c>
      <c r="C1900" s="1">
        <v>548</v>
      </c>
      <c r="D1900" s="1" t="s">
        <v>39</v>
      </c>
      <c r="E1900" s="1" t="s">
        <v>19</v>
      </c>
      <c r="F1900" s="1">
        <f t="shared" si="66"/>
        <v>588</v>
      </c>
      <c r="G1900" s="12">
        <f t="shared" si="67"/>
        <v>93.197278911564624</v>
      </c>
    </row>
    <row r="1901" spans="1:7" ht="13">
      <c r="A1901" s="4" t="s">
        <v>118</v>
      </c>
      <c r="B1901" s="1">
        <v>6400</v>
      </c>
      <c r="C1901" s="1">
        <v>742</v>
      </c>
      <c r="D1901" s="1" t="s">
        <v>11</v>
      </c>
      <c r="E1901" s="1" t="s">
        <v>26</v>
      </c>
      <c r="F1901" s="1">
        <f t="shared" si="66"/>
        <v>640000</v>
      </c>
      <c r="G1901" s="12">
        <f t="shared" si="67"/>
        <v>0.1159375</v>
      </c>
    </row>
    <row r="1902" spans="1:7" ht="13">
      <c r="A1902" s="4" t="s">
        <v>118</v>
      </c>
      <c r="B1902" s="1">
        <v>6.5</v>
      </c>
      <c r="C1902" s="1">
        <v>754</v>
      </c>
      <c r="D1902" s="1" t="s">
        <v>11</v>
      </c>
      <c r="E1902" s="1" t="s">
        <v>7</v>
      </c>
      <c r="F1902" s="1">
        <f t="shared" si="66"/>
        <v>650</v>
      </c>
      <c r="G1902" s="12">
        <f t="shared" si="67"/>
        <v>116</v>
      </c>
    </row>
    <row r="1903" spans="1:7" ht="13">
      <c r="A1903" s="4" t="s">
        <v>118</v>
      </c>
      <c r="B1903" s="1">
        <v>4.76</v>
      </c>
      <c r="C1903" s="1">
        <v>577</v>
      </c>
      <c r="D1903" s="1" t="s">
        <v>33</v>
      </c>
      <c r="E1903" s="1" t="s">
        <v>8</v>
      </c>
      <c r="F1903" s="1">
        <f t="shared" si="66"/>
        <v>476</v>
      </c>
      <c r="G1903" s="12">
        <f t="shared" si="67"/>
        <v>121.21848739495799</v>
      </c>
    </row>
    <row r="1904" spans="1:7" ht="13">
      <c r="A1904" s="4" t="s">
        <v>118</v>
      </c>
      <c r="B1904" s="1">
        <v>4</v>
      </c>
      <c r="C1904" s="1">
        <v>450</v>
      </c>
      <c r="D1904" s="1" t="s">
        <v>47</v>
      </c>
      <c r="E1904" s="1" t="s">
        <v>31</v>
      </c>
      <c r="F1904" s="1">
        <f t="shared" si="66"/>
        <v>400</v>
      </c>
      <c r="G1904" s="12">
        <f t="shared" si="67"/>
        <v>112.5</v>
      </c>
    </row>
    <row r="1905" spans="1:7" ht="13">
      <c r="A1905" s="4" t="s">
        <v>118</v>
      </c>
      <c r="B1905" s="1">
        <v>7.6</v>
      </c>
      <c r="C1905" s="1">
        <v>753</v>
      </c>
      <c r="D1905" s="1" t="s">
        <v>33</v>
      </c>
      <c r="E1905" s="1" t="s">
        <v>17</v>
      </c>
      <c r="F1905" s="1">
        <f t="shared" si="66"/>
        <v>760</v>
      </c>
      <c r="G1905" s="12">
        <f t="shared" si="67"/>
        <v>99.078947368421055</v>
      </c>
    </row>
    <row r="1906" spans="1:7" ht="13">
      <c r="A1906" s="4" t="s">
        <v>118</v>
      </c>
      <c r="B1906" s="1">
        <v>6.3</v>
      </c>
      <c r="C1906" s="1">
        <v>671</v>
      </c>
      <c r="D1906" s="1" t="s">
        <v>33</v>
      </c>
      <c r="E1906" s="1" t="s">
        <v>9</v>
      </c>
      <c r="F1906" s="1">
        <f t="shared" si="66"/>
        <v>630</v>
      </c>
      <c r="G1906" s="12">
        <f t="shared" si="67"/>
        <v>106.50793650793651</v>
      </c>
    </row>
    <row r="1907" spans="1:7" ht="13">
      <c r="A1907" s="4" t="s">
        <v>118</v>
      </c>
      <c r="B1907" s="1">
        <v>5.22</v>
      </c>
      <c r="C1907" s="1">
        <v>530</v>
      </c>
      <c r="D1907" s="1" t="s">
        <v>11</v>
      </c>
      <c r="E1907" s="1" t="s">
        <v>22</v>
      </c>
      <c r="F1907" s="1">
        <f t="shared" si="66"/>
        <v>522</v>
      </c>
      <c r="G1907" s="12">
        <f t="shared" si="67"/>
        <v>101.53256704980843</v>
      </c>
    </row>
    <row r="1908" spans="1:7" ht="13">
      <c r="A1908" s="4" t="s">
        <v>118</v>
      </c>
      <c r="B1908" s="1">
        <v>6</v>
      </c>
      <c r="C1908" s="1">
        <v>6.3</v>
      </c>
      <c r="D1908" s="1" t="s">
        <v>33</v>
      </c>
      <c r="E1908" s="1" t="s">
        <v>15</v>
      </c>
      <c r="F1908" s="1">
        <f t="shared" si="66"/>
        <v>600</v>
      </c>
      <c r="G1908" s="12">
        <f t="shared" si="67"/>
        <v>1.05</v>
      </c>
    </row>
    <row r="1909" spans="1:7" ht="13">
      <c r="A1909" s="4" t="s">
        <v>118</v>
      </c>
      <c r="B1909" s="1">
        <v>6.72</v>
      </c>
      <c r="C1909" s="1">
        <v>788</v>
      </c>
      <c r="D1909" s="1" t="s">
        <v>11</v>
      </c>
      <c r="E1909" s="1" t="s">
        <v>15</v>
      </c>
      <c r="F1909" s="1">
        <f t="shared" si="66"/>
        <v>672</v>
      </c>
      <c r="G1909" s="12">
        <f t="shared" si="67"/>
        <v>117.26190476190476</v>
      </c>
    </row>
    <row r="1910" spans="1:7" ht="13">
      <c r="A1910" s="4" t="s">
        <v>118</v>
      </c>
      <c r="B1910" s="1">
        <v>6.72</v>
      </c>
      <c r="C1910" s="1">
        <v>788</v>
      </c>
      <c r="D1910" s="1" t="s">
        <v>11</v>
      </c>
      <c r="E1910" s="1" t="s">
        <v>15</v>
      </c>
      <c r="F1910" s="1">
        <f t="shared" si="66"/>
        <v>672</v>
      </c>
      <c r="G1910" s="12">
        <f t="shared" si="67"/>
        <v>117.26190476190476</v>
      </c>
    </row>
    <row r="1911" spans="1:7" ht="13">
      <c r="A1911" s="4" t="s">
        <v>118</v>
      </c>
      <c r="B1911" s="1">
        <v>8.6999999999999993</v>
      </c>
      <c r="C1911" s="1">
        <v>895</v>
      </c>
      <c r="D1911" s="1" t="s">
        <v>11</v>
      </c>
      <c r="E1911" s="1" t="s">
        <v>20</v>
      </c>
      <c r="F1911" s="1">
        <f t="shared" si="66"/>
        <v>869.99999999999989</v>
      </c>
      <c r="G1911" s="12">
        <f t="shared" si="67"/>
        <v>102.87356321839081</v>
      </c>
    </row>
    <row r="1912" spans="1:7" ht="13">
      <c r="A1912" s="4" t="s">
        <v>118</v>
      </c>
      <c r="B1912" s="1">
        <v>5.6</v>
      </c>
      <c r="C1912" s="1">
        <v>500</v>
      </c>
      <c r="D1912" s="1" t="s">
        <v>33</v>
      </c>
      <c r="E1912" s="1" t="s">
        <v>7</v>
      </c>
      <c r="F1912" s="1">
        <f t="shared" si="66"/>
        <v>560</v>
      </c>
      <c r="G1912" s="12">
        <f t="shared" si="67"/>
        <v>89.285714285714292</v>
      </c>
    </row>
    <row r="1913" spans="1:7" ht="13">
      <c r="A1913" s="4" t="s">
        <v>118</v>
      </c>
      <c r="B1913" s="1">
        <v>8.6</v>
      </c>
      <c r="C1913" s="1">
        <v>1053</v>
      </c>
      <c r="D1913" s="1" t="s">
        <v>42</v>
      </c>
      <c r="E1913" s="1" t="s">
        <v>8</v>
      </c>
      <c r="F1913" s="1">
        <f t="shared" si="66"/>
        <v>860</v>
      </c>
      <c r="G1913" s="12">
        <f t="shared" si="67"/>
        <v>122.44186046511628</v>
      </c>
    </row>
    <row r="1914" spans="1:7" ht="13">
      <c r="A1914" s="4" t="s">
        <v>118</v>
      </c>
      <c r="B1914" s="1">
        <v>6.96</v>
      </c>
      <c r="C1914" s="1">
        <v>712</v>
      </c>
      <c r="D1914" s="1" t="s">
        <v>33</v>
      </c>
      <c r="E1914" s="1" t="s">
        <v>12</v>
      </c>
      <c r="F1914" s="1">
        <f t="shared" si="66"/>
        <v>696</v>
      </c>
      <c r="G1914" s="12">
        <f t="shared" si="67"/>
        <v>102.29885057471265</v>
      </c>
    </row>
    <row r="1915" spans="1:7" ht="13">
      <c r="A1915" s="4" t="s">
        <v>118</v>
      </c>
      <c r="B1915" s="1">
        <v>7.2</v>
      </c>
      <c r="C1915" s="1">
        <v>774</v>
      </c>
      <c r="D1915" s="1" t="s">
        <v>79</v>
      </c>
      <c r="E1915" s="1" t="s">
        <v>17</v>
      </c>
      <c r="F1915" s="1">
        <f t="shared" si="66"/>
        <v>720</v>
      </c>
      <c r="G1915" s="12">
        <f t="shared" si="67"/>
        <v>107.5</v>
      </c>
    </row>
    <row r="1916" spans="1:7" ht="13">
      <c r="A1916" s="4" t="s">
        <v>118</v>
      </c>
      <c r="B1916" s="1">
        <v>6.9</v>
      </c>
      <c r="C1916" s="1">
        <v>789</v>
      </c>
      <c r="D1916" s="1" t="s">
        <v>38</v>
      </c>
      <c r="E1916" s="1" t="s">
        <v>8</v>
      </c>
      <c r="F1916" s="1">
        <f t="shared" si="66"/>
        <v>690</v>
      </c>
      <c r="G1916" s="12">
        <f t="shared" si="67"/>
        <v>114.34782608695652</v>
      </c>
    </row>
    <row r="1917" spans="1:7" ht="13">
      <c r="A1917" s="4" t="s">
        <v>118</v>
      </c>
      <c r="B1917" s="1">
        <v>5.6550000000000002</v>
      </c>
      <c r="C1917" s="1">
        <v>606</v>
      </c>
      <c r="D1917" s="1" t="s">
        <v>11</v>
      </c>
      <c r="E1917" s="1" t="s">
        <v>8</v>
      </c>
      <c r="F1917" s="1">
        <f t="shared" si="66"/>
        <v>565.5</v>
      </c>
      <c r="G1917" s="12">
        <f t="shared" si="67"/>
        <v>107.16180371352785</v>
      </c>
    </row>
    <row r="1918" spans="1:7" ht="13">
      <c r="A1918" s="4" t="s">
        <v>118</v>
      </c>
      <c r="B1918" s="1">
        <v>6.96</v>
      </c>
      <c r="C1918" s="1">
        <v>715</v>
      </c>
      <c r="D1918" s="1" t="s">
        <v>33</v>
      </c>
      <c r="E1918" s="1" t="s">
        <v>12</v>
      </c>
      <c r="F1918" s="1">
        <f t="shared" si="66"/>
        <v>696</v>
      </c>
      <c r="G1918" s="12">
        <f t="shared" si="67"/>
        <v>102.72988505747126</v>
      </c>
    </row>
    <row r="1919" spans="1:7" ht="13">
      <c r="A1919" s="4" t="s">
        <v>118</v>
      </c>
      <c r="B1919" s="1">
        <v>6.96</v>
      </c>
      <c r="C1919" s="1">
        <v>779</v>
      </c>
      <c r="D1919" s="1" t="s">
        <v>45</v>
      </c>
      <c r="E1919" s="1" t="s">
        <v>24</v>
      </c>
      <c r="F1919" s="1">
        <f t="shared" si="66"/>
        <v>696</v>
      </c>
      <c r="G1919" s="12">
        <f t="shared" si="67"/>
        <v>111.92528735632185</v>
      </c>
    </row>
    <row r="1920" spans="1:7" ht="13">
      <c r="A1920" s="4" t="s">
        <v>118</v>
      </c>
      <c r="B1920" s="1">
        <v>6</v>
      </c>
      <c r="C1920" s="1">
        <v>660</v>
      </c>
      <c r="D1920" s="1" t="s">
        <v>11</v>
      </c>
      <c r="E1920" s="1" t="s">
        <v>17</v>
      </c>
      <c r="F1920" s="1">
        <f t="shared" si="66"/>
        <v>600</v>
      </c>
      <c r="G1920" s="12">
        <f t="shared" si="67"/>
        <v>110</v>
      </c>
    </row>
    <row r="1921" spans="1:7" ht="13">
      <c r="A1921" s="4" t="s">
        <v>118</v>
      </c>
      <c r="B1921" s="1">
        <v>4</v>
      </c>
      <c r="C1921" s="1">
        <v>985</v>
      </c>
      <c r="D1921" s="1" t="s">
        <v>43</v>
      </c>
      <c r="E1921" s="1" t="s">
        <v>25</v>
      </c>
      <c r="F1921" s="1">
        <f t="shared" si="66"/>
        <v>400</v>
      </c>
      <c r="G1921" s="12">
        <f t="shared" si="67"/>
        <v>246.25</v>
      </c>
    </row>
    <row r="1922" spans="1:7" ht="13">
      <c r="A1922" s="4" t="s">
        <v>118</v>
      </c>
      <c r="B1922" s="1">
        <v>6.7</v>
      </c>
      <c r="C1922" s="1">
        <v>708</v>
      </c>
      <c r="D1922" s="1" t="s">
        <v>33</v>
      </c>
      <c r="E1922" s="1" t="s">
        <v>27</v>
      </c>
      <c r="F1922" s="1">
        <f t="shared" si="66"/>
        <v>670</v>
      </c>
      <c r="G1922" s="12">
        <f t="shared" si="67"/>
        <v>105.67164179104478</v>
      </c>
    </row>
    <row r="1923" spans="1:7" ht="13">
      <c r="A1923" s="4" t="s">
        <v>118</v>
      </c>
      <c r="B1923" s="1">
        <v>7.5</v>
      </c>
      <c r="C1923" s="1">
        <v>882</v>
      </c>
      <c r="D1923" s="1" t="s">
        <v>11</v>
      </c>
      <c r="E1923" s="1" t="s">
        <v>10</v>
      </c>
      <c r="F1923" s="1">
        <f t="shared" ref="F1923:F1986" si="68">B1923*100</f>
        <v>750</v>
      </c>
      <c r="G1923" s="12">
        <f t="shared" ref="G1923:G1986" si="69">C1923/B1923</f>
        <v>117.6</v>
      </c>
    </row>
    <row r="1924" spans="1:7" ht="13">
      <c r="A1924" s="4" t="s">
        <v>118</v>
      </c>
      <c r="B1924" s="1">
        <v>6.24</v>
      </c>
      <c r="C1924" s="1">
        <v>863</v>
      </c>
      <c r="D1924" s="1" t="s">
        <v>11</v>
      </c>
      <c r="E1924" s="1" t="s">
        <v>17</v>
      </c>
      <c r="F1924" s="1">
        <f t="shared" si="68"/>
        <v>624</v>
      </c>
      <c r="G1924" s="12">
        <f t="shared" si="69"/>
        <v>138.30128205128204</v>
      </c>
    </row>
    <row r="1925" spans="1:7" ht="13">
      <c r="A1925" s="4" t="s">
        <v>118</v>
      </c>
      <c r="B1925" s="1">
        <v>6.4</v>
      </c>
      <c r="C1925" s="1">
        <v>719</v>
      </c>
      <c r="D1925" s="1" t="s">
        <v>33</v>
      </c>
      <c r="E1925" s="1" t="s">
        <v>15</v>
      </c>
      <c r="F1925" s="1">
        <f t="shared" si="68"/>
        <v>640</v>
      </c>
      <c r="G1925" s="12">
        <f t="shared" si="69"/>
        <v>112.34375</v>
      </c>
    </row>
    <row r="1926" spans="1:7" ht="13">
      <c r="A1926" s="4" t="s">
        <v>118</v>
      </c>
      <c r="B1926" s="1">
        <v>7.74</v>
      </c>
      <c r="C1926" s="1">
        <v>761</v>
      </c>
      <c r="D1926" s="1" t="s">
        <v>42</v>
      </c>
      <c r="E1926" s="1" t="s">
        <v>49</v>
      </c>
      <c r="F1926" s="1">
        <f t="shared" si="68"/>
        <v>774</v>
      </c>
      <c r="G1926" s="12">
        <f t="shared" si="69"/>
        <v>98.320413436692505</v>
      </c>
    </row>
    <row r="1927" spans="1:7" ht="13">
      <c r="A1927" s="4" t="s">
        <v>118</v>
      </c>
      <c r="B1927" s="1">
        <v>8.6999999999999993</v>
      </c>
      <c r="C1927" s="1">
        <v>954</v>
      </c>
      <c r="D1927" s="1" t="s">
        <v>11</v>
      </c>
      <c r="E1927" s="1" t="s">
        <v>27</v>
      </c>
      <c r="F1927" s="1">
        <f t="shared" si="68"/>
        <v>869.99999999999989</v>
      </c>
      <c r="G1927" s="12">
        <f t="shared" si="69"/>
        <v>109.65517241379311</v>
      </c>
    </row>
    <row r="1928" spans="1:7" ht="13">
      <c r="A1928" s="4" t="s">
        <v>118</v>
      </c>
      <c r="B1928" s="1">
        <v>6</v>
      </c>
      <c r="C1928" s="1">
        <v>614</v>
      </c>
      <c r="D1928" s="1" t="s">
        <v>33</v>
      </c>
      <c r="E1928" s="1" t="s">
        <v>15</v>
      </c>
      <c r="F1928" s="1">
        <f t="shared" si="68"/>
        <v>600</v>
      </c>
      <c r="G1928" s="12">
        <f t="shared" si="69"/>
        <v>102.33333333333333</v>
      </c>
    </row>
    <row r="1929" spans="1:7" ht="13">
      <c r="A1929" s="4" t="s">
        <v>118</v>
      </c>
      <c r="B1929" s="1">
        <v>3.44</v>
      </c>
      <c r="C1929" s="1">
        <v>442</v>
      </c>
      <c r="D1929" s="1" t="s">
        <v>43</v>
      </c>
      <c r="E1929" s="1" t="s">
        <v>8</v>
      </c>
      <c r="F1929" s="1">
        <f t="shared" si="68"/>
        <v>344</v>
      </c>
      <c r="G1929" s="12">
        <f t="shared" si="69"/>
        <v>128.48837209302326</v>
      </c>
    </row>
    <row r="1930" spans="1:7" ht="13">
      <c r="A1930" s="4" t="s">
        <v>118</v>
      </c>
      <c r="B1930" s="1">
        <v>6.2</v>
      </c>
      <c r="C1930" s="1">
        <v>656</v>
      </c>
      <c r="D1930" s="1" t="s">
        <v>11</v>
      </c>
      <c r="E1930" s="1" t="s">
        <v>7</v>
      </c>
      <c r="F1930" s="1">
        <f t="shared" si="68"/>
        <v>620</v>
      </c>
      <c r="G1930" s="12">
        <f t="shared" si="69"/>
        <v>105.80645161290322</v>
      </c>
    </row>
    <row r="1931" spans="1:7" ht="13">
      <c r="A1931" s="4" t="s">
        <v>118</v>
      </c>
      <c r="B1931" s="1">
        <v>7.56</v>
      </c>
      <c r="C1931" s="1">
        <v>835</v>
      </c>
      <c r="D1931" s="1" t="s">
        <v>11</v>
      </c>
      <c r="E1931" s="1" t="s">
        <v>49</v>
      </c>
      <c r="F1931" s="1">
        <f t="shared" si="68"/>
        <v>756</v>
      </c>
      <c r="G1931" s="12">
        <f t="shared" si="69"/>
        <v>110.44973544973546</v>
      </c>
    </row>
    <row r="1932" spans="1:7" ht="13">
      <c r="A1932" s="4" t="s">
        <v>118</v>
      </c>
      <c r="B1932" s="1">
        <v>9.66</v>
      </c>
      <c r="C1932" s="1">
        <v>910</v>
      </c>
      <c r="D1932" s="1" t="s">
        <v>33</v>
      </c>
      <c r="E1932" s="1" t="s">
        <v>21</v>
      </c>
      <c r="F1932" s="1">
        <f t="shared" si="68"/>
        <v>966</v>
      </c>
      <c r="G1932" s="12">
        <f t="shared" si="69"/>
        <v>94.20289855072464</v>
      </c>
    </row>
    <row r="1933" spans="1:7" ht="13">
      <c r="A1933" s="4" t="s">
        <v>118</v>
      </c>
      <c r="B1933" s="1">
        <v>8.33</v>
      </c>
      <c r="C1933" s="1">
        <v>750</v>
      </c>
      <c r="D1933" s="1" t="s">
        <v>38</v>
      </c>
      <c r="E1933" s="1" t="s">
        <v>7</v>
      </c>
      <c r="F1933" s="1">
        <f t="shared" si="68"/>
        <v>833</v>
      </c>
      <c r="G1933" s="12">
        <f t="shared" si="69"/>
        <v>90.036014405762302</v>
      </c>
    </row>
    <row r="1934" spans="1:7" ht="13">
      <c r="A1934" s="4" t="s">
        <v>118</v>
      </c>
      <c r="B1934" s="1">
        <v>7.2</v>
      </c>
      <c r="C1934" s="1">
        <v>846</v>
      </c>
      <c r="D1934" s="1" t="s">
        <v>33</v>
      </c>
      <c r="E1934" s="1" t="s">
        <v>15</v>
      </c>
      <c r="F1934" s="1">
        <f t="shared" si="68"/>
        <v>720</v>
      </c>
      <c r="G1934" s="12">
        <f t="shared" si="69"/>
        <v>117.5</v>
      </c>
    </row>
    <row r="1935" spans="1:7" ht="13">
      <c r="A1935" s="4" t="s">
        <v>118</v>
      </c>
      <c r="B1935" s="1">
        <v>6.96</v>
      </c>
      <c r="C1935" s="1">
        <v>792</v>
      </c>
      <c r="D1935" s="1" t="s">
        <v>11</v>
      </c>
      <c r="E1935" s="1" t="s">
        <v>26</v>
      </c>
      <c r="F1935" s="1">
        <f t="shared" si="68"/>
        <v>696</v>
      </c>
      <c r="G1935" s="12">
        <f t="shared" si="69"/>
        <v>113.79310344827586</v>
      </c>
    </row>
    <row r="1936" spans="1:7" ht="13">
      <c r="A1936" s="4" t="s">
        <v>118</v>
      </c>
      <c r="B1936" s="1">
        <v>6.02</v>
      </c>
      <c r="C1936" s="1">
        <v>640</v>
      </c>
      <c r="D1936" s="1" t="s">
        <v>33</v>
      </c>
      <c r="E1936" s="1" t="s">
        <v>27</v>
      </c>
      <c r="F1936" s="1">
        <f t="shared" si="68"/>
        <v>602</v>
      </c>
      <c r="G1936" s="12">
        <f t="shared" si="69"/>
        <v>106.312292358804</v>
      </c>
    </row>
    <row r="1937" spans="1:7" ht="13">
      <c r="A1937" s="4" t="s">
        <v>118</v>
      </c>
      <c r="B1937" s="1">
        <v>7.56</v>
      </c>
      <c r="C1937" s="1">
        <v>805</v>
      </c>
      <c r="D1937" s="1" t="s">
        <v>56</v>
      </c>
      <c r="E1937" s="1" t="s">
        <v>31</v>
      </c>
      <c r="F1937" s="1">
        <f t="shared" si="68"/>
        <v>756</v>
      </c>
      <c r="G1937" s="12">
        <f t="shared" si="69"/>
        <v>106.48148148148148</v>
      </c>
    </row>
    <row r="1938" spans="1:7" ht="13">
      <c r="A1938" s="4" t="s">
        <v>118</v>
      </c>
      <c r="B1938" s="1">
        <v>5.625</v>
      </c>
      <c r="C1938" s="1">
        <v>566</v>
      </c>
      <c r="D1938" s="1" t="s">
        <v>11</v>
      </c>
      <c r="E1938" s="1" t="s">
        <v>15</v>
      </c>
      <c r="F1938" s="1">
        <f t="shared" si="68"/>
        <v>562.5</v>
      </c>
      <c r="G1938" s="12">
        <f t="shared" si="69"/>
        <v>100.62222222222222</v>
      </c>
    </row>
    <row r="1939" spans="1:7" ht="13">
      <c r="A1939" s="4" t="s">
        <v>118</v>
      </c>
      <c r="B1939" s="1">
        <v>6.5</v>
      </c>
      <c r="C1939" s="1">
        <v>715</v>
      </c>
      <c r="D1939" s="1" t="s">
        <v>39</v>
      </c>
      <c r="E1939" s="1" t="s">
        <v>16</v>
      </c>
      <c r="F1939" s="1">
        <f t="shared" si="68"/>
        <v>650</v>
      </c>
      <c r="G1939" s="12">
        <f t="shared" si="69"/>
        <v>110</v>
      </c>
    </row>
    <row r="1940" spans="1:7" ht="13">
      <c r="A1940" s="4" t="s">
        <v>118</v>
      </c>
      <c r="B1940" s="1">
        <v>6.3</v>
      </c>
      <c r="C1940" s="1">
        <v>704</v>
      </c>
      <c r="D1940" s="1" t="s">
        <v>11</v>
      </c>
      <c r="E1940" s="1" t="s">
        <v>12</v>
      </c>
      <c r="F1940" s="1">
        <f t="shared" si="68"/>
        <v>630</v>
      </c>
      <c r="G1940" s="12">
        <f t="shared" si="69"/>
        <v>111.74603174603175</v>
      </c>
    </row>
    <row r="1941" spans="1:7" ht="13">
      <c r="A1941" s="4" t="s">
        <v>118</v>
      </c>
      <c r="B1941" s="1">
        <v>4.8</v>
      </c>
      <c r="C1941" s="1">
        <v>441</v>
      </c>
      <c r="D1941" s="1" t="s">
        <v>11</v>
      </c>
      <c r="E1941" s="1" t="s">
        <v>10</v>
      </c>
      <c r="F1941" s="1">
        <f t="shared" si="68"/>
        <v>480</v>
      </c>
      <c r="G1941" s="12">
        <f t="shared" si="69"/>
        <v>91.875</v>
      </c>
    </row>
    <row r="1942" spans="1:7" ht="13">
      <c r="A1942" s="4" t="s">
        <v>118</v>
      </c>
      <c r="B1942" s="1">
        <v>3.48</v>
      </c>
      <c r="C1942" s="1">
        <v>413.64</v>
      </c>
      <c r="D1942" s="1" t="s">
        <v>11</v>
      </c>
      <c r="E1942" s="1" t="s">
        <v>15</v>
      </c>
      <c r="F1942" s="1">
        <f t="shared" si="68"/>
        <v>348</v>
      </c>
      <c r="G1942" s="12">
        <f t="shared" si="69"/>
        <v>118.86206896551724</v>
      </c>
    </row>
    <row r="1943" spans="1:7" ht="13">
      <c r="A1943" s="4" t="s">
        <v>118</v>
      </c>
      <c r="B1943" s="1">
        <v>4</v>
      </c>
      <c r="C1943" s="1">
        <v>468</v>
      </c>
      <c r="D1943" s="1" t="s">
        <v>11</v>
      </c>
      <c r="E1943" s="1" t="s">
        <v>9</v>
      </c>
      <c r="F1943" s="1">
        <f t="shared" si="68"/>
        <v>400</v>
      </c>
      <c r="G1943" s="12">
        <f t="shared" si="69"/>
        <v>117</v>
      </c>
    </row>
    <row r="1944" spans="1:7" ht="13">
      <c r="A1944" s="4" t="s">
        <v>118</v>
      </c>
      <c r="B1944" s="1">
        <v>3.4</v>
      </c>
      <c r="C1944" s="1">
        <v>403</v>
      </c>
      <c r="D1944" s="1" t="s">
        <v>11</v>
      </c>
      <c r="E1944" s="1" t="s">
        <v>22</v>
      </c>
      <c r="F1944" s="1">
        <f t="shared" si="68"/>
        <v>340</v>
      </c>
      <c r="G1944" s="12">
        <f t="shared" si="69"/>
        <v>118.52941176470588</v>
      </c>
    </row>
    <row r="1945" spans="1:7" ht="13">
      <c r="A1945" s="4" t="s">
        <v>118</v>
      </c>
      <c r="B1945" s="1">
        <v>5.6</v>
      </c>
      <c r="C1945" s="1">
        <v>645</v>
      </c>
      <c r="D1945" s="1" t="s">
        <v>54</v>
      </c>
      <c r="E1945" s="1" t="s">
        <v>22</v>
      </c>
      <c r="F1945" s="1">
        <f t="shared" si="68"/>
        <v>560</v>
      </c>
      <c r="G1945" s="12">
        <f t="shared" si="69"/>
        <v>115.17857142857143</v>
      </c>
    </row>
    <row r="1946" spans="1:7" ht="13">
      <c r="A1946" s="4" t="s">
        <v>118</v>
      </c>
      <c r="B1946" s="1">
        <v>6.8</v>
      </c>
      <c r="C1946" s="1">
        <v>705</v>
      </c>
      <c r="D1946" s="1" t="s">
        <v>33</v>
      </c>
      <c r="E1946" s="1" t="s">
        <v>20</v>
      </c>
      <c r="F1946" s="1">
        <f t="shared" si="68"/>
        <v>680</v>
      </c>
      <c r="G1946" s="12">
        <f t="shared" si="69"/>
        <v>103.67647058823529</v>
      </c>
    </row>
    <row r="1947" spans="1:7" ht="13">
      <c r="A1947" s="4" t="s">
        <v>118</v>
      </c>
      <c r="B1947" s="1">
        <v>5.2</v>
      </c>
      <c r="C1947" s="1">
        <v>562</v>
      </c>
      <c r="D1947" s="1" t="s">
        <v>44</v>
      </c>
      <c r="E1947" s="1" t="s">
        <v>15</v>
      </c>
      <c r="F1947" s="1">
        <f t="shared" si="68"/>
        <v>520</v>
      </c>
      <c r="G1947" s="12">
        <f t="shared" si="69"/>
        <v>108.07692307692308</v>
      </c>
    </row>
    <row r="1948" spans="1:7" ht="13">
      <c r="A1948" s="4" t="s">
        <v>118</v>
      </c>
      <c r="B1948" s="1">
        <v>6.4</v>
      </c>
      <c r="C1948" s="1">
        <v>715</v>
      </c>
      <c r="D1948" s="1" t="s">
        <v>93</v>
      </c>
      <c r="E1948" s="1" t="s">
        <v>26</v>
      </c>
      <c r="F1948" s="1">
        <f t="shared" si="68"/>
        <v>640</v>
      </c>
      <c r="G1948" s="12">
        <f t="shared" si="69"/>
        <v>111.71875</v>
      </c>
    </row>
    <row r="1949" spans="1:7" ht="13">
      <c r="A1949" s="4" t="s">
        <v>118</v>
      </c>
      <c r="B1949" s="1">
        <v>6.96</v>
      </c>
      <c r="C1949" s="1">
        <v>899</v>
      </c>
      <c r="D1949" s="1" t="s">
        <v>11</v>
      </c>
      <c r="E1949" s="1" t="s">
        <v>8</v>
      </c>
      <c r="F1949" s="1">
        <f t="shared" si="68"/>
        <v>696</v>
      </c>
      <c r="G1949" s="12">
        <f t="shared" si="69"/>
        <v>129.16666666666666</v>
      </c>
    </row>
    <row r="1950" spans="1:7" ht="13">
      <c r="A1950" s="4" t="s">
        <v>118</v>
      </c>
      <c r="B1950" s="1">
        <v>8.6</v>
      </c>
      <c r="C1950" s="1">
        <v>807</v>
      </c>
      <c r="D1950" s="1" t="s">
        <v>43</v>
      </c>
      <c r="E1950" s="1" t="s">
        <v>22</v>
      </c>
      <c r="F1950" s="1">
        <f t="shared" si="68"/>
        <v>860</v>
      </c>
      <c r="G1950" s="12">
        <f t="shared" si="69"/>
        <v>93.83720930232559</v>
      </c>
    </row>
    <row r="1951" spans="1:7" ht="13">
      <c r="A1951" s="4" t="s">
        <v>118</v>
      </c>
      <c r="B1951" s="1">
        <v>5.1100000000000003</v>
      </c>
      <c r="C1951" s="1">
        <v>547</v>
      </c>
      <c r="D1951" s="1" t="s">
        <v>11</v>
      </c>
      <c r="E1951" s="1" t="s">
        <v>8</v>
      </c>
      <c r="F1951" s="1">
        <f t="shared" si="68"/>
        <v>511.00000000000006</v>
      </c>
      <c r="G1951" s="12">
        <f t="shared" si="69"/>
        <v>107.04500978473581</v>
      </c>
    </row>
    <row r="1952" spans="1:7" ht="13">
      <c r="A1952" s="4" t="s">
        <v>118</v>
      </c>
      <c r="B1952" s="1">
        <v>5.2</v>
      </c>
      <c r="C1952" s="1">
        <v>557</v>
      </c>
      <c r="D1952" s="1" t="s">
        <v>50</v>
      </c>
      <c r="E1952" s="1" t="s">
        <v>15</v>
      </c>
      <c r="F1952" s="1">
        <f t="shared" si="68"/>
        <v>520</v>
      </c>
      <c r="G1952" s="12">
        <f t="shared" si="69"/>
        <v>107.11538461538461</v>
      </c>
    </row>
    <row r="1953" spans="1:7" ht="13">
      <c r="A1953" s="4" t="s">
        <v>118</v>
      </c>
      <c r="B1953" s="1">
        <v>8.1</v>
      </c>
      <c r="C1953" s="1">
        <v>995</v>
      </c>
      <c r="D1953" s="1" t="s">
        <v>42</v>
      </c>
      <c r="E1953" s="1" t="s">
        <v>10</v>
      </c>
      <c r="F1953" s="1">
        <f t="shared" si="68"/>
        <v>810</v>
      </c>
      <c r="G1953" s="12">
        <f t="shared" si="69"/>
        <v>122.83950617283951</v>
      </c>
    </row>
    <row r="1954" spans="1:7" ht="13">
      <c r="A1954" s="4" t="s">
        <v>118</v>
      </c>
      <c r="B1954" s="1">
        <v>7.7</v>
      </c>
      <c r="C1954" s="1">
        <v>771</v>
      </c>
      <c r="D1954" s="1" t="s">
        <v>37</v>
      </c>
      <c r="E1954" s="1" t="s">
        <v>26</v>
      </c>
      <c r="F1954" s="1">
        <f t="shared" si="68"/>
        <v>770</v>
      </c>
      <c r="G1954" s="12">
        <f t="shared" si="69"/>
        <v>100.12987012987013</v>
      </c>
    </row>
    <row r="1955" spans="1:7" ht="13">
      <c r="A1955" s="4" t="s">
        <v>118</v>
      </c>
      <c r="B1955" s="1">
        <v>5</v>
      </c>
      <c r="C1955" s="1">
        <v>750</v>
      </c>
      <c r="D1955" s="1" t="s">
        <v>33</v>
      </c>
      <c r="E1955" s="1" t="s">
        <v>32</v>
      </c>
      <c r="F1955" s="1">
        <f t="shared" si="68"/>
        <v>500</v>
      </c>
      <c r="G1955" s="12">
        <f t="shared" si="69"/>
        <v>150</v>
      </c>
    </row>
    <row r="1956" spans="1:7" ht="13">
      <c r="A1956" s="4" t="s">
        <v>118</v>
      </c>
      <c r="B1956" s="1">
        <v>6.93</v>
      </c>
      <c r="C1956" s="1">
        <v>891</v>
      </c>
      <c r="D1956" s="1" t="s">
        <v>11</v>
      </c>
      <c r="E1956" s="1" t="s">
        <v>8</v>
      </c>
      <c r="F1956" s="1">
        <f t="shared" si="68"/>
        <v>693</v>
      </c>
      <c r="G1956" s="12">
        <f t="shared" si="69"/>
        <v>128.57142857142858</v>
      </c>
    </row>
    <row r="1957" spans="1:7" ht="13">
      <c r="A1957" s="4" t="s">
        <v>118</v>
      </c>
      <c r="B1957" s="1">
        <v>7.83</v>
      </c>
      <c r="C1957" s="1">
        <v>865</v>
      </c>
      <c r="D1957" s="1" t="s">
        <v>11</v>
      </c>
      <c r="E1957" s="1" t="s">
        <v>17</v>
      </c>
      <c r="F1957" s="1">
        <f t="shared" si="68"/>
        <v>783</v>
      </c>
      <c r="G1957" s="12">
        <f t="shared" si="69"/>
        <v>110.47254150702426</v>
      </c>
    </row>
    <row r="1958" spans="1:7" ht="13">
      <c r="A1958" s="4" t="s">
        <v>118</v>
      </c>
      <c r="B1958" s="1">
        <v>7.74</v>
      </c>
      <c r="C1958" s="1">
        <v>825</v>
      </c>
      <c r="D1958" s="1" t="s">
        <v>37</v>
      </c>
      <c r="E1958" s="1" t="s">
        <v>7</v>
      </c>
      <c r="F1958" s="1">
        <f t="shared" si="68"/>
        <v>774</v>
      </c>
      <c r="G1958" s="12">
        <f t="shared" si="69"/>
        <v>106.5891472868217</v>
      </c>
    </row>
    <row r="1959" spans="1:7" ht="13">
      <c r="A1959" s="4" t="s">
        <v>118</v>
      </c>
      <c r="B1959" s="1">
        <v>3.4</v>
      </c>
      <c r="C1959" s="1">
        <v>375</v>
      </c>
      <c r="D1959" s="1" t="s">
        <v>11</v>
      </c>
      <c r="E1959" s="1" t="s">
        <v>16</v>
      </c>
      <c r="F1959" s="1">
        <f t="shared" si="68"/>
        <v>340</v>
      </c>
      <c r="G1959" s="12">
        <f t="shared" si="69"/>
        <v>110.29411764705883</v>
      </c>
    </row>
    <row r="1960" spans="1:7" ht="13">
      <c r="A1960" s="4" t="s">
        <v>118</v>
      </c>
      <c r="B1960" s="1">
        <v>8.1999999999999993</v>
      </c>
      <c r="C1960" s="1">
        <v>896</v>
      </c>
      <c r="D1960" s="1" t="s">
        <v>60</v>
      </c>
      <c r="E1960" s="1" t="s">
        <v>16</v>
      </c>
      <c r="F1960" s="1">
        <f t="shared" si="68"/>
        <v>819.99999999999989</v>
      </c>
      <c r="G1960" s="12">
        <f t="shared" si="69"/>
        <v>109.26829268292684</v>
      </c>
    </row>
    <row r="1961" spans="1:7" ht="13">
      <c r="A1961" s="4" t="s">
        <v>118</v>
      </c>
      <c r="B1961" s="1">
        <v>6.4</v>
      </c>
      <c r="C1961" s="1">
        <v>617.5</v>
      </c>
      <c r="D1961" s="1" t="s">
        <v>35</v>
      </c>
      <c r="E1961" s="1" t="s">
        <v>18</v>
      </c>
      <c r="F1961" s="1">
        <f t="shared" si="68"/>
        <v>640</v>
      </c>
      <c r="G1961" s="12">
        <f t="shared" si="69"/>
        <v>96.484375</v>
      </c>
    </row>
    <row r="1962" spans="1:7" ht="13">
      <c r="A1962" s="4" t="s">
        <v>118</v>
      </c>
      <c r="B1962" s="1">
        <v>5</v>
      </c>
      <c r="C1962" s="1">
        <v>552</v>
      </c>
      <c r="D1962" s="1" t="s">
        <v>11</v>
      </c>
      <c r="E1962" s="1" t="s">
        <v>23</v>
      </c>
      <c r="F1962" s="1">
        <f t="shared" si="68"/>
        <v>500</v>
      </c>
      <c r="G1962" s="12">
        <f t="shared" si="69"/>
        <v>110.4</v>
      </c>
    </row>
    <row r="1963" spans="1:7" ht="13">
      <c r="A1963" s="4" t="s">
        <v>118</v>
      </c>
      <c r="B1963" s="1">
        <v>7.3</v>
      </c>
      <c r="C1963" s="1">
        <v>789</v>
      </c>
      <c r="D1963" s="1" t="s">
        <v>35</v>
      </c>
      <c r="E1963" s="1" t="s">
        <v>28</v>
      </c>
      <c r="F1963" s="1">
        <f t="shared" si="68"/>
        <v>730</v>
      </c>
      <c r="G1963" s="12">
        <f t="shared" si="69"/>
        <v>108.08219178082192</v>
      </c>
    </row>
    <row r="1964" spans="1:7" ht="13">
      <c r="A1964" s="4" t="s">
        <v>118</v>
      </c>
      <c r="B1964" s="1">
        <v>5.22</v>
      </c>
      <c r="C1964" s="1">
        <v>631.28</v>
      </c>
      <c r="D1964" s="1" t="s">
        <v>11</v>
      </c>
      <c r="E1964" s="1" t="s">
        <v>7</v>
      </c>
      <c r="F1964" s="1">
        <f t="shared" si="68"/>
        <v>522</v>
      </c>
      <c r="G1964" s="12">
        <f t="shared" si="69"/>
        <v>120.93486590038314</v>
      </c>
    </row>
    <row r="1965" spans="1:7" ht="13">
      <c r="A1965" s="4" t="s">
        <v>118</v>
      </c>
      <c r="B1965" s="1">
        <v>7.14</v>
      </c>
      <c r="C1965" s="1">
        <v>758</v>
      </c>
      <c r="D1965" s="1" t="s">
        <v>11</v>
      </c>
      <c r="E1965" s="1" t="s">
        <v>28</v>
      </c>
      <c r="F1965" s="1">
        <f t="shared" si="68"/>
        <v>714</v>
      </c>
      <c r="G1965" s="12">
        <f t="shared" si="69"/>
        <v>106.1624649859944</v>
      </c>
    </row>
    <row r="1966" spans="1:7" ht="13">
      <c r="A1966" s="4" t="s">
        <v>118</v>
      </c>
      <c r="B1966" s="1">
        <v>8.4</v>
      </c>
      <c r="C1966" s="1">
        <v>893</v>
      </c>
      <c r="D1966" s="1" t="s">
        <v>42</v>
      </c>
      <c r="E1966" s="1" t="s">
        <v>32</v>
      </c>
      <c r="F1966" s="1">
        <f t="shared" si="68"/>
        <v>840</v>
      </c>
      <c r="G1966" s="12">
        <f t="shared" si="69"/>
        <v>106.30952380952381</v>
      </c>
    </row>
    <row r="1967" spans="1:7" ht="13">
      <c r="A1967" s="4" t="s">
        <v>118</v>
      </c>
      <c r="B1967" s="1">
        <v>8.1</v>
      </c>
      <c r="C1967" s="1">
        <v>1045</v>
      </c>
      <c r="D1967" s="1" t="s">
        <v>11</v>
      </c>
      <c r="E1967" s="1" t="s">
        <v>8</v>
      </c>
      <c r="F1967" s="1">
        <f t="shared" si="68"/>
        <v>810</v>
      </c>
      <c r="G1967" s="12">
        <f t="shared" si="69"/>
        <v>129.01234567901236</v>
      </c>
    </row>
    <row r="1968" spans="1:7" ht="13">
      <c r="A1968" s="4" t="s">
        <v>118</v>
      </c>
      <c r="B1968" s="1">
        <v>5</v>
      </c>
      <c r="C1968" s="1">
        <v>749</v>
      </c>
      <c r="D1968" s="1" t="s">
        <v>43</v>
      </c>
      <c r="E1968" s="1" t="s">
        <v>9</v>
      </c>
      <c r="F1968" s="1">
        <f t="shared" si="68"/>
        <v>500</v>
      </c>
      <c r="G1968" s="12">
        <f t="shared" si="69"/>
        <v>149.80000000000001</v>
      </c>
    </row>
    <row r="1969" spans="1:7" ht="13">
      <c r="A1969" s="4" t="s">
        <v>118</v>
      </c>
      <c r="B1969" s="1">
        <v>27.5</v>
      </c>
      <c r="C1969" s="1">
        <v>5119</v>
      </c>
      <c r="D1969" s="1" t="s">
        <v>53</v>
      </c>
      <c r="E1969" s="1" t="s">
        <v>9</v>
      </c>
      <c r="F1969" s="1">
        <f t="shared" si="68"/>
        <v>2750</v>
      </c>
      <c r="G1969" s="12">
        <f t="shared" si="69"/>
        <v>186.14545454545456</v>
      </c>
    </row>
    <row r="1970" spans="1:7" ht="13">
      <c r="A1970" s="4" t="s">
        <v>118</v>
      </c>
      <c r="B1970" s="1">
        <v>6.8</v>
      </c>
      <c r="C1970" s="1">
        <v>782</v>
      </c>
      <c r="D1970" s="1" t="s">
        <v>44</v>
      </c>
      <c r="E1970" s="1" t="s">
        <v>26</v>
      </c>
      <c r="F1970" s="1">
        <f t="shared" si="68"/>
        <v>680</v>
      </c>
      <c r="G1970" s="12">
        <f t="shared" si="69"/>
        <v>115</v>
      </c>
    </row>
    <row r="1971" spans="1:7" ht="13">
      <c r="A1971" s="4" t="s">
        <v>118</v>
      </c>
      <c r="B1971" s="1">
        <v>7.7</v>
      </c>
      <c r="C1971" s="1">
        <v>976</v>
      </c>
      <c r="D1971" s="1" t="s">
        <v>34</v>
      </c>
      <c r="E1971" s="1" t="s">
        <v>10</v>
      </c>
      <c r="F1971" s="1">
        <f t="shared" si="68"/>
        <v>770</v>
      </c>
      <c r="G1971" s="12">
        <f t="shared" si="69"/>
        <v>126.75324675324676</v>
      </c>
    </row>
    <row r="1972" spans="1:7" ht="13">
      <c r="A1972" s="4" t="s">
        <v>118</v>
      </c>
      <c r="B1972" s="1">
        <v>4.2</v>
      </c>
      <c r="C1972" s="1">
        <v>468</v>
      </c>
      <c r="D1972" s="1" t="s">
        <v>102</v>
      </c>
      <c r="E1972" s="1" t="s">
        <v>26</v>
      </c>
      <c r="F1972" s="1">
        <f t="shared" si="68"/>
        <v>420</v>
      </c>
      <c r="G1972" s="12">
        <f t="shared" si="69"/>
        <v>111.42857142857143</v>
      </c>
    </row>
    <row r="1973" spans="1:7" ht="13">
      <c r="A1973" s="4" t="s">
        <v>118</v>
      </c>
      <c r="B1973" s="1">
        <v>7.85</v>
      </c>
      <c r="C1973" s="1">
        <v>836</v>
      </c>
      <c r="D1973" s="1" t="s">
        <v>11</v>
      </c>
      <c r="E1973" s="1" t="s">
        <v>8</v>
      </c>
      <c r="F1973" s="1">
        <f t="shared" si="68"/>
        <v>785</v>
      </c>
      <c r="G1973" s="12">
        <f t="shared" si="69"/>
        <v>106.49681528662421</v>
      </c>
    </row>
    <row r="1974" spans="1:7" ht="13">
      <c r="A1974" s="4" t="s">
        <v>118</v>
      </c>
      <c r="B1974" s="1">
        <v>9.4600000000000009</v>
      </c>
      <c r="C1974" s="1">
        <v>796</v>
      </c>
      <c r="D1974" s="1" t="s">
        <v>52</v>
      </c>
      <c r="E1974" s="1" t="s">
        <v>18</v>
      </c>
      <c r="F1974" s="1">
        <f t="shared" si="68"/>
        <v>946.00000000000011</v>
      </c>
      <c r="G1974" s="12">
        <f t="shared" si="69"/>
        <v>84.143763213530647</v>
      </c>
    </row>
    <row r="1975" spans="1:7" ht="13">
      <c r="A1975" s="4" t="s">
        <v>118</v>
      </c>
      <c r="B1975" s="1">
        <v>7.74</v>
      </c>
      <c r="C1975" s="1">
        <v>915</v>
      </c>
      <c r="D1975" s="1" t="s">
        <v>33</v>
      </c>
      <c r="E1975" s="1" t="s">
        <v>9</v>
      </c>
      <c r="F1975" s="1">
        <f t="shared" si="68"/>
        <v>774</v>
      </c>
      <c r="G1975" s="12">
        <f t="shared" si="69"/>
        <v>118.21705426356588</v>
      </c>
    </row>
    <row r="1976" spans="1:7" ht="13">
      <c r="A1976" s="4" t="s">
        <v>118</v>
      </c>
      <c r="B1976" s="1">
        <v>5</v>
      </c>
      <c r="C1976" s="1">
        <v>460</v>
      </c>
      <c r="D1976" s="1" t="s">
        <v>11</v>
      </c>
      <c r="E1976" s="1" t="s">
        <v>7</v>
      </c>
      <c r="F1976" s="1">
        <f t="shared" si="68"/>
        <v>500</v>
      </c>
      <c r="G1976" s="12">
        <f t="shared" si="69"/>
        <v>92</v>
      </c>
    </row>
    <row r="1977" spans="1:7" ht="13">
      <c r="A1977" s="4" t="s">
        <v>118</v>
      </c>
      <c r="B1977" s="1">
        <v>6.88</v>
      </c>
      <c r="C1977" s="1">
        <v>710</v>
      </c>
      <c r="D1977" s="1" t="s">
        <v>88</v>
      </c>
      <c r="E1977" s="1" t="s">
        <v>32</v>
      </c>
      <c r="F1977" s="1">
        <f t="shared" si="68"/>
        <v>688</v>
      </c>
      <c r="G1977" s="12">
        <f t="shared" si="69"/>
        <v>103.19767441860465</v>
      </c>
    </row>
    <row r="1978" spans="1:7" ht="13">
      <c r="A1978" s="4" t="s">
        <v>118</v>
      </c>
      <c r="B1978" s="1">
        <v>10.875</v>
      </c>
      <c r="C1978" s="1">
        <v>1041</v>
      </c>
      <c r="D1978" s="1" t="s">
        <v>33</v>
      </c>
      <c r="E1978" s="1" t="s">
        <v>22</v>
      </c>
      <c r="F1978" s="1">
        <f t="shared" si="68"/>
        <v>1087.5</v>
      </c>
      <c r="G1978" s="12">
        <f t="shared" si="69"/>
        <v>95.724137931034477</v>
      </c>
    </row>
    <row r="1979" spans="1:7" ht="13">
      <c r="A1979" s="4" t="s">
        <v>118</v>
      </c>
      <c r="B1979" s="1">
        <v>6.09</v>
      </c>
      <c r="C1979" s="1">
        <v>600.41999999999996</v>
      </c>
      <c r="D1979" s="1" t="s">
        <v>42</v>
      </c>
      <c r="E1979" s="1" t="s">
        <v>15</v>
      </c>
      <c r="F1979" s="1">
        <f t="shared" si="68"/>
        <v>609</v>
      </c>
      <c r="G1979" s="12">
        <f t="shared" si="69"/>
        <v>98.591133004926107</v>
      </c>
    </row>
    <row r="1980" spans="1:7" ht="13">
      <c r="A1980" s="4" t="s">
        <v>118</v>
      </c>
      <c r="B1980" s="1">
        <v>5</v>
      </c>
      <c r="C1980" s="1">
        <v>515</v>
      </c>
      <c r="D1980" s="1" t="s">
        <v>11</v>
      </c>
      <c r="E1980" s="1" t="s">
        <v>25</v>
      </c>
      <c r="F1980" s="1">
        <f t="shared" si="68"/>
        <v>500</v>
      </c>
      <c r="G1980" s="12">
        <f t="shared" si="69"/>
        <v>103</v>
      </c>
    </row>
    <row r="1981" spans="1:7" ht="13">
      <c r="A1981" s="4" t="s">
        <v>118</v>
      </c>
      <c r="B1981" s="1">
        <v>15.6</v>
      </c>
      <c r="C1981" s="1">
        <v>2040</v>
      </c>
      <c r="D1981" s="1" t="s">
        <v>52</v>
      </c>
      <c r="E1981" s="1" t="s">
        <v>8</v>
      </c>
      <c r="F1981" s="1">
        <f t="shared" si="68"/>
        <v>1560</v>
      </c>
      <c r="G1981" s="12">
        <f t="shared" si="69"/>
        <v>130.76923076923077</v>
      </c>
    </row>
    <row r="1982" spans="1:7" ht="13">
      <c r="A1982" s="4" t="s">
        <v>118</v>
      </c>
      <c r="B1982" s="1">
        <v>8.6999999999999993</v>
      </c>
      <c r="C1982" s="1">
        <v>925</v>
      </c>
      <c r="D1982" s="1" t="s">
        <v>33</v>
      </c>
      <c r="E1982" s="1" t="s">
        <v>26</v>
      </c>
      <c r="F1982" s="1">
        <f t="shared" si="68"/>
        <v>869.99999999999989</v>
      </c>
      <c r="G1982" s="12">
        <f t="shared" si="69"/>
        <v>106.32183908045978</v>
      </c>
    </row>
    <row r="1983" spans="1:7" ht="13">
      <c r="A1983" s="4" t="s">
        <v>118</v>
      </c>
      <c r="B1983" s="1">
        <v>5.4</v>
      </c>
      <c r="C1983" s="1">
        <v>613</v>
      </c>
      <c r="D1983" s="1" t="s">
        <v>33</v>
      </c>
      <c r="E1983" s="1" t="s">
        <v>25</v>
      </c>
      <c r="F1983" s="1">
        <f t="shared" si="68"/>
        <v>540</v>
      </c>
      <c r="G1983" s="12">
        <f t="shared" si="69"/>
        <v>113.5185185185185</v>
      </c>
    </row>
    <row r="1984" spans="1:7" ht="13">
      <c r="A1984" s="4" t="s">
        <v>118</v>
      </c>
      <c r="B1984" s="1">
        <v>7.8</v>
      </c>
      <c r="C1984" s="1">
        <v>890</v>
      </c>
      <c r="D1984" s="1" t="s">
        <v>39</v>
      </c>
      <c r="E1984" s="1" t="s">
        <v>17</v>
      </c>
      <c r="F1984" s="1">
        <f t="shared" si="68"/>
        <v>780</v>
      </c>
      <c r="G1984" s="12">
        <f t="shared" si="69"/>
        <v>114.1025641025641</v>
      </c>
    </row>
    <row r="1985" spans="1:7" ht="13">
      <c r="A1985" s="4" t="s">
        <v>118</v>
      </c>
      <c r="B1985" s="1">
        <v>5.2</v>
      </c>
      <c r="C1985" s="1">
        <v>714</v>
      </c>
      <c r="D1985" s="1" t="s">
        <v>43</v>
      </c>
      <c r="E1985" s="1" t="s">
        <v>16</v>
      </c>
      <c r="F1985" s="1">
        <f t="shared" si="68"/>
        <v>520</v>
      </c>
      <c r="G1985" s="12">
        <f t="shared" si="69"/>
        <v>137.30769230769229</v>
      </c>
    </row>
    <row r="1986" spans="1:7" ht="13">
      <c r="A1986" s="4" t="s">
        <v>118</v>
      </c>
      <c r="B1986" s="1">
        <v>7.56</v>
      </c>
      <c r="C1986" s="1">
        <v>966</v>
      </c>
      <c r="D1986" s="1" t="s">
        <v>11</v>
      </c>
      <c r="E1986" s="1" t="s">
        <v>9</v>
      </c>
      <c r="F1986" s="1">
        <f t="shared" si="68"/>
        <v>756</v>
      </c>
      <c r="G1986" s="12">
        <f t="shared" si="69"/>
        <v>127.77777777777779</v>
      </c>
    </row>
    <row r="1987" spans="1:7" ht="13">
      <c r="A1987" s="4" t="s">
        <v>118</v>
      </c>
      <c r="B1987" s="1">
        <v>6</v>
      </c>
      <c r="C1987" s="1">
        <v>686</v>
      </c>
      <c r="D1987" s="1" t="s">
        <v>33</v>
      </c>
      <c r="E1987" s="1" t="s">
        <v>16</v>
      </c>
      <c r="F1987" s="1">
        <f t="shared" ref="F1987:F2050" si="70">B1987*100</f>
        <v>600</v>
      </c>
      <c r="G1987" s="12">
        <f t="shared" ref="G1987:G2050" si="71">C1987/B1987</f>
        <v>114.33333333333333</v>
      </c>
    </row>
    <row r="1988" spans="1:7" ht="13">
      <c r="A1988" s="4" t="s">
        <v>118</v>
      </c>
      <c r="B1988" s="1">
        <v>8.6</v>
      </c>
      <c r="C1988" s="1">
        <v>936</v>
      </c>
      <c r="D1988" s="1" t="s">
        <v>33</v>
      </c>
      <c r="E1988" s="1" t="s">
        <v>26</v>
      </c>
      <c r="F1988" s="1">
        <f t="shared" si="70"/>
        <v>860</v>
      </c>
      <c r="G1988" s="12">
        <f t="shared" si="71"/>
        <v>108.83720930232559</v>
      </c>
    </row>
    <row r="1989" spans="1:7" ht="13">
      <c r="A1989" s="4" t="s">
        <v>118</v>
      </c>
      <c r="B1989" s="1">
        <v>4.92</v>
      </c>
      <c r="C1989" s="1">
        <v>572.5</v>
      </c>
      <c r="D1989" s="1" t="s">
        <v>47</v>
      </c>
      <c r="E1989" s="1" t="s">
        <v>22</v>
      </c>
      <c r="F1989" s="1">
        <f t="shared" si="70"/>
        <v>492</v>
      </c>
      <c r="G1989" s="12">
        <f t="shared" si="71"/>
        <v>116.36178861788618</v>
      </c>
    </row>
    <row r="1990" spans="1:7" ht="13">
      <c r="A1990" s="4" t="s">
        <v>118</v>
      </c>
      <c r="B1990" s="1">
        <v>6</v>
      </c>
      <c r="C1990" s="1">
        <v>494</v>
      </c>
      <c r="D1990" s="1" t="s">
        <v>36</v>
      </c>
      <c r="E1990" s="1" t="s">
        <v>9</v>
      </c>
      <c r="F1990" s="1">
        <f t="shared" si="70"/>
        <v>600</v>
      </c>
      <c r="G1990" s="12">
        <f t="shared" si="71"/>
        <v>82.333333333333329</v>
      </c>
    </row>
    <row r="1991" spans="1:7" ht="13">
      <c r="A1991" s="4" t="s">
        <v>118</v>
      </c>
      <c r="B1991" s="1">
        <v>9.57</v>
      </c>
      <c r="C1991" s="1">
        <v>1004</v>
      </c>
      <c r="D1991" s="1" t="s">
        <v>11</v>
      </c>
      <c r="E1991" s="1" t="s">
        <v>10</v>
      </c>
      <c r="F1991" s="1">
        <f t="shared" si="70"/>
        <v>957</v>
      </c>
      <c r="G1991" s="12">
        <f t="shared" si="71"/>
        <v>104.91118077324974</v>
      </c>
    </row>
    <row r="1992" spans="1:7" ht="13">
      <c r="A1992" s="4" t="s">
        <v>118</v>
      </c>
      <c r="B1992" s="1">
        <v>4.2</v>
      </c>
      <c r="C1992" s="1">
        <v>429.1</v>
      </c>
      <c r="D1992" s="1" t="s">
        <v>35</v>
      </c>
      <c r="E1992" s="1" t="s">
        <v>17</v>
      </c>
      <c r="F1992" s="1">
        <f t="shared" si="70"/>
        <v>420</v>
      </c>
      <c r="G1992" s="12">
        <f t="shared" si="71"/>
        <v>102.16666666666667</v>
      </c>
    </row>
    <row r="1993" spans="1:7" ht="13">
      <c r="A1993" s="4" t="s">
        <v>118</v>
      </c>
      <c r="B1993" s="1">
        <v>6.96</v>
      </c>
      <c r="C1993" s="1">
        <v>845</v>
      </c>
      <c r="D1993" s="1" t="s">
        <v>37</v>
      </c>
      <c r="E1993" s="1" t="s">
        <v>9</v>
      </c>
      <c r="F1993" s="1">
        <f t="shared" si="70"/>
        <v>696</v>
      </c>
      <c r="G1993" s="12">
        <f t="shared" si="71"/>
        <v>121.4080459770115</v>
      </c>
    </row>
    <row r="1994" spans="1:7" ht="13">
      <c r="A1994" s="4" t="s">
        <v>118</v>
      </c>
      <c r="B1994" s="1">
        <v>9.68</v>
      </c>
      <c r="C1994" s="1">
        <v>1020</v>
      </c>
      <c r="D1994" s="1" t="s">
        <v>37</v>
      </c>
      <c r="E1994" s="1" t="s">
        <v>7</v>
      </c>
      <c r="F1994" s="1">
        <f t="shared" si="70"/>
        <v>968</v>
      </c>
      <c r="G1994" s="12">
        <f t="shared" si="71"/>
        <v>105.37190082644628</v>
      </c>
    </row>
    <row r="1995" spans="1:7" ht="13">
      <c r="A1995" s="4" t="s">
        <v>118</v>
      </c>
      <c r="B1995" s="1">
        <v>6.1</v>
      </c>
      <c r="C1995" s="1">
        <v>666</v>
      </c>
      <c r="D1995" s="1" t="s">
        <v>11</v>
      </c>
      <c r="E1995" s="1" t="s">
        <v>26</v>
      </c>
      <c r="F1995" s="1">
        <f t="shared" si="70"/>
        <v>610</v>
      </c>
      <c r="G1995" s="12">
        <f t="shared" si="71"/>
        <v>109.18032786885246</v>
      </c>
    </row>
    <row r="1996" spans="1:7" ht="13">
      <c r="A1996" s="4" t="s">
        <v>118</v>
      </c>
      <c r="B1996" s="1">
        <v>6</v>
      </c>
      <c r="C1996" s="1">
        <v>774</v>
      </c>
      <c r="D1996" s="1" t="s">
        <v>11</v>
      </c>
      <c r="E1996" s="1" t="s">
        <v>28</v>
      </c>
      <c r="F1996" s="1">
        <f t="shared" si="70"/>
        <v>600</v>
      </c>
      <c r="G1996" s="12">
        <f t="shared" si="71"/>
        <v>129</v>
      </c>
    </row>
    <row r="1997" spans="1:7" ht="13">
      <c r="A1997" s="4" t="s">
        <v>118</v>
      </c>
      <c r="B1997" s="1">
        <v>8.375</v>
      </c>
      <c r="C1997" s="1">
        <v>887</v>
      </c>
      <c r="D1997" s="1" t="s">
        <v>11</v>
      </c>
      <c r="E1997" s="1" t="s">
        <v>15</v>
      </c>
      <c r="F1997" s="1">
        <f t="shared" si="70"/>
        <v>837.5</v>
      </c>
      <c r="G1997" s="12">
        <f t="shared" si="71"/>
        <v>105.91044776119404</v>
      </c>
    </row>
    <row r="1998" spans="1:7" ht="13">
      <c r="A1998" s="4" t="s">
        <v>118</v>
      </c>
      <c r="B1998" s="1">
        <v>7.83</v>
      </c>
      <c r="C1998" s="1">
        <v>849</v>
      </c>
      <c r="D1998" s="1" t="s">
        <v>33</v>
      </c>
      <c r="E1998" s="1" t="s">
        <v>12</v>
      </c>
      <c r="F1998" s="1">
        <f t="shared" si="70"/>
        <v>783</v>
      </c>
      <c r="G1998" s="12">
        <f t="shared" si="71"/>
        <v>108.42911877394636</v>
      </c>
    </row>
    <row r="1999" spans="1:7" ht="13">
      <c r="A1999" s="4" t="s">
        <v>118</v>
      </c>
      <c r="B1999" s="1">
        <v>5.2</v>
      </c>
      <c r="C1999" s="1">
        <v>620</v>
      </c>
      <c r="D1999" s="1" t="s">
        <v>11</v>
      </c>
      <c r="E1999" s="1" t="s">
        <v>28</v>
      </c>
      <c r="F1999" s="1">
        <f t="shared" si="70"/>
        <v>520</v>
      </c>
      <c r="G1999" s="12">
        <f t="shared" si="71"/>
        <v>119.23076923076923</v>
      </c>
    </row>
    <row r="2000" spans="1:7" ht="13">
      <c r="A2000" s="4" t="s">
        <v>118</v>
      </c>
      <c r="B2000" s="1">
        <v>8.4</v>
      </c>
      <c r="C2000" s="1">
        <v>910</v>
      </c>
      <c r="D2000" s="1" t="s">
        <v>33</v>
      </c>
      <c r="E2000" s="1" t="s">
        <v>25</v>
      </c>
      <c r="F2000" s="1">
        <f t="shared" si="70"/>
        <v>840</v>
      </c>
      <c r="G2000" s="12">
        <f t="shared" si="71"/>
        <v>108.33333333333333</v>
      </c>
    </row>
    <row r="2001" spans="1:7" ht="13">
      <c r="A2001" s="4" t="s">
        <v>118</v>
      </c>
      <c r="B2001" s="1">
        <v>8.1</v>
      </c>
      <c r="C2001" s="1">
        <v>834</v>
      </c>
      <c r="D2001" s="1" t="s">
        <v>35</v>
      </c>
      <c r="E2001" s="1" t="s">
        <v>7</v>
      </c>
      <c r="F2001" s="1">
        <f t="shared" si="70"/>
        <v>810</v>
      </c>
      <c r="G2001" s="12">
        <f t="shared" si="71"/>
        <v>102.96296296296296</v>
      </c>
    </row>
    <row r="2002" spans="1:7" ht="13">
      <c r="A2002" s="4" t="s">
        <v>118</v>
      </c>
      <c r="B2002" s="1">
        <v>3.8</v>
      </c>
      <c r="C2002" s="1">
        <v>414</v>
      </c>
      <c r="D2002" s="1" t="s">
        <v>11</v>
      </c>
      <c r="E2002" s="1" t="s">
        <v>31</v>
      </c>
      <c r="F2002" s="1">
        <f t="shared" si="70"/>
        <v>380</v>
      </c>
      <c r="G2002" s="12">
        <f t="shared" si="71"/>
        <v>108.94736842105263</v>
      </c>
    </row>
    <row r="2003" spans="1:7" ht="13">
      <c r="A2003" s="4" t="s">
        <v>118</v>
      </c>
      <c r="B2003" s="1">
        <v>7.74</v>
      </c>
      <c r="C2003" s="1">
        <v>648</v>
      </c>
      <c r="D2003" s="1" t="s">
        <v>35</v>
      </c>
      <c r="E2003" s="1" t="s">
        <v>8</v>
      </c>
      <c r="F2003" s="1">
        <f t="shared" si="70"/>
        <v>774</v>
      </c>
      <c r="G2003" s="12">
        <f t="shared" si="71"/>
        <v>83.720930232558132</v>
      </c>
    </row>
    <row r="2004" spans="1:7" ht="13">
      <c r="A2004" s="4" t="s">
        <v>118</v>
      </c>
      <c r="B2004" s="1">
        <v>6</v>
      </c>
      <c r="C2004" s="1">
        <v>660</v>
      </c>
      <c r="D2004" s="1" t="s">
        <v>33</v>
      </c>
      <c r="E2004" s="1" t="s">
        <v>15</v>
      </c>
      <c r="F2004" s="1">
        <f t="shared" si="70"/>
        <v>600</v>
      </c>
      <c r="G2004" s="12">
        <f t="shared" si="71"/>
        <v>110</v>
      </c>
    </row>
    <row r="2005" spans="1:7" ht="13">
      <c r="A2005" s="4" t="s">
        <v>118</v>
      </c>
      <c r="B2005" s="1">
        <v>4.2</v>
      </c>
      <c r="C2005" s="1">
        <v>512</v>
      </c>
      <c r="D2005" s="1" t="s">
        <v>11</v>
      </c>
      <c r="E2005" s="1" t="s">
        <v>15</v>
      </c>
      <c r="F2005" s="1">
        <f t="shared" si="70"/>
        <v>420</v>
      </c>
      <c r="G2005" s="12">
        <f t="shared" si="71"/>
        <v>121.9047619047619</v>
      </c>
    </row>
    <row r="2006" spans="1:7" ht="13">
      <c r="A2006" s="4" t="s">
        <v>118</v>
      </c>
      <c r="B2006" s="1">
        <v>6750</v>
      </c>
      <c r="C2006" s="1">
        <v>750</v>
      </c>
      <c r="D2006" s="1" t="s">
        <v>11</v>
      </c>
      <c r="E2006" s="1" t="s">
        <v>17</v>
      </c>
      <c r="F2006" s="1">
        <f t="shared" si="70"/>
        <v>675000</v>
      </c>
      <c r="G2006" s="12">
        <f t="shared" si="71"/>
        <v>0.1111111111111111</v>
      </c>
    </row>
    <row r="2007" spans="1:7" ht="13">
      <c r="A2007" s="4" t="s">
        <v>118</v>
      </c>
      <c r="B2007" s="1">
        <v>5.92</v>
      </c>
      <c r="C2007" s="1">
        <v>673</v>
      </c>
      <c r="D2007" s="1" t="s">
        <v>11</v>
      </c>
      <c r="E2007" s="1" t="s">
        <v>17</v>
      </c>
      <c r="F2007" s="1">
        <f t="shared" si="70"/>
        <v>592</v>
      </c>
      <c r="G2007" s="12">
        <f t="shared" si="71"/>
        <v>113.68243243243244</v>
      </c>
    </row>
    <row r="2008" spans="1:7" ht="13">
      <c r="A2008" s="4" t="s">
        <v>118</v>
      </c>
      <c r="B2008" s="1">
        <v>7.3949999999999996</v>
      </c>
      <c r="C2008" s="1">
        <v>798</v>
      </c>
      <c r="D2008" s="1" t="s">
        <v>42</v>
      </c>
      <c r="E2008" s="1" t="s">
        <v>25</v>
      </c>
      <c r="F2008" s="1">
        <f t="shared" si="70"/>
        <v>739.5</v>
      </c>
      <c r="G2008" s="12">
        <f t="shared" si="71"/>
        <v>107.91075050709939</v>
      </c>
    </row>
    <row r="2009" spans="1:7" ht="13">
      <c r="A2009" s="4" t="s">
        <v>118</v>
      </c>
      <c r="B2009" s="1">
        <v>3.48</v>
      </c>
      <c r="C2009" s="1">
        <v>395</v>
      </c>
      <c r="D2009" s="1" t="s">
        <v>11</v>
      </c>
      <c r="E2009" s="1" t="s">
        <v>7</v>
      </c>
      <c r="F2009" s="1">
        <f t="shared" si="70"/>
        <v>348</v>
      </c>
      <c r="G2009" s="12">
        <f t="shared" si="71"/>
        <v>113.50574712643679</v>
      </c>
    </row>
    <row r="2010" spans="1:7" ht="13">
      <c r="A2010" s="4" t="s">
        <v>118</v>
      </c>
      <c r="B2010" s="1">
        <v>8.4</v>
      </c>
      <c r="C2010" s="1">
        <v>870</v>
      </c>
      <c r="D2010" s="1" t="s">
        <v>11</v>
      </c>
      <c r="E2010" s="1" t="s">
        <v>24</v>
      </c>
      <c r="F2010" s="1">
        <f t="shared" si="70"/>
        <v>840</v>
      </c>
      <c r="G2010" s="12">
        <f t="shared" si="71"/>
        <v>103.57142857142857</v>
      </c>
    </row>
    <row r="2011" spans="1:7" ht="13">
      <c r="A2011" s="4" t="s">
        <v>118</v>
      </c>
      <c r="B2011" s="1">
        <v>5.16</v>
      </c>
      <c r="C2011" s="1">
        <v>542</v>
      </c>
      <c r="D2011" s="1" t="s">
        <v>45</v>
      </c>
      <c r="E2011" s="1" t="s">
        <v>22</v>
      </c>
      <c r="F2011" s="1">
        <f t="shared" si="70"/>
        <v>516</v>
      </c>
      <c r="G2011" s="12">
        <f t="shared" si="71"/>
        <v>105.03875968992247</v>
      </c>
    </row>
    <row r="2012" spans="1:7" ht="13">
      <c r="A2012" s="4" t="s">
        <v>118</v>
      </c>
      <c r="B2012" s="1">
        <v>5.5</v>
      </c>
      <c r="C2012" s="1">
        <v>595</v>
      </c>
      <c r="D2012" s="1" t="s">
        <v>11</v>
      </c>
      <c r="E2012" s="1" t="s">
        <v>16</v>
      </c>
      <c r="F2012" s="1">
        <f t="shared" si="70"/>
        <v>550</v>
      </c>
      <c r="G2012" s="12">
        <f t="shared" si="71"/>
        <v>108.18181818181819</v>
      </c>
    </row>
    <row r="2013" spans="1:7" ht="13">
      <c r="A2013" s="4" t="s">
        <v>118</v>
      </c>
      <c r="B2013" s="1">
        <v>8.6999999999999993</v>
      </c>
      <c r="C2013" s="1">
        <v>959</v>
      </c>
      <c r="D2013" s="1" t="s">
        <v>11</v>
      </c>
      <c r="E2013" s="1" t="s">
        <v>9</v>
      </c>
      <c r="F2013" s="1">
        <f t="shared" si="70"/>
        <v>869.99999999999989</v>
      </c>
      <c r="G2013" s="12">
        <f t="shared" si="71"/>
        <v>110.22988505747128</v>
      </c>
    </row>
    <row r="2014" spans="1:7" ht="13">
      <c r="A2014" s="4" t="s">
        <v>118</v>
      </c>
      <c r="B2014" s="1">
        <v>4.5</v>
      </c>
      <c r="C2014" s="1">
        <v>531</v>
      </c>
      <c r="D2014" s="1" t="s">
        <v>39</v>
      </c>
      <c r="E2014" s="1" t="s">
        <v>15</v>
      </c>
      <c r="F2014" s="1">
        <f t="shared" si="70"/>
        <v>450</v>
      </c>
      <c r="G2014" s="12">
        <f t="shared" si="71"/>
        <v>118</v>
      </c>
    </row>
    <row r="2015" spans="1:7" ht="13">
      <c r="A2015" s="4" t="s">
        <v>118</v>
      </c>
      <c r="B2015" s="1">
        <v>5.28</v>
      </c>
      <c r="C2015" s="1">
        <v>610</v>
      </c>
      <c r="D2015" s="1" t="s">
        <v>33</v>
      </c>
      <c r="E2015" s="1" t="s">
        <v>21</v>
      </c>
      <c r="F2015" s="1">
        <f t="shared" si="70"/>
        <v>528</v>
      </c>
      <c r="G2015" s="12">
        <f t="shared" si="71"/>
        <v>115.53030303030303</v>
      </c>
    </row>
    <row r="2016" spans="1:7" ht="13">
      <c r="A2016" s="4" t="s">
        <v>118</v>
      </c>
      <c r="B2016" s="1">
        <v>6.02</v>
      </c>
      <c r="C2016" s="1">
        <v>868</v>
      </c>
      <c r="D2016" s="1" t="s">
        <v>33</v>
      </c>
      <c r="E2016" s="1" t="s">
        <v>10</v>
      </c>
      <c r="F2016" s="1">
        <f t="shared" si="70"/>
        <v>602</v>
      </c>
      <c r="G2016" s="12">
        <f t="shared" si="71"/>
        <v>144.18604651162792</v>
      </c>
    </row>
    <row r="2017" spans="1:7" ht="13">
      <c r="A2017" s="4" t="s">
        <v>118</v>
      </c>
      <c r="B2017" s="1">
        <v>6.7</v>
      </c>
      <c r="C2017" s="1">
        <v>693</v>
      </c>
      <c r="D2017" s="1" t="s">
        <v>33</v>
      </c>
      <c r="E2017" s="1" t="s">
        <v>21</v>
      </c>
      <c r="F2017" s="1">
        <f t="shared" si="70"/>
        <v>670</v>
      </c>
      <c r="G2017" s="12">
        <f t="shared" si="71"/>
        <v>103.43283582089552</v>
      </c>
    </row>
    <row r="2018" spans="1:7" ht="13">
      <c r="A2018" s="4" t="s">
        <v>118</v>
      </c>
      <c r="B2018" s="1">
        <v>7.4</v>
      </c>
      <c r="C2018" s="1">
        <v>885</v>
      </c>
      <c r="D2018" s="1" t="s">
        <v>33</v>
      </c>
      <c r="E2018" s="1" t="s">
        <v>23</v>
      </c>
      <c r="F2018" s="1">
        <f t="shared" si="70"/>
        <v>740</v>
      </c>
      <c r="G2018" s="12">
        <f t="shared" si="71"/>
        <v>119.59459459459458</v>
      </c>
    </row>
    <row r="2019" spans="1:7" ht="13">
      <c r="A2019" s="4" t="s">
        <v>118</v>
      </c>
      <c r="B2019" s="1">
        <v>7</v>
      </c>
      <c r="C2019" s="1">
        <v>896</v>
      </c>
      <c r="D2019" s="1" t="s">
        <v>11</v>
      </c>
      <c r="E2019" s="1" t="s">
        <v>25</v>
      </c>
      <c r="F2019" s="1">
        <f t="shared" si="70"/>
        <v>700</v>
      </c>
      <c r="G2019" s="12">
        <f t="shared" si="71"/>
        <v>128</v>
      </c>
    </row>
    <row r="2020" spans="1:7" ht="13">
      <c r="A2020" s="4" t="s">
        <v>118</v>
      </c>
      <c r="B2020" s="1">
        <v>5.22</v>
      </c>
      <c r="C2020" s="1">
        <v>621</v>
      </c>
      <c r="D2020" s="1" t="s">
        <v>47</v>
      </c>
      <c r="E2020" s="1" t="s">
        <v>8</v>
      </c>
      <c r="F2020" s="1">
        <f t="shared" si="70"/>
        <v>522</v>
      </c>
      <c r="G2020" s="12">
        <f t="shared" si="71"/>
        <v>118.96551724137932</v>
      </c>
    </row>
    <row r="2021" spans="1:7" ht="13">
      <c r="A2021" s="4" t="s">
        <v>118</v>
      </c>
      <c r="B2021" s="1">
        <v>7.3</v>
      </c>
      <c r="C2021" s="1">
        <v>873</v>
      </c>
      <c r="D2021" s="1" t="s">
        <v>11</v>
      </c>
      <c r="E2021" s="1" t="s">
        <v>16</v>
      </c>
      <c r="F2021" s="1">
        <f t="shared" si="70"/>
        <v>730</v>
      </c>
      <c r="G2021" s="12">
        <f t="shared" si="71"/>
        <v>119.58904109589041</v>
      </c>
    </row>
    <row r="2022" spans="1:7" ht="13">
      <c r="A2022" s="4" t="s">
        <v>118</v>
      </c>
      <c r="B2022" s="1">
        <v>6.88</v>
      </c>
      <c r="C2022" s="1">
        <v>803</v>
      </c>
      <c r="D2022" s="1" t="s">
        <v>11</v>
      </c>
      <c r="E2022" s="1" t="s">
        <v>8</v>
      </c>
      <c r="F2022" s="1">
        <f t="shared" si="70"/>
        <v>688</v>
      </c>
      <c r="G2022" s="12">
        <f t="shared" si="71"/>
        <v>116.71511627906978</v>
      </c>
    </row>
    <row r="2023" spans="1:7" ht="13">
      <c r="A2023" s="4" t="s">
        <v>118</v>
      </c>
      <c r="B2023" s="1">
        <v>6</v>
      </c>
      <c r="C2023" s="1">
        <v>705</v>
      </c>
      <c r="D2023" s="1" t="s">
        <v>53</v>
      </c>
      <c r="E2023" s="1" t="s">
        <v>7</v>
      </c>
      <c r="F2023" s="1">
        <f t="shared" si="70"/>
        <v>600</v>
      </c>
      <c r="G2023" s="12">
        <f t="shared" si="71"/>
        <v>117.5</v>
      </c>
    </row>
    <row r="2024" spans="1:7" ht="13">
      <c r="A2024" s="4" t="s">
        <v>118</v>
      </c>
      <c r="B2024" s="1">
        <v>6</v>
      </c>
      <c r="C2024" s="1">
        <v>733</v>
      </c>
      <c r="D2024" s="1" t="s">
        <v>35</v>
      </c>
      <c r="E2024" s="1" t="s">
        <v>8</v>
      </c>
      <c r="F2024" s="1">
        <f t="shared" si="70"/>
        <v>600</v>
      </c>
      <c r="G2024" s="12">
        <f t="shared" si="71"/>
        <v>122.16666666666667</v>
      </c>
    </row>
    <row r="2025" spans="1:7" ht="13">
      <c r="A2025" s="4" t="s">
        <v>118</v>
      </c>
      <c r="B2025" s="1">
        <v>5.65</v>
      </c>
      <c r="C2025" s="1">
        <v>549</v>
      </c>
      <c r="D2025" s="1" t="s">
        <v>43</v>
      </c>
      <c r="E2025" s="1" t="s">
        <v>15</v>
      </c>
      <c r="F2025" s="1">
        <f t="shared" si="70"/>
        <v>565</v>
      </c>
      <c r="G2025" s="12">
        <f t="shared" si="71"/>
        <v>97.16814159292035</v>
      </c>
    </row>
    <row r="2026" spans="1:7" ht="13">
      <c r="A2026" s="4" t="s">
        <v>118</v>
      </c>
      <c r="B2026" s="1">
        <v>7.83</v>
      </c>
      <c r="C2026" s="1">
        <v>878</v>
      </c>
      <c r="D2026" s="1" t="s">
        <v>11</v>
      </c>
      <c r="E2026" s="1" t="s">
        <v>23</v>
      </c>
      <c r="F2026" s="1">
        <f t="shared" si="70"/>
        <v>783</v>
      </c>
      <c r="G2026" s="12">
        <f t="shared" si="71"/>
        <v>112.13282247765007</v>
      </c>
    </row>
    <row r="2027" spans="1:7" ht="13">
      <c r="A2027" s="4" t="s">
        <v>118</v>
      </c>
      <c r="B2027" s="1">
        <v>7.74</v>
      </c>
      <c r="C2027" s="1">
        <v>869</v>
      </c>
      <c r="D2027" s="1" t="s">
        <v>33</v>
      </c>
      <c r="E2027" s="1" t="s">
        <v>16</v>
      </c>
      <c r="F2027" s="1">
        <f t="shared" si="70"/>
        <v>774</v>
      </c>
      <c r="G2027" s="12">
        <f t="shared" si="71"/>
        <v>112.27390180878552</v>
      </c>
    </row>
    <row r="2028" spans="1:7" ht="13">
      <c r="A2028" s="4" t="s">
        <v>118</v>
      </c>
      <c r="B2028" s="1">
        <v>4.0999999999999996</v>
      </c>
      <c r="C2028" s="1">
        <v>518</v>
      </c>
      <c r="D2028" s="1" t="s">
        <v>11</v>
      </c>
      <c r="E2028" s="1" t="s">
        <v>18</v>
      </c>
      <c r="F2028" s="1">
        <f t="shared" si="70"/>
        <v>409.99999999999994</v>
      </c>
      <c r="G2028" s="12">
        <f t="shared" si="71"/>
        <v>126.34146341463416</v>
      </c>
    </row>
    <row r="2029" spans="1:7" ht="13">
      <c r="A2029" s="4" t="s">
        <v>118</v>
      </c>
      <c r="B2029" s="1">
        <v>5.0999999999999996</v>
      </c>
      <c r="C2029" s="1">
        <v>602</v>
      </c>
      <c r="D2029" s="1" t="s">
        <v>11</v>
      </c>
      <c r="E2029" s="1" t="s">
        <v>8</v>
      </c>
      <c r="F2029" s="1">
        <f t="shared" si="70"/>
        <v>509.99999999999994</v>
      </c>
      <c r="G2029" s="12">
        <f t="shared" si="71"/>
        <v>118.03921568627452</v>
      </c>
    </row>
    <row r="2030" spans="1:7" ht="13">
      <c r="A2030" s="4" t="s">
        <v>118</v>
      </c>
      <c r="B2030" s="1">
        <v>6.02</v>
      </c>
      <c r="C2030" s="1">
        <v>626</v>
      </c>
      <c r="D2030" s="1" t="s">
        <v>11</v>
      </c>
      <c r="E2030" s="1" t="s">
        <v>22</v>
      </c>
      <c r="F2030" s="1">
        <f t="shared" si="70"/>
        <v>602</v>
      </c>
      <c r="G2030" s="12">
        <f t="shared" si="71"/>
        <v>103.98671096345515</v>
      </c>
    </row>
    <row r="2031" spans="1:7" ht="13">
      <c r="A2031" s="4" t="s">
        <v>118</v>
      </c>
      <c r="B2031" s="1">
        <v>4.5999999999999996</v>
      </c>
      <c r="C2031" s="1">
        <v>516</v>
      </c>
      <c r="D2031" s="1" t="s">
        <v>11</v>
      </c>
      <c r="E2031" s="1" t="s">
        <v>9</v>
      </c>
      <c r="F2031" s="1">
        <f t="shared" si="70"/>
        <v>459.99999999999994</v>
      </c>
      <c r="G2031" s="12">
        <f t="shared" si="71"/>
        <v>112.17391304347827</v>
      </c>
    </row>
    <row r="2032" spans="1:7" ht="13">
      <c r="A2032" s="4" t="s">
        <v>118</v>
      </c>
      <c r="B2032" s="1">
        <v>7.83</v>
      </c>
      <c r="C2032" s="1">
        <v>957</v>
      </c>
      <c r="D2032" s="1" t="s">
        <v>55</v>
      </c>
      <c r="E2032" s="1" t="s">
        <v>9</v>
      </c>
      <c r="F2032" s="1">
        <f t="shared" si="70"/>
        <v>783</v>
      </c>
      <c r="G2032" s="12">
        <f t="shared" si="71"/>
        <v>122.22222222222221</v>
      </c>
    </row>
    <row r="2033" spans="1:7" ht="13">
      <c r="A2033" s="4" t="s">
        <v>118</v>
      </c>
      <c r="B2033" s="1">
        <v>5</v>
      </c>
      <c r="C2033" s="1">
        <v>562</v>
      </c>
      <c r="D2033" s="1" t="s">
        <v>43</v>
      </c>
      <c r="E2033" s="1" t="s">
        <v>22</v>
      </c>
      <c r="F2033" s="1">
        <f t="shared" si="70"/>
        <v>500</v>
      </c>
      <c r="G2033" s="12">
        <f t="shared" si="71"/>
        <v>112.4</v>
      </c>
    </row>
    <row r="2034" spans="1:7" ht="13">
      <c r="A2034" s="4" t="s">
        <v>118</v>
      </c>
      <c r="B2034" s="1">
        <v>5.4</v>
      </c>
      <c r="C2034" s="1">
        <v>670</v>
      </c>
      <c r="D2034" s="1" t="s">
        <v>11</v>
      </c>
      <c r="E2034" s="1" t="s">
        <v>8</v>
      </c>
      <c r="F2034" s="1">
        <f t="shared" si="70"/>
        <v>540</v>
      </c>
      <c r="G2034" s="12">
        <f t="shared" si="71"/>
        <v>124.07407407407406</v>
      </c>
    </row>
    <row r="2035" spans="1:7" ht="13">
      <c r="A2035" s="4" t="s">
        <v>118</v>
      </c>
      <c r="B2035" s="1">
        <v>6.53</v>
      </c>
      <c r="C2035" s="1">
        <v>696</v>
      </c>
      <c r="D2035" s="1" t="s">
        <v>11</v>
      </c>
      <c r="E2035" s="1" t="s">
        <v>17</v>
      </c>
      <c r="F2035" s="1">
        <f t="shared" si="70"/>
        <v>653</v>
      </c>
      <c r="G2035" s="12">
        <f t="shared" si="71"/>
        <v>106.58499234303216</v>
      </c>
    </row>
    <row r="2036" spans="1:7" ht="13">
      <c r="A2036" s="4" t="s">
        <v>118</v>
      </c>
      <c r="B2036" s="1">
        <v>10.3</v>
      </c>
      <c r="C2036" s="1">
        <v>1060</v>
      </c>
      <c r="D2036" s="1" t="s">
        <v>33</v>
      </c>
      <c r="E2036" s="1" t="s">
        <v>17</v>
      </c>
      <c r="F2036" s="1">
        <f t="shared" si="70"/>
        <v>1030</v>
      </c>
      <c r="G2036" s="12">
        <f t="shared" si="71"/>
        <v>102.91262135922329</v>
      </c>
    </row>
    <row r="2037" spans="1:7" ht="13">
      <c r="A2037" s="4" t="s">
        <v>118</v>
      </c>
      <c r="B2037" s="1">
        <v>5.88</v>
      </c>
      <c r="C2037" s="1">
        <v>597</v>
      </c>
      <c r="D2037" s="1" t="s">
        <v>43</v>
      </c>
      <c r="E2037" s="1" t="s">
        <v>12</v>
      </c>
      <c r="F2037" s="1">
        <f t="shared" si="70"/>
        <v>588</v>
      </c>
      <c r="G2037" s="12">
        <f t="shared" si="71"/>
        <v>101.53061224489797</v>
      </c>
    </row>
    <row r="2038" spans="1:7" ht="13">
      <c r="A2038" s="4" t="s">
        <v>118</v>
      </c>
      <c r="B2038" s="1">
        <v>5.4</v>
      </c>
      <c r="C2038" s="1">
        <v>583</v>
      </c>
      <c r="D2038" s="1" t="s">
        <v>35</v>
      </c>
      <c r="E2038" s="1" t="s">
        <v>8</v>
      </c>
      <c r="F2038" s="1">
        <f t="shared" si="70"/>
        <v>540</v>
      </c>
      <c r="G2038" s="12">
        <f t="shared" si="71"/>
        <v>107.96296296296296</v>
      </c>
    </row>
    <row r="2039" spans="1:7" ht="13">
      <c r="A2039" s="4" t="s">
        <v>118</v>
      </c>
      <c r="B2039" s="1">
        <v>7.83</v>
      </c>
      <c r="C2039" s="1">
        <v>911</v>
      </c>
      <c r="D2039" s="1" t="s">
        <v>11</v>
      </c>
      <c r="E2039" s="1" t="s">
        <v>22</v>
      </c>
      <c r="F2039" s="1">
        <f t="shared" si="70"/>
        <v>783</v>
      </c>
      <c r="G2039" s="12">
        <f t="shared" si="71"/>
        <v>116.34738186462324</v>
      </c>
    </row>
    <row r="2040" spans="1:7" ht="13">
      <c r="A2040" s="4" t="s">
        <v>118</v>
      </c>
      <c r="B2040" s="1">
        <v>6.88</v>
      </c>
      <c r="C2040" s="1">
        <v>362</v>
      </c>
      <c r="D2040" s="1" t="s">
        <v>11</v>
      </c>
      <c r="E2040" s="1" t="s">
        <v>10</v>
      </c>
      <c r="F2040" s="1">
        <f t="shared" si="70"/>
        <v>688</v>
      </c>
      <c r="G2040" s="12">
        <f t="shared" si="71"/>
        <v>52.616279069767444</v>
      </c>
    </row>
    <row r="2041" spans="1:7" ht="13">
      <c r="A2041" s="4" t="s">
        <v>118</v>
      </c>
      <c r="B2041" s="1">
        <v>7.7</v>
      </c>
      <c r="C2041" s="1">
        <v>758</v>
      </c>
      <c r="D2041" s="1" t="s">
        <v>33</v>
      </c>
      <c r="E2041" s="1" t="s">
        <v>15</v>
      </c>
      <c r="F2041" s="1">
        <f t="shared" si="70"/>
        <v>770</v>
      </c>
      <c r="G2041" s="12">
        <f t="shared" si="71"/>
        <v>98.441558441558442</v>
      </c>
    </row>
    <row r="2042" spans="1:7" ht="13">
      <c r="A2042" s="4" t="s">
        <v>118</v>
      </c>
      <c r="B2042" s="1">
        <v>7</v>
      </c>
      <c r="C2042" s="1">
        <v>759</v>
      </c>
      <c r="D2042" s="1" t="s">
        <v>33</v>
      </c>
      <c r="E2042" s="1" t="s">
        <v>20</v>
      </c>
      <c r="F2042" s="1">
        <f t="shared" si="70"/>
        <v>700</v>
      </c>
      <c r="G2042" s="12">
        <f t="shared" si="71"/>
        <v>108.42857142857143</v>
      </c>
    </row>
    <row r="2043" spans="1:7" ht="13">
      <c r="A2043" s="4" t="s">
        <v>118</v>
      </c>
      <c r="B2043" s="1">
        <v>4.5</v>
      </c>
      <c r="C2043" s="1">
        <v>543</v>
      </c>
      <c r="D2043" s="1" t="s">
        <v>33</v>
      </c>
      <c r="E2043" s="1" t="s">
        <v>17</v>
      </c>
      <c r="F2043" s="1">
        <f t="shared" si="70"/>
        <v>450</v>
      </c>
      <c r="G2043" s="12">
        <f t="shared" si="71"/>
        <v>120.66666666666667</v>
      </c>
    </row>
    <row r="2044" spans="1:7" ht="13">
      <c r="A2044" s="4" t="s">
        <v>118</v>
      </c>
      <c r="B2044" s="1">
        <v>5</v>
      </c>
      <c r="C2044" s="1">
        <v>555</v>
      </c>
      <c r="D2044" s="1" t="s">
        <v>11</v>
      </c>
      <c r="E2044" s="1" t="s">
        <v>15</v>
      </c>
      <c r="F2044" s="1">
        <f t="shared" si="70"/>
        <v>500</v>
      </c>
      <c r="G2044" s="12">
        <f t="shared" si="71"/>
        <v>111</v>
      </c>
    </row>
    <row r="2045" spans="1:7" ht="13">
      <c r="A2045" s="4" t="s">
        <v>118</v>
      </c>
      <c r="B2045" s="1">
        <v>10.199999999999999</v>
      </c>
      <c r="C2045" s="1">
        <v>866</v>
      </c>
      <c r="D2045" s="1" t="s">
        <v>47</v>
      </c>
      <c r="E2045" s="1" t="s">
        <v>7</v>
      </c>
      <c r="F2045" s="1">
        <f t="shared" si="70"/>
        <v>1019.9999999999999</v>
      </c>
      <c r="G2045" s="12">
        <f t="shared" si="71"/>
        <v>84.901960784313729</v>
      </c>
    </row>
    <row r="2046" spans="1:7" ht="13">
      <c r="A2046" s="4" t="s">
        <v>118</v>
      </c>
      <c r="B2046" s="1">
        <v>7.7</v>
      </c>
      <c r="C2046" s="1">
        <v>889</v>
      </c>
      <c r="D2046" s="1" t="s">
        <v>33</v>
      </c>
      <c r="E2046" s="1" t="s">
        <v>16</v>
      </c>
      <c r="F2046" s="1">
        <f t="shared" si="70"/>
        <v>770</v>
      </c>
      <c r="G2046" s="12">
        <f t="shared" si="71"/>
        <v>115.45454545454545</v>
      </c>
    </row>
    <row r="2047" spans="1:7" ht="13">
      <c r="A2047" s="4" t="s">
        <v>118</v>
      </c>
      <c r="B2047" s="1">
        <v>4.9000000000000004</v>
      </c>
      <c r="C2047" s="1">
        <v>560</v>
      </c>
      <c r="D2047" s="1" t="s">
        <v>38</v>
      </c>
      <c r="E2047" s="1" t="s">
        <v>15</v>
      </c>
      <c r="F2047" s="1">
        <f t="shared" si="70"/>
        <v>490.00000000000006</v>
      </c>
      <c r="G2047" s="12">
        <f t="shared" si="71"/>
        <v>114.28571428571428</v>
      </c>
    </row>
    <row r="2048" spans="1:7" ht="13">
      <c r="A2048" s="4" t="s">
        <v>118</v>
      </c>
      <c r="B2048" s="1">
        <v>8.6999999999999993</v>
      </c>
      <c r="C2048" s="1">
        <v>974</v>
      </c>
      <c r="D2048" s="1" t="s">
        <v>11</v>
      </c>
      <c r="E2048" s="1" t="s">
        <v>26</v>
      </c>
      <c r="F2048" s="1">
        <f t="shared" si="70"/>
        <v>869.99999999999989</v>
      </c>
      <c r="G2048" s="12">
        <f t="shared" si="71"/>
        <v>111.95402298850576</v>
      </c>
    </row>
    <row r="2049" spans="1:7" ht="13">
      <c r="A2049" s="4" t="s">
        <v>118</v>
      </c>
      <c r="B2049" s="1">
        <v>12.04</v>
      </c>
      <c r="C2049" s="1">
        <v>1290</v>
      </c>
      <c r="D2049" s="1" t="s">
        <v>11</v>
      </c>
      <c r="E2049" s="1" t="s">
        <v>8</v>
      </c>
      <c r="F2049" s="1">
        <f t="shared" si="70"/>
        <v>1204</v>
      </c>
      <c r="G2049" s="12">
        <f t="shared" si="71"/>
        <v>107.14285714285715</v>
      </c>
    </row>
    <row r="2050" spans="1:7" ht="13">
      <c r="A2050" s="4" t="s">
        <v>118</v>
      </c>
      <c r="B2050" s="1">
        <v>6.72</v>
      </c>
      <c r="C2050" s="1">
        <v>769</v>
      </c>
      <c r="D2050" s="1" t="s">
        <v>33</v>
      </c>
      <c r="E2050" s="1" t="s">
        <v>21</v>
      </c>
      <c r="F2050" s="1">
        <f t="shared" si="70"/>
        <v>672</v>
      </c>
      <c r="G2050" s="12">
        <f t="shared" si="71"/>
        <v>114.43452380952381</v>
      </c>
    </row>
    <row r="2051" spans="1:7" ht="13">
      <c r="A2051" s="4" t="s">
        <v>118</v>
      </c>
      <c r="B2051" s="1">
        <v>4</v>
      </c>
      <c r="C2051" s="1">
        <v>423</v>
      </c>
      <c r="D2051" s="1" t="s">
        <v>11</v>
      </c>
      <c r="E2051" s="1" t="s">
        <v>22</v>
      </c>
      <c r="F2051" s="1">
        <f t="shared" ref="F2051:F2114" si="72">B2051*100</f>
        <v>400</v>
      </c>
      <c r="G2051" s="12">
        <f t="shared" ref="G2051:G2114" si="73">C2051/B2051</f>
        <v>105.75</v>
      </c>
    </row>
    <row r="2052" spans="1:7" ht="13">
      <c r="A2052" s="4" t="s">
        <v>118</v>
      </c>
      <c r="B2052" s="1">
        <v>3.5</v>
      </c>
      <c r="C2052" s="1">
        <v>378</v>
      </c>
      <c r="D2052" s="1" t="s">
        <v>11</v>
      </c>
      <c r="E2052" s="1" t="s">
        <v>24</v>
      </c>
      <c r="F2052" s="1">
        <f t="shared" si="72"/>
        <v>350</v>
      </c>
      <c r="G2052" s="12">
        <f t="shared" si="73"/>
        <v>108</v>
      </c>
    </row>
    <row r="2053" spans="1:7" ht="13">
      <c r="A2053" s="4" t="s">
        <v>118</v>
      </c>
      <c r="B2053" s="1">
        <v>3.68</v>
      </c>
      <c r="C2053" s="1">
        <v>552</v>
      </c>
      <c r="D2053" s="1" t="s">
        <v>11</v>
      </c>
      <c r="E2053" s="1" t="s">
        <v>13</v>
      </c>
      <c r="F2053" s="1">
        <f t="shared" si="72"/>
        <v>368</v>
      </c>
      <c r="G2053" s="12">
        <f t="shared" si="73"/>
        <v>150</v>
      </c>
    </row>
    <row r="2054" spans="1:7" ht="13">
      <c r="A2054" s="4" t="s">
        <v>118</v>
      </c>
      <c r="B2054" s="1">
        <v>6.4</v>
      </c>
      <c r="C2054" s="1">
        <v>727</v>
      </c>
      <c r="D2054" s="1" t="s">
        <v>38</v>
      </c>
      <c r="E2054" s="1" t="s">
        <v>9</v>
      </c>
      <c r="F2054" s="1">
        <f t="shared" si="72"/>
        <v>640</v>
      </c>
      <c r="G2054" s="12">
        <f t="shared" si="73"/>
        <v>113.59375</v>
      </c>
    </row>
    <row r="2055" spans="1:7" ht="13">
      <c r="A2055" s="4" t="s">
        <v>118</v>
      </c>
      <c r="B2055" s="1">
        <v>4.3</v>
      </c>
      <c r="C2055" s="1">
        <v>881</v>
      </c>
      <c r="D2055" s="1" t="s">
        <v>11</v>
      </c>
      <c r="E2055" s="1" t="s">
        <v>25</v>
      </c>
      <c r="F2055" s="1">
        <f t="shared" si="72"/>
        <v>430</v>
      </c>
      <c r="G2055" s="12">
        <f t="shared" si="73"/>
        <v>204.88372093023256</v>
      </c>
    </row>
    <row r="2056" spans="1:7" ht="13">
      <c r="A2056" s="4" t="s">
        <v>118</v>
      </c>
      <c r="B2056" s="1">
        <v>7.39</v>
      </c>
      <c r="C2056" s="1">
        <v>737</v>
      </c>
      <c r="D2056" s="1" t="s">
        <v>42</v>
      </c>
      <c r="E2056" s="1" t="s">
        <v>25</v>
      </c>
      <c r="F2056" s="1">
        <f t="shared" si="72"/>
        <v>739</v>
      </c>
      <c r="G2056" s="12">
        <f t="shared" si="73"/>
        <v>99.72936400541272</v>
      </c>
    </row>
    <row r="2057" spans="1:7" ht="13">
      <c r="A2057" s="4" t="s">
        <v>118</v>
      </c>
      <c r="B2057" s="1">
        <v>5.5</v>
      </c>
      <c r="C2057" s="1">
        <v>816</v>
      </c>
      <c r="D2057" s="1" t="s">
        <v>11</v>
      </c>
      <c r="E2057" s="1" t="s">
        <v>8</v>
      </c>
      <c r="F2057" s="1">
        <f t="shared" si="72"/>
        <v>550</v>
      </c>
      <c r="G2057" s="12">
        <f t="shared" si="73"/>
        <v>148.36363636363637</v>
      </c>
    </row>
    <row r="2058" spans="1:7" ht="13">
      <c r="A2058" s="4" t="s">
        <v>118</v>
      </c>
      <c r="B2058" s="1">
        <v>6.9</v>
      </c>
      <c r="C2058" s="1">
        <v>830</v>
      </c>
      <c r="D2058" s="1" t="s">
        <v>33</v>
      </c>
      <c r="E2058" s="1" t="s">
        <v>8</v>
      </c>
      <c r="F2058" s="1">
        <f t="shared" si="72"/>
        <v>690</v>
      </c>
      <c r="G2058" s="12">
        <f t="shared" si="73"/>
        <v>120.28985507246377</v>
      </c>
    </row>
    <row r="2059" spans="1:7" ht="13">
      <c r="A2059" s="4" t="s">
        <v>118</v>
      </c>
      <c r="B2059" s="1">
        <v>6.5250000000000004</v>
      </c>
      <c r="C2059" s="1">
        <v>770</v>
      </c>
      <c r="D2059" s="1" t="s">
        <v>11</v>
      </c>
      <c r="E2059" s="1" t="s">
        <v>16</v>
      </c>
      <c r="F2059" s="1">
        <f t="shared" si="72"/>
        <v>652.5</v>
      </c>
      <c r="G2059" s="12">
        <f t="shared" si="73"/>
        <v>118.00766283524904</v>
      </c>
    </row>
    <row r="2060" spans="1:7" ht="13">
      <c r="A2060" s="4" t="s">
        <v>118</v>
      </c>
      <c r="B2060" s="1">
        <v>7.74</v>
      </c>
      <c r="C2060" s="1">
        <v>912</v>
      </c>
      <c r="D2060" s="1" t="s">
        <v>37</v>
      </c>
      <c r="E2060" s="1" t="s">
        <v>21</v>
      </c>
      <c r="F2060" s="1">
        <f t="shared" si="72"/>
        <v>774</v>
      </c>
      <c r="G2060" s="12">
        <f t="shared" si="73"/>
        <v>117.82945736434108</v>
      </c>
    </row>
    <row r="2061" spans="1:7" ht="13">
      <c r="A2061" s="4" t="s">
        <v>118</v>
      </c>
      <c r="B2061" s="1">
        <v>9.3000000000000007</v>
      </c>
      <c r="C2061" s="1">
        <v>1060</v>
      </c>
      <c r="D2061" s="1" t="s">
        <v>45</v>
      </c>
      <c r="E2061" s="1" t="s">
        <v>10</v>
      </c>
      <c r="F2061" s="1">
        <f t="shared" si="72"/>
        <v>930.00000000000011</v>
      </c>
      <c r="G2061" s="12">
        <f t="shared" si="73"/>
        <v>113.97849462365591</v>
      </c>
    </row>
    <row r="2062" spans="1:7" ht="13">
      <c r="A2062" s="4" t="s">
        <v>118</v>
      </c>
      <c r="B2062" s="1">
        <v>8.9</v>
      </c>
      <c r="C2062" s="1">
        <v>956</v>
      </c>
      <c r="D2062" s="1" t="s">
        <v>39</v>
      </c>
      <c r="E2062" s="1" t="s">
        <v>49</v>
      </c>
      <c r="F2062" s="1">
        <f t="shared" si="72"/>
        <v>890</v>
      </c>
      <c r="G2062" s="12">
        <f t="shared" si="73"/>
        <v>107.41573033707864</v>
      </c>
    </row>
    <row r="2063" spans="1:7" ht="13">
      <c r="A2063" s="4" t="s">
        <v>118</v>
      </c>
      <c r="B2063" s="1">
        <v>8.3000000000000007</v>
      </c>
      <c r="C2063" s="1">
        <v>1000</v>
      </c>
      <c r="D2063" s="1" t="s">
        <v>40</v>
      </c>
      <c r="E2063" s="1" t="s">
        <v>17</v>
      </c>
      <c r="F2063" s="1">
        <f t="shared" si="72"/>
        <v>830.00000000000011</v>
      </c>
      <c r="G2063" s="12">
        <f t="shared" si="73"/>
        <v>120.48192771084337</v>
      </c>
    </row>
    <row r="2064" spans="1:7" ht="13">
      <c r="A2064" s="4" t="s">
        <v>118</v>
      </c>
      <c r="B2064" s="1">
        <v>8.6999999999999993</v>
      </c>
      <c r="C2064" s="1">
        <v>9.27</v>
      </c>
      <c r="D2064" s="1" t="s">
        <v>33</v>
      </c>
      <c r="E2064" s="1" t="s">
        <v>15</v>
      </c>
      <c r="F2064" s="1">
        <f t="shared" si="72"/>
        <v>869.99999999999989</v>
      </c>
      <c r="G2064" s="12">
        <f t="shared" si="73"/>
        <v>1.0655172413793104</v>
      </c>
    </row>
    <row r="2065" spans="1:7" ht="13">
      <c r="A2065" s="4" t="s">
        <v>118</v>
      </c>
      <c r="B2065" s="1">
        <v>6.9</v>
      </c>
      <c r="C2065" s="1">
        <v>793</v>
      </c>
      <c r="D2065" s="1" t="s">
        <v>11</v>
      </c>
      <c r="E2065" s="1" t="s">
        <v>22</v>
      </c>
      <c r="F2065" s="1">
        <f t="shared" si="72"/>
        <v>690</v>
      </c>
      <c r="G2065" s="12">
        <f t="shared" si="73"/>
        <v>114.92753623188405</v>
      </c>
    </row>
    <row r="2066" spans="1:7" ht="13">
      <c r="A2066" s="4" t="s">
        <v>118</v>
      </c>
      <c r="B2066" s="1">
        <v>6</v>
      </c>
      <c r="C2066" s="1">
        <v>544</v>
      </c>
      <c r="D2066" s="1" t="s">
        <v>70</v>
      </c>
      <c r="E2066" s="1" t="s">
        <v>18</v>
      </c>
      <c r="F2066" s="1">
        <f t="shared" si="72"/>
        <v>600</v>
      </c>
      <c r="G2066" s="12">
        <f t="shared" si="73"/>
        <v>90.666666666666671</v>
      </c>
    </row>
    <row r="2067" spans="1:7" ht="13">
      <c r="A2067" s="4" t="s">
        <v>118</v>
      </c>
      <c r="B2067" s="1">
        <v>6.96</v>
      </c>
      <c r="C2067" s="1">
        <v>780</v>
      </c>
      <c r="D2067" s="1" t="s">
        <v>11</v>
      </c>
      <c r="E2067" s="1" t="s">
        <v>14</v>
      </c>
      <c r="F2067" s="1">
        <f t="shared" si="72"/>
        <v>696</v>
      </c>
      <c r="G2067" s="12">
        <f t="shared" si="73"/>
        <v>112.06896551724138</v>
      </c>
    </row>
    <row r="2068" spans="1:7" ht="13">
      <c r="A2068" s="4" t="s">
        <v>118</v>
      </c>
      <c r="B2068" s="1">
        <v>8.5</v>
      </c>
      <c r="C2068" s="1">
        <v>835</v>
      </c>
      <c r="D2068" s="1" t="s">
        <v>11</v>
      </c>
      <c r="E2068" s="1" t="s">
        <v>15</v>
      </c>
      <c r="F2068" s="1">
        <f t="shared" si="72"/>
        <v>850</v>
      </c>
      <c r="G2068" s="12">
        <f t="shared" si="73"/>
        <v>98.235294117647058</v>
      </c>
    </row>
    <row r="2069" spans="1:7" ht="13">
      <c r="A2069" s="4" t="s">
        <v>118</v>
      </c>
      <c r="B2069" s="1">
        <v>7.3</v>
      </c>
      <c r="C2069" s="1">
        <v>770</v>
      </c>
      <c r="D2069" s="1" t="s">
        <v>47</v>
      </c>
      <c r="E2069" s="1" t="s">
        <v>28</v>
      </c>
      <c r="F2069" s="1">
        <f t="shared" si="72"/>
        <v>730</v>
      </c>
      <c r="G2069" s="12">
        <f t="shared" si="73"/>
        <v>105.47945205479452</v>
      </c>
    </row>
    <row r="2070" spans="1:7" ht="13">
      <c r="A2070" s="4" t="s">
        <v>118</v>
      </c>
      <c r="B2070" s="1">
        <v>6.02</v>
      </c>
      <c r="C2070" s="1">
        <v>683</v>
      </c>
      <c r="D2070" s="1" t="s">
        <v>60</v>
      </c>
      <c r="E2070" s="1" t="s">
        <v>9</v>
      </c>
      <c r="F2070" s="1">
        <f t="shared" si="72"/>
        <v>602</v>
      </c>
      <c r="G2070" s="12">
        <f t="shared" si="73"/>
        <v>113.45514950166114</v>
      </c>
    </row>
    <row r="2071" spans="1:7" ht="13">
      <c r="A2071" s="4" t="s">
        <v>118</v>
      </c>
      <c r="B2071" s="1">
        <v>5.88</v>
      </c>
      <c r="C2071" s="1">
        <v>655</v>
      </c>
      <c r="D2071" s="1" t="s">
        <v>11</v>
      </c>
      <c r="E2071" s="1" t="s">
        <v>15</v>
      </c>
      <c r="F2071" s="1">
        <f t="shared" si="72"/>
        <v>588</v>
      </c>
      <c r="G2071" s="12">
        <f t="shared" si="73"/>
        <v>111.39455782312925</v>
      </c>
    </row>
    <row r="2072" spans="1:7" ht="13">
      <c r="A2072" s="4" t="s">
        <v>118</v>
      </c>
      <c r="B2072" s="1">
        <v>6.88</v>
      </c>
      <c r="C2072" s="1">
        <v>733.3</v>
      </c>
      <c r="D2072" s="1" t="s">
        <v>33</v>
      </c>
      <c r="E2072" s="1" t="s">
        <v>20</v>
      </c>
      <c r="F2072" s="1">
        <f t="shared" si="72"/>
        <v>688</v>
      </c>
      <c r="G2072" s="12">
        <f t="shared" si="73"/>
        <v>106.58430232558139</v>
      </c>
    </row>
    <row r="2073" spans="1:7" ht="13">
      <c r="A2073" s="4" t="s">
        <v>118</v>
      </c>
      <c r="B2073" s="1">
        <v>6.88</v>
      </c>
      <c r="C2073" s="1">
        <v>751</v>
      </c>
      <c r="D2073" s="1" t="s">
        <v>47</v>
      </c>
      <c r="E2073" s="1" t="s">
        <v>25</v>
      </c>
      <c r="F2073" s="1">
        <f t="shared" si="72"/>
        <v>688</v>
      </c>
      <c r="G2073" s="12">
        <f t="shared" si="73"/>
        <v>109.15697674418605</v>
      </c>
    </row>
    <row r="2074" spans="1:7" ht="13">
      <c r="A2074" s="4" t="s">
        <v>118</v>
      </c>
      <c r="B2074" s="1">
        <v>6.9</v>
      </c>
      <c r="C2074" s="1">
        <v>820</v>
      </c>
      <c r="D2074" s="1" t="s">
        <v>11</v>
      </c>
      <c r="E2074" s="1" t="s">
        <v>8</v>
      </c>
      <c r="F2074" s="1">
        <f t="shared" si="72"/>
        <v>690</v>
      </c>
      <c r="G2074" s="12">
        <f t="shared" si="73"/>
        <v>118.84057971014492</v>
      </c>
    </row>
    <row r="2075" spans="1:7" ht="13">
      <c r="A2075" s="4" t="s">
        <v>118</v>
      </c>
      <c r="B2075" s="1">
        <v>5</v>
      </c>
      <c r="C2075" s="1">
        <v>703</v>
      </c>
      <c r="D2075" s="1" t="s">
        <v>33</v>
      </c>
      <c r="E2075" s="1" t="s">
        <v>16</v>
      </c>
      <c r="F2075" s="1">
        <f t="shared" si="72"/>
        <v>500</v>
      </c>
      <c r="G2075" s="12">
        <f t="shared" si="73"/>
        <v>140.6</v>
      </c>
    </row>
    <row r="2076" spans="1:7" ht="13">
      <c r="A2076" s="4" t="s">
        <v>118</v>
      </c>
      <c r="B2076" s="1">
        <v>7.74</v>
      </c>
      <c r="C2076" s="1">
        <v>862</v>
      </c>
      <c r="D2076" s="1" t="s">
        <v>37</v>
      </c>
      <c r="E2076" s="1" t="s">
        <v>16</v>
      </c>
      <c r="F2076" s="1">
        <f t="shared" si="72"/>
        <v>774</v>
      </c>
      <c r="G2076" s="12">
        <f t="shared" si="73"/>
        <v>111.36950904392765</v>
      </c>
    </row>
    <row r="2077" spans="1:7" ht="13">
      <c r="A2077" s="4" t="s">
        <v>118</v>
      </c>
      <c r="B2077" s="1">
        <v>4.8</v>
      </c>
      <c r="C2077" s="1">
        <v>519.4</v>
      </c>
      <c r="D2077" s="1" t="s">
        <v>11</v>
      </c>
      <c r="E2077" s="1" t="s">
        <v>24</v>
      </c>
      <c r="F2077" s="1">
        <f t="shared" si="72"/>
        <v>480</v>
      </c>
      <c r="G2077" s="12">
        <f t="shared" si="73"/>
        <v>108.20833333333333</v>
      </c>
    </row>
    <row r="2078" spans="1:7" ht="13">
      <c r="A2078" s="4" t="s">
        <v>118</v>
      </c>
      <c r="B2078" s="1">
        <v>4.2</v>
      </c>
      <c r="C2078" s="1">
        <v>480.2</v>
      </c>
      <c r="D2078" s="1" t="s">
        <v>51</v>
      </c>
      <c r="E2078" s="1" t="s">
        <v>26</v>
      </c>
      <c r="F2078" s="1">
        <f t="shared" si="72"/>
        <v>420</v>
      </c>
      <c r="G2078" s="12">
        <f t="shared" si="73"/>
        <v>114.33333333333333</v>
      </c>
    </row>
    <row r="2079" spans="1:7" ht="13">
      <c r="A2079" s="4" t="s">
        <v>118</v>
      </c>
      <c r="B2079" s="1">
        <v>5.0999999999999996</v>
      </c>
      <c r="C2079" s="1">
        <v>543</v>
      </c>
      <c r="D2079" s="1" t="s">
        <v>33</v>
      </c>
      <c r="E2079" s="1" t="s">
        <v>15</v>
      </c>
      <c r="F2079" s="1">
        <f t="shared" si="72"/>
        <v>509.99999999999994</v>
      </c>
      <c r="G2079" s="12">
        <f t="shared" si="73"/>
        <v>106.47058823529413</v>
      </c>
    </row>
    <row r="2080" spans="1:7" ht="13">
      <c r="A2080" s="4" t="s">
        <v>118</v>
      </c>
      <c r="B2080" s="1">
        <v>8.75</v>
      </c>
      <c r="C2080" s="1">
        <v>954</v>
      </c>
      <c r="D2080" s="1" t="s">
        <v>47</v>
      </c>
      <c r="E2080" s="1" t="s">
        <v>31</v>
      </c>
      <c r="F2080" s="1">
        <f t="shared" si="72"/>
        <v>875</v>
      </c>
      <c r="G2080" s="12">
        <f t="shared" si="73"/>
        <v>109.02857142857142</v>
      </c>
    </row>
    <row r="2081" spans="1:7" ht="13">
      <c r="A2081" s="4" t="s">
        <v>118</v>
      </c>
      <c r="B2081" s="1">
        <v>6.72</v>
      </c>
      <c r="C2081" s="1">
        <v>660.7</v>
      </c>
      <c r="D2081" s="1" t="s">
        <v>39</v>
      </c>
      <c r="E2081" s="1" t="s">
        <v>25</v>
      </c>
      <c r="F2081" s="1">
        <f t="shared" si="72"/>
        <v>672</v>
      </c>
      <c r="G2081" s="12">
        <f t="shared" si="73"/>
        <v>98.318452380952394</v>
      </c>
    </row>
    <row r="2082" spans="1:7" ht="13">
      <c r="A2082" s="4" t="s">
        <v>118</v>
      </c>
      <c r="B2082" s="1">
        <v>5.2</v>
      </c>
      <c r="C2082" s="1">
        <v>620</v>
      </c>
      <c r="D2082" s="1" t="s">
        <v>11</v>
      </c>
      <c r="E2082" s="1" t="s">
        <v>16</v>
      </c>
      <c r="F2082" s="1">
        <f t="shared" si="72"/>
        <v>520</v>
      </c>
      <c r="G2082" s="12">
        <f t="shared" si="73"/>
        <v>119.23076923076923</v>
      </c>
    </row>
    <row r="2083" spans="1:7" ht="13">
      <c r="A2083" s="4" t="s">
        <v>118</v>
      </c>
      <c r="B2083" s="1">
        <v>6.6</v>
      </c>
      <c r="C2083" s="1">
        <v>731</v>
      </c>
      <c r="D2083" s="1" t="s">
        <v>35</v>
      </c>
      <c r="E2083" s="1" t="s">
        <v>22</v>
      </c>
      <c r="F2083" s="1">
        <f t="shared" si="72"/>
        <v>660</v>
      </c>
      <c r="G2083" s="12">
        <f t="shared" si="73"/>
        <v>110.75757575757576</v>
      </c>
    </row>
    <row r="2084" spans="1:7" ht="13">
      <c r="A2084" s="4" t="s">
        <v>118</v>
      </c>
      <c r="B2084" s="1">
        <v>8.5</v>
      </c>
      <c r="C2084" s="1">
        <v>830</v>
      </c>
      <c r="D2084" s="1" t="s">
        <v>33</v>
      </c>
      <c r="E2084" s="1" t="s">
        <v>46</v>
      </c>
      <c r="F2084" s="1">
        <f t="shared" si="72"/>
        <v>850</v>
      </c>
      <c r="G2084" s="12">
        <f t="shared" si="73"/>
        <v>97.647058823529406</v>
      </c>
    </row>
    <row r="2085" spans="1:7" ht="13">
      <c r="A2085" s="4" t="s">
        <v>118</v>
      </c>
      <c r="B2085" s="1">
        <v>4.5</v>
      </c>
      <c r="C2085" s="1">
        <v>345</v>
      </c>
      <c r="D2085" s="1" t="s">
        <v>11</v>
      </c>
      <c r="E2085" s="1" t="s">
        <v>22</v>
      </c>
      <c r="F2085" s="1">
        <f t="shared" si="72"/>
        <v>450</v>
      </c>
      <c r="G2085" s="12">
        <f t="shared" si="73"/>
        <v>76.666666666666671</v>
      </c>
    </row>
    <row r="2086" spans="1:7" ht="13">
      <c r="A2086" s="4" t="s">
        <v>118</v>
      </c>
      <c r="B2086" s="1">
        <v>9.0299999999999994</v>
      </c>
      <c r="C2086" s="1">
        <v>983</v>
      </c>
      <c r="D2086" s="1" t="s">
        <v>50</v>
      </c>
      <c r="E2086" s="1" t="s">
        <v>21</v>
      </c>
      <c r="F2086" s="1">
        <f t="shared" si="72"/>
        <v>902.99999999999989</v>
      </c>
      <c r="G2086" s="12">
        <f t="shared" si="73"/>
        <v>108.859357696567</v>
      </c>
    </row>
    <row r="2087" spans="1:7" ht="13">
      <c r="A2087" s="4" t="s">
        <v>118</v>
      </c>
      <c r="B2087" s="1">
        <v>4.5</v>
      </c>
      <c r="C2087" s="1">
        <v>461</v>
      </c>
      <c r="D2087" s="1" t="s">
        <v>11</v>
      </c>
      <c r="E2087" s="1" t="s">
        <v>16</v>
      </c>
      <c r="F2087" s="1">
        <f t="shared" si="72"/>
        <v>450</v>
      </c>
      <c r="G2087" s="12">
        <f t="shared" si="73"/>
        <v>102.44444444444444</v>
      </c>
    </row>
    <row r="2088" spans="1:7" ht="13">
      <c r="A2088" s="4" t="s">
        <v>118</v>
      </c>
      <c r="B2088" s="1">
        <v>6.7</v>
      </c>
      <c r="C2088" s="1">
        <v>669.73</v>
      </c>
      <c r="D2088" s="1" t="s">
        <v>11</v>
      </c>
      <c r="E2088" s="1" t="s">
        <v>17</v>
      </c>
      <c r="F2088" s="1">
        <f t="shared" si="72"/>
        <v>670</v>
      </c>
      <c r="G2088" s="12">
        <f t="shared" si="73"/>
        <v>99.95970149253732</v>
      </c>
    </row>
    <row r="2089" spans="1:7" ht="13">
      <c r="A2089" s="4" t="s">
        <v>118</v>
      </c>
      <c r="B2089" s="1">
        <v>5</v>
      </c>
      <c r="C2089" s="1">
        <v>801</v>
      </c>
      <c r="D2089" s="1" t="s">
        <v>39</v>
      </c>
      <c r="E2089" s="1" t="s">
        <v>20</v>
      </c>
      <c r="F2089" s="1">
        <f t="shared" si="72"/>
        <v>500</v>
      </c>
      <c r="G2089" s="12">
        <f t="shared" si="73"/>
        <v>160.19999999999999</v>
      </c>
    </row>
    <row r="2090" spans="1:7" ht="13">
      <c r="A2090" s="4" t="s">
        <v>118</v>
      </c>
      <c r="B2090" s="1">
        <v>5.6</v>
      </c>
      <c r="C2090" s="1">
        <v>629</v>
      </c>
      <c r="D2090" s="1" t="s">
        <v>36</v>
      </c>
      <c r="E2090" s="1" t="s">
        <v>9</v>
      </c>
      <c r="F2090" s="1">
        <f t="shared" si="72"/>
        <v>560</v>
      </c>
      <c r="G2090" s="12">
        <f t="shared" si="73"/>
        <v>112.32142857142858</v>
      </c>
    </row>
    <row r="2091" spans="1:7" ht="13">
      <c r="A2091" s="4" t="s">
        <v>118</v>
      </c>
      <c r="B2091" s="1">
        <v>5.22</v>
      </c>
      <c r="C2091" s="1">
        <v>470</v>
      </c>
      <c r="D2091" s="1" t="s">
        <v>70</v>
      </c>
      <c r="E2091" s="1" t="s">
        <v>22</v>
      </c>
      <c r="F2091" s="1">
        <f t="shared" si="72"/>
        <v>522</v>
      </c>
      <c r="G2091" s="12">
        <f t="shared" si="73"/>
        <v>90.038314176245208</v>
      </c>
    </row>
    <row r="2092" spans="1:7" ht="13">
      <c r="A2092" s="4" t="s">
        <v>118</v>
      </c>
      <c r="B2092" s="1">
        <v>6.72</v>
      </c>
      <c r="C2092" s="1">
        <v>727</v>
      </c>
      <c r="D2092" s="1" t="s">
        <v>11</v>
      </c>
      <c r="E2092" s="1" t="s">
        <v>26</v>
      </c>
      <c r="F2092" s="1">
        <f t="shared" si="72"/>
        <v>672</v>
      </c>
      <c r="G2092" s="12">
        <f t="shared" si="73"/>
        <v>108.18452380952381</v>
      </c>
    </row>
    <row r="2093" spans="1:7" ht="13">
      <c r="A2093" s="4" t="s">
        <v>118</v>
      </c>
      <c r="B2093" s="1">
        <v>3.5</v>
      </c>
      <c r="C2093" s="1">
        <v>304</v>
      </c>
      <c r="D2093" s="1" t="s">
        <v>55</v>
      </c>
      <c r="E2093" s="1" t="s">
        <v>15</v>
      </c>
      <c r="F2093" s="1">
        <f t="shared" si="72"/>
        <v>350</v>
      </c>
      <c r="G2093" s="12">
        <f t="shared" si="73"/>
        <v>86.857142857142861</v>
      </c>
    </row>
    <row r="2094" spans="1:7" ht="13">
      <c r="A2094" s="4" t="s">
        <v>118</v>
      </c>
      <c r="B2094" s="1">
        <v>5.46</v>
      </c>
      <c r="C2094" s="1">
        <v>644</v>
      </c>
      <c r="D2094" s="1" t="s">
        <v>43</v>
      </c>
      <c r="E2094" s="1" t="s">
        <v>15</v>
      </c>
      <c r="F2094" s="1">
        <f t="shared" si="72"/>
        <v>546</v>
      </c>
      <c r="G2094" s="12">
        <f t="shared" si="73"/>
        <v>117.94871794871796</v>
      </c>
    </row>
    <row r="2095" spans="1:7" ht="13">
      <c r="A2095" s="4" t="s">
        <v>118</v>
      </c>
      <c r="B2095" s="1">
        <v>6.72</v>
      </c>
      <c r="C2095" s="1">
        <v>789.56</v>
      </c>
      <c r="D2095" s="1" t="s">
        <v>11</v>
      </c>
      <c r="E2095" s="1" t="s">
        <v>8</v>
      </c>
      <c r="F2095" s="1">
        <f t="shared" si="72"/>
        <v>672</v>
      </c>
      <c r="G2095" s="12">
        <f t="shared" si="73"/>
        <v>117.49404761904762</v>
      </c>
    </row>
    <row r="2096" spans="1:7" ht="13">
      <c r="A2096" s="4" t="s">
        <v>118</v>
      </c>
      <c r="B2096" s="1">
        <v>6.96</v>
      </c>
      <c r="C2096" s="1">
        <v>748</v>
      </c>
      <c r="D2096" s="1" t="s">
        <v>92</v>
      </c>
      <c r="E2096" s="1" t="s">
        <v>9</v>
      </c>
      <c r="F2096" s="1">
        <f t="shared" si="72"/>
        <v>696</v>
      </c>
      <c r="G2096" s="12">
        <f t="shared" si="73"/>
        <v>107.47126436781609</v>
      </c>
    </row>
    <row r="2097" spans="1:7" ht="13">
      <c r="A2097" s="4" t="s">
        <v>118</v>
      </c>
      <c r="B2097" s="1">
        <v>9.1300000000000008</v>
      </c>
      <c r="C2097" s="1">
        <v>935</v>
      </c>
      <c r="D2097" s="1" t="s">
        <v>11</v>
      </c>
      <c r="E2097" s="1" t="s">
        <v>19</v>
      </c>
      <c r="F2097" s="1">
        <f t="shared" si="72"/>
        <v>913.00000000000011</v>
      </c>
      <c r="G2097" s="12">
        <f t="shared" si="73"/>
        <v>102.40963855421685</v>
      </c>
    </row>
    <row r="2098" spans="1:7" ht="13">
      <c r="A2098" s="4" t="s">
        <v>118</v>
      </c>
      <c r="B2098" s="1">
        <v>4.5</v>
      </c>
      <c r="C2098" s="1">
        <v>510.6</v>
      </c>
      <c r="D2098" s="1" t="s">
        <v>43</v>
      </c>
      <c r="E2098" s="1" t="s">
        <v>15</v>
      </c>
      <c r="F2098" s="1">
        <f t="shared" si="72"/>
        <v>450</v>
      </c>
      <c r="G2098" s="12">
        <f t="shared" si="73"/>
        <v>113.46666666666667</v>
      </c>
    </row>
    <row r="2099" spans="1:7" ht="13">
      <c r="A2099" s="4" t="s">
        <v>118</v>
      </c>
      <c r="B2099" s="1">
        <v>6.5250000000000004</v>
      </c>
      <c r="C2099" s="1">
        <v>600</v>
      </c>
      <c r="D2099" s="1" t="s">
        <v>11</v>
      </c>
      <c r="E2099" s="1" t="s">
        <v>18</v>
      </c>
      <c r="F2099" s="1">
        <f t="shared" si="72"/>
        <v>652.5</v>
      </c>
      <c r="G2099" s="12">
        <f t="shared" si="73"/>
        <v>91.954022988505741</v>
      </c>
    </row>
    <row r="2100" spans="1:7" ht="13">
      <c r="A2100" s="4" t="s">
        <v>118</v>
      </c>
      <c r="B2100" s="1">
        <v>3.8</v>
      </c>
      <c r="C2100" s="1">
        <v>352</v>
      </c>
      <c r="D2100" s="1" t="s">
        <v>38</v>
      </c>
      <c r="E2100" s="1" t="s">
        <v>8</v>
      </c>
      <c r="F2100" s="1">
        <f t="shared" si="72"/>
        <v>380</v>
      </c>
      <c r="G2100" s="12">
        <f t="shared" si="73"/>
        <v>92.631578947368425</v>
      </c>
    </row>
    <row r="2101" spans="1:7" ht="13">
      <c r="A2101" s="4" t="s">
        <v>118</v>
      </c>
      <c r="B2101" s="1">
        <v>6.02</v>
      </c>
      <c r="C2101" s="1">
        <v>385</v>
      </c>
      <c r="D2101" s="1" t="s">
        <v>63</v>
      </c>
      <c r="E2101" s="1" t="s">
        <v>20</v>
      </c>
      <c r="F2101" s="1">
        <f t="shared" si="72"/>
        <v>602</v>
      </c>
      <c r="G2101" s="12">
        <f t="shared" si="73"/>
        <v>63.953488372093027</v>
      </c>
    </row>
    <row r="2102" spans="1:7" ht="13">
      <c r="A2102" s="4" t="s">
        <v>118</v>
      </c>
      <c r="B2102" s="1">
        <v>6.9</v>
      </c>
      <c r="C2102" s="1">
        <v>780</v>
      </c>
      <c r="D2102" s="1" t="s">
        <v>33</v>
      </c>
      <c r="E2102" s="1" t="s">
        <v>15</v>
      </c>
      <c r="F2102" s="1">
        <f t="shared" si="72"/>
        <v>690</v>
      </c>
      <c r="G2102" s="12">
        <f t="shared" si="73"/>
        <v>113.04347826086956</v>
      </c>
    </row>
    <row r="2103" spans="1:7" ht="13">
      <c r="A2103" s="4" t="s">
        <v>118</v>
      </c>
      <c r="B2103" s="1">
        <v>4.2</v>
      </c>
      <c r="C2103" s="1">
        <v>568</v>
      </c>
      <c r="D2103" s="1" t="s">
        <v>11</v>
      </c>
      <c r="E2103" s="1" t="s">
        <v>21</v>
      </c>
      <c r="F2103" s="1">
        <f t="shared" si="72"/>
        <v>420</v>
      </c>
      <c r="G2103" s="12">
        <f t="shared" si="73"/>
        <v>135.23809523809524</v>
      </c>
    </row>
    <row r="2104" spans="1:7" ht="13">
      <c r="A2104" s="4" t="s">
        <v>118</v>
      </c>
      <c r="B2104" s="1">
        <v>9.1</v>
      </c>
      <c r="C2104" s="1">
        <v>858</v>
      </c>
      <c r="D2104" s="1" t="s">
        <v>33</v>
      </c>
      <c r="E2104" s="1" t="s">
        <v>17</v>
      </c>
      <c r="F2104" s="1">
        <f t="shared" si="72"/>
        <v>910</v>
      </c>
      <c r="G2104" s="12">
        <f t="shared" si="73"/>
        <v>94.285714285714292</v>
      </c>
    </row>
    <row r="2105" spans="1:7" ht="13">
      <c r="A2105" s="4" t="s">
        <v>118</v>
      </c>
      <c r="B2105" s="1">
        <v>6.1</v>
      </c>
      <c r="C2105" s="1">
        <v>628</v>
      </c>
      <c r="D2105" s="1" t="s">
        <v>48</v>
      </c>
      <c r="E2105" s="1" t="s">
        <v>23</v>
      </c>
      <c r="F2105" s="1">
        <f t="shared" si="72"/>
        <v>610</v>
      </c>
      <c r="G2105" s="12">
        <f t="shared" si="73"/>
        <v>102.95081967213116</v>
      </c>
    </row>
    <row r="2106" spans="1:7" ht="13">
      <c r="A2106" s="4" t="s">
        <v>118</v>
      </c>
      <c r="B2106" s="1">
        <v>5.2</v>
      </c>
      <c r="C2106" s="1">
        <v>611</v>
      </c>
      <c r="D2106" s="1" t="s">
        <v>33</v>
      </c>
      <c r="E2106" s="1" t="s">
        <v>15</v>
      </c>
      <c r="F2106" s="1">
        <f t="shared" si="72"/>
        <v>520</v>
      </c>
      <c r="G2106" s="12">
        <f t="shared" si="73"/>
        <v>117.5</v>
      </c>
    </row>
    <row r="2107" spans="1:7" ht="13">
      <c r="A2107" s="4" t="s">
        <v>118</v>
      </c>
      <c r="B2107" s="1">
        <v>3.44</v>
      </c>
      <c r="C2107" s="1">
        <v>408</v>
      </c>
      <c r="D2107" s="1" t="s">
        <v>11</v>
      </c>
      <c r="E2107" s="1" t="s">
        <v>9</v>
      </c>
      <c r="F2107" s="1">
        <f t="shared" si="72"/>
        <v>344</v>
      </c>
      <c r="G2107" s="12">
        <f t="shared" si="73"/>
        <v>118.6046511627907</v>
      </c>
    </row>
    <row r="2108" spans="1:7" ht="13">
      <c r="A2108" s="4" t="s">
        <v>118</v>
      </c>
      <c r="B2108" s="1">
        <v>8.3000000000000007</v>
      </c>
      <c r="C2108" s="1">
        <v>862</v>
      </c>
      <c r="D2108" s="1" t="s">
        <v>11</v>
      </c>
      <c r="E2108" s="1" t="s">
        <v>20</v>
      </c>
      <c r="F2108" s="1">
        <f t="shared" si="72"/>
        <v>830.00000000000011</v>
      </c>
      <c r="G2108" s="12">
        <f t="shared" si="73"/>
        <v>103.85542168674698</v>
      </c>
    </row>
    <row r="2109" spans="1:7" ht="13">
      <c r="A2109" s="4" t="s">
        <v>118</v>
      </c>
      <c r="B2109" s="1">
        <v>5</v>
      </c>
      <c r="C2109" s="1">
        <v>527</v>
      </c>
      <c r="D2109" s="1" t="s">
        <v>33</v>
      </c>
      <c r="E2109" s="1" t="s">
        <v>15</v>
      </c>
      <c r="F2109" s="1">
        <f t="shared" si="72"/>
        <v>500</v>
      </c>
      <c r="G2109" s="12">
        <f t="shared" si="73"/>
        <v>105.4</v>
      </c>
    </row>
    <row r="2110" spans="1:7" ht="13">
      <c r="A2110" s="4" t="s">
        <v>118</v>
      </c>
      <c r="B2110" s="1">
        <v>7.74</v>
      </c>
      <c r="C2110" s="1">
        <v>905</v>
      </c>
      <c r="D2110" s="1" t="s">
        <v>11</v>
      </c>
      <c r="E2110" s="1" t="s">
        <v>29</v>
      </c>
      <c r="F2110" s="1">
        <f t="shared" si="72"/>
        <v>774</v>
      </c>
      <c r="G2110" s="12">
        <f t="shared" si="73"/>
        <v>116.92506459948321</v>
      </c>
    </row>
    <row r="2111" spans="1:7" ht="13">
      <c r="A2111" s="4" t="s">
        <v>118</v>
      </c>
      <c r="B2111" s="1">
        <v>7.75</v>
      </c>
      <c r="C2111" s="1">
        <v>802</v>
      </c>
      <c r="D2111" s="1" t="s">
        <v>11</v>
      </c>
      <c r="E2111" s="1" t="s">
        <v>16</v>
      </c>
      <c r="F2111" s="1">
        <f t="shared" si="72"/>
        <v>775</v>
      </c>
      <c r="G2111" s="12">
        <f t="shared" si="73"/>
        <v>103.48387096774194</v>
      </c>
    </row>
    <row r="2112" spans="1:7" ht="13">
      <c r="A2112" s="4" t="s">
        <v>118</v>
      </c>
      <c r="B2112" s="1">
        <v>5.16</v>
      </c>
      <c r="C2112" s="1">
        <v>585</v>
      </c>
      <c r="D2112" s="1" t="s">
        <v>42</v>
      </c>
      <c r="E2112" s="1" t="s">
        <v>22</v>
      </c>
      <c r="F2112" s="1">
        <f t="shared" si="72"/>
        <v>516</v>
      </c>
      <c r="G2112" s="12">
        <f t="shared" si="73"/>
        <v>113.37209302325581</v>
      </c>
    </row>
    <row r="2113" spans="1:7" ht="13">
      <c r="A2113" s="4" t="s">
        <v>118</v>
      </c>
      <c r="B2113" s="1">
        <v>6.1</v>
      </c>
      <c r="C2113" s="1">
        <v>598</v>
      </c>
      <c r="D2113" s="1" t="s">
        <v>11</v>
      </c>
      <c r="E2113" s="1" t="s">
        <v>21</v>
      </c>
      <c r="F2113" s="1">
        <f t="shared" si="72"/>
        <v>610</v>
      </c>
      <c r="G2113" s="12">
        <f t="shared" si="73"/>
        <v>98.032786885245912</v>
      </c>
    </row>
    <row r="2114" spans="1:7" ht="13">
      <c r="A2114" s="4" t="s">
        <v>118</v>
      </c>
      <c r="B2114" s="1">
        <v>7.48</v>
      </c>
      <c r="C2114" s="1">
        <v>877</v>
      </c>
      <c r="D2114" s="1" t="s">
        <v>11</v>
      </c>
      <c r="E2114" s="1" t="s">
        <v>21</v>
      </c>
      <c r="F2114" s="1">
        <f t="shared" si="72"/>
        <v>748</v>
      </c>
      <c r="G2114" s="12">
        <f t="shared" si="73"/>
        <v>117.24598930481282</v>
      </c>
    </row>
    <row r="2115" spans="1:7" ht="13">
      <c r="A2115" s="4" t="s">
        <v>118</v>
      </c>
      <c r="B2115" s="1">
        <v>6.02</v>
      </c>
      <c r="C2115" s="1">
        <v>690</v>
      </c>
      <c r="D2115" s="1" t="s">
        <v>39</v>
      </c>
      <c r="E2115" s="1" t="s">
        <v>25</v>
      </c>
      <c r="F2115" s="1">
        <f t="shared" ref="F2115:F2178" si="74">B2115*100</f>
        <v>602</v>
      </c>
      <c r="G2115" s="12">
        <f t="shared" ref="G2115:G2178" si="75">C2115/B2115</f>
        <v>114.61794019933555</v>
      </c>
    </row>
    <row r="2116" spans="1:7" ht="13">
      <c r="A2116" s="4" t="s">
        <v>118</v>
      </c>
      <c r="B2116" s="1">
        <v>7.5</v>
      </c>
      <c r="C2116" s="1">
        <v>980</v>
      </c>
      <c r="D2116" s="1" t="s">
        <v>47</v>
      </c>
      <c r="E2116" s="1" t="s">
        <v>7</v>
      </c>
      <c r="F2116" s="1">
        <f t="shared" si="74"/>
        <v>750</v>
      </c>
      <c r="G2116" s="12">
        <f t="shared" si="75"/>
        <v>130.66666666666666</v>
      </c>
    </row>
    <row r="2117" spans="1:7" ht="13">
      <c r="A2117" s="4" t="s">
        <v>118</v>
      </c>
      <c r="B2117" s="1">
        <v>5</v>
      </c>
      <c r="C2117" s="1">
        <v>614</v>
      </c>
      <c r="D2117" s="1" t="s">
        <v>42</v>
      </c>
      <c r="E2117" s="1" t="s">
        <v>30</v>
      </c>
      <c r="F2117" s="1">
        <f t="shared" si="74"/>
        <v>500</v>
      </c>
      <c r="G2117" s="12">
        <f t="shared" si="75"/>
        <v>122.8</v>
      </c>
    </row>
    <row r="2118" spans="1:7" ht="13">
      <c r="A2118" s="4" t="s">
        <v>118</v>
      </c>
      <c r="B2118" s="1">
        <v>5</v>
      </c>
      <c r="C2118" s="1">
        <v>694</v>
      </c>
      <c r="D2118" s="1" t="s">
        <v>11</v>
      </c>
      <c r="E2118" s="1" t="s">
        <v>16</v>
      </c>
      <c r="F2118" s="1">
        <f t="shared" si="74"/>
        <v>500</v>
      </c>
      <c r="G2118" s="12">
        <f t="shared" si="75"/>
        <v>138.80000000000001</v>
      </c>
    </row>
    <row r="2119" spans="1:7" ht="13">
      <c r="A2119" s="4" t="s">
        <v>118</v>
      </c>
      <c r="B2119" s="1">
        <v>3.1</v>
      </c>
      <c r="C2119" s="1">
        <v>343</v>
      </c>
      <c r="D2119" s="1" t="s">
        <v>11</v>
      </c>
      <c r="E2119" s="1" t="s">
        <v>31</v>
      </c>
      <c r="F2119" s="1">
        <f t="shared" si="74"/>
        <v>310</v>
      </c>
      <c r="G2119" s="12">
        <f t="shared" si="75"/>
        <v>110.64516129032258</v>
      </c>
    </row>
    <row r="2120" spans="1:7" ht="13">
      <c r="A2120" s="4" t="s">
        <v>118</v>
      </c>
      <c r="B2120" s="1">
        <v>5.39</v>
      </c>
      <c r="C2120" s="1">
        <v>605</v>
      </c>
      <c r="D2120" s="1" t="s">
        <v>38</v>
      </c>
      <c r="E2120" s="1" t="s">
        <v>24</v>
      </c>
      <c r="F2120" s="1">
        <f t="shared" si="74"/>
        <v>539</v>
      </c>
      <c r="G2120" s="12">
        <f t="shared" si="75"/>
        <v>112.24489795918367</v>
      </c>
    </row>
    <row r="2121" spans="1:7" ht="13">
      <c r="A2121" s="4" t="s">
        <v>118</v>
      </c>
      <c r="B2121" s="1">
        <v>5.2</v>
      </c>
      <c r="C2121" s="1">
        <v>514</v>
      </c>
      <c r="D2121" s="1" t="s">
        <v>47</v>
      </c>
      <c r="E2121" s="1" t="s">
        <v>9</v>
      </c>
      <c r="F2121" s="1">
        <f t="shared" si="74"/>
        <v>520</v>
      </c>
      <c r="G2121" s="12">
        <f t="shared" si="75"/>
        <v>98.84615384615384</v>
      </c>
    </row>
    <row r="2122" spans="1:7" ht="13">
      <c r="A2122" s="4" t="s">
        <v>118</v>
      </c>
      <c r="B2122" s="1">
        <v>9</v>
      </c>
      <c r="C2122" s="1">
        <v>933.37</v>
      </c>
      <c r="D2122" s="1" t="s">
        <v>33</v>
      </c>
      <c r="E2122" s="1" t="s">
        <v>7</v>
      </c>
      <c r="F2122" s="1">
        <f t="shared" si="74"/>
        <v>900</v>
      </c>
      <c r="G2122" s="12">
        <f t="shared" si="75"/>
        <v>103.70777777777778</v>
      </c>
    </row>
    <row r="2123" spans="1:7" ht="13">
      <c r="A2123" s="4" t="s">
        <v>118</v>
      </c>
      <c r="B2123" s="1">
        <v>8.6999999999999993</v>
      </c>
      <c r="C2123" s="1">
        <v>1020</v>
      </c>
      <c r="D2123" s="1" t="s">
        <v>45</v>
      </c>
      <c r="E2123" s="1" t="s">
        <v>20</v>
      </c>
      <c r="F2123" s="1">
        <f t="shared" si="74"/>
        <v>869.99999999999989</v>
      </c>
      <c r="G2123" s="12">
        <f t="shared" si="75"/>
        <v>117.24137931034484</v>
      </c>
    </row>
    <row r="2124" spans="1:7" ht="13">
      <c r="A2124" s="4" t="s">
        <v>118</v>
      </c>
      <c r="B2124" s="1">
        <v>6.5</v>
      </c>
      <c r="C2124" s="1">
        <v>722</v>
      </c>
      <c r="D2124" s="1" t="s">
        <v>103</v>
      </c>
      <c r="E2124" s="1" t="s">
        <v>20</v>
      </c>
      <c r="F2124" s="1">
        <f t="shared" si="74"/>
        <v>650</v>
      </c>
      <c r="G2124" s="12">
        <f t="shared" si="75"/>
        <v>111.07692307692308</v>
      </c>
    </row>
    <row r="2125" spans="1:7" ht="13">
      <c r="A2125" s="4" t="s">
        <v>118</v>
      </c>
      <c r="B2125" s="1">
        <v>20</v>
      </c>
      <c r="C2125" s="1">
        <v>2060</v>
      </c>
      <c r="D2125" s="1" t="s">
        <v>33</v>
      </c>
      <c r="E2125" s="1" t="s">
        <v>20</v>
      </c>
      <c r="F2125" s="1">
        <f t="shared" si="74"/>
        <v>2000</v>
      </c>
      <c r="G2125" s="12">
        <f t="shared" si="75"/>
        <v>103</v>
      </c>
    </row>
    <row r="2126" spans="1:7" ht="13">
      <c r="A2126" s="4" t="s">
        <v>118</v>
      </c>
      <c r="B2126" s="1">
        <v>5</v>
      </c>
      <c r="C2126" s="1">
        <v>567</v>
      </c>
      <c r="D2126" s="1" t="s">
        <v>11</v>
      </c>
      <c r="E2126" s="1" t="s">
        <v>7</v>
      </c>
      <c r="F2126" s="1">
        <f t="shared" si="74"/>
        <v>500</v>
      </c>
      <c r="G2126" s="12">
        <f t="shared" si="75"/>
        <v>113.4</v>
      </c>
    </row>
    <row r="2127" spans="1:7" ht="13">
      <c r="A2127" s="4" t="s">
        <v>118</v>
      </c>
      <c r="B2127" s="1">
        <v>4.3499999999999996</v>
      </c>
      <c r="C2127" s="1">
        <v>553</v>
      </c>
      <c r="D2127" s="1" t="s">
        <v>11</v>
      </c>
      <c r="E2127" s="1" t="s">
        <v>15</v>
      </c>
      <c r="F2127" s="1">
        <f t="shared" si="74"/>
        <v>434.99999999999994</v>
      </c>
      <c r="G2127" s="12">
        <f t="shared" si="75"/>
        <v>127.1264367816092</v>
      </c>
    </row>
    <row r="2128" spans="1:7" ht="13">
      <c r="A2128" s="4" t="s">
        <v>118</v>
      </c>
      <c r="B2128" s="1">
        <v>8.9700000000000006</v>
      </c>
      <c r="C2128" s="1">
        <v>940</v>
      </c>
      <c r="D2128" s="1" t="s">
        <v>11</v>
      </c>
      <c r="E2128" s="1" t="s">
        <v>31</v>
      </c>
      <c r="F2128" s="1">
        <f t="shared" si="74"/>
        <v>897.00000000000011</v>
      </c>
      <c r="G2128" s="12">
        <f t="shared" si="75"/>
        <v>104.79375696767001</v>
      </c>
    </row>
    <row r="2129" spans="1:7" ht="13">
      <c r="A2129" s="4" t="s">
        <v>118</v>
      </c>
      <c r="B2129" s="1">
        <v>6.8849999999999998</v>
      </c>
      <c r="C2129" s="1">
        <v>762</v>
      </c>
      <c r="D2129" s="1" t="s">
        <v>44</v>
      </c>
      <c r="E2129" s="1" t="s">
        <v>22</v>
      </c>
      <c r="F2129" s="1">
        <f t="shared" si="74"/>
        <v>688.5</v>
      </c>
      <c r="G2129" s="12">
        <f t="shared" si="75"/>
        <v>110.67538126361656</v>
      </c>
    </row>
    <row r="2130" spans="1:7" ht="13">
      <c r="A2130" s="4" t="s">
        <v>118</v>
      </c>
      <c r="B2130" s="1">
        <v>8.5</v>
      </c>
      <c r="C2130" s="1">
        <v>1000</v>
      </c>
      <c r="D2130" s="1" t="s">
        <v>58</v>
      </c>
      <c r="E2130" s="1" t="s">
        <v>20</v>
      </c>
      <c r="F2130" s="1">
        <f t="shared" si="74"/>
        <v>850</v>
      </c>
      <c r="G2130" s="12">
        <f t="shared" si="75"/>
        <v>117.64705882352941</v>
      </c>
    </row>
    <row r="2131" spans="1:7" ht="13">
      <c r="A2131" s="4" t="s">
        <v>118</v>
      </c>
      <c r="B2131" s="1">
        <v>7.2</v>
      </c>
      <c r="C2131" s="1">
        <v>735</v>
      </c>
      <c r="D2131" s="1" t="s">
        <v>35</v>
      </c>
      <c r="E2131" s="1" t="s">
        <v>25</v>
      </c>
      <c r="F2131" s="1">
        <f t="shared" si="74"/>
        <v>720</v>
      </c>
      <c r="G2131" s="12">
        <f t="shared" si="75"/>
        <v>102.08333333333333</v>
      </c>
    </row>
    <row r="2132" spans="1:7" ht="13">
      <c r="A2132" s="4" t="s">
        <v>118</v>
      </c>
      <c r="B2132" s="1">
        <v>5.5</v>
      </c>
      <c r="C2132" s="1">
        <v>620</v>
      </c>
      <c r="D2132" s="1" t="s">
        <v>11</v>
      </c>
      <c r="E2132" s="1" t="s">
        <v>15</v>
      </c>
      <c r="F2132" s="1">
        <f t="shared" si="74"/>
        <v>550</v>
      </c>
      <c r="G2132" s="12">
        <f t="shared" si="75"/>
        <v>112.72727272727273</v>
      </c>
    </row>
    <row r="2133" spans="1:7" ht="13">
      <c r="A2133" s="4" t="s">
        <v>118</v>
      </c>
      <c r="B2133" s="1">
        <v>5.6</v>
      </c>
      <c r="C2133" s="1">
        <v>484</v>
      </c>
      <c r="D2133" s="1" t="s">
        <v>33</v>
      </c>
      <c r="E2133" s="1" t="s">
        <v>29</v>
      </c>
      <c r="F2133" s="1">
        <f t="shared" si="74"/>
        <v>560</v>
      </c>
      <c r="G2133" s="12">
        <f t="shared" si="75"/>
        <v>86.428571428571431</v>
      </c>
    </row>
    <row r="2134" spans="1:7" ht="13">
      <c r="A2134" s="4" t="s">
        <v>118</v>
      </c>
      <c r="B2134" s="1">
        <v>5.16</v>
      </c>
      <c r="C2134" s="1">
        <v>551</v>
      </c>
      <c r="D2134" s="1" t="s">
        <v>48</v>
      </c>
      <c r="E2134" s="1" t="s">
        <v>30</v>
      </c>
      <c r="F2134" s="1">
        <f t="shared" si="74"/>
        <v>516</v>
      </c>
      <c r="G2134" s="12">
        <f t="shared" si="75"/>
        <v>106.7829457364341</v>
      </c>
    </row>
    <row r="2135" spans="1:7" ht="13">
      <c r="A2135" s="4" t="s">
        <v>118</v>
      </c>
      <c r="B2135" s="1">
        <v>4</v>
      </c>
      <c r="C2135" s="1">
        <v>432</v>
      </c>
      <c r="D2135" s="1" t="s">
        <v>39</v>
      </c>
      <c r="E2135" s="1" t="s">
        <v>21</v>
      </c>
      <c r="F2135" s="1">
        <f t="shared" si="74"/>
        <v>400</v>
      </c>
      <c r="G2135" s="12">
        <f t="shared" si="75"/>
        <v>108</v>
      </c>
    </row>
    <row r="2136" spans="1:7" ht="13">
      <c r="A2136" s="4" t="s">
        <v>118</v>
      </c>
      <c r="B2136" s="1">
        <v>7.9</v>
      </c>
      <c r="C2136" s="1">
        <v>855</v>
      </c>
      <c r="D2136" s="1" t="s">
        <v>11</v>
      </c>
      <c r="E2136" s="1" t="s">
        <v>27</v>
      </c>
      <c r="F2136" s="1">
        <f t="shared" si="74"/>
        <v>790</v>
      </c>
      <c r="G2136" s="12">
        <f t="shared" si="75"/>
        <v>108.22784810126582</v>
      </c>
    </row>
    <row r="2137" spans="1:7" ht="13">
      <c r="A2137" s="4" t="s">
        <v>118</v>
      </c>
      <c r="B2137" s="1">
        <v>4.3</v>
      </c>
      <c r="C2137" s="1">
        <v>399</v>
      </c>
      <c r="D2137" s="1" t="s">
        <v>33</v>
      </c>
      <c r="E2137" s="1" t="s">
        <v>30</v>
      </c>
      <c r="F2137" s="1">
        <f t="shared" si="74"/>
        <v>430</v>
      </c>
      <c r="G2137" s="12">
        <f t="shared" si="75"/>
        <v>92.79069767441861</v>
      </c>
    </row>
    <row r="2138" spans="1:7" ht="13">
      <c r="A2138" s="4" t="s">
        <v>118</v>
      </c>
      <c r="B2138" s="1">
        <v>7.35</v>
      </c>
      <c r="C2138" s="1">
        <v>745.81</v>
      </c>
      <c r="D2138" s="1" t="s">
        <v>59</v>
      </c>
      <c r="E2138" s="1" t="s">
        <v>16</v>
      </c>
      <c r="F2138" s="1">
        <f t="shared" si="74"/>
        <v>735</v>
      </c>
      <c r="G2138" s="12">
        <f t="shared" si="75"/>
        <v>101.47074829931972</v>
      </c>
    </row>
    <row r="2139" spans="1:7" ht="13">
      <c r="A2139" s="4" t="s">
        <v>118</v>
      </c>
      <c r="B2139" s="1">
        <v>7.3</v>
      </c>
      <c r="C2139" s="1">
        <v>842</v>
      </c>
      <c r="D2139" s="1" t="s">
        <v>38</v>
      </c>
      <c r="E2139" s="1" t="s">
        <v>9</v>
      </c>
      <c r="F2139" s="1">
        <f t="shared" si="74"/>
        <v>730</v>
      </c>
      <c r="G2139" s="12">
        <f t="shared" si="75"/>
        <v>115.34246575342466</v>
      </c>
    </row>
    <row r="2140" spans="1:7" ht="13">
      <c r="A2140" s="4" t="s">
        <v>118</v>
      </c>
      <c r="B2140" s="1">
        <v>9.35</v>
      </c>
      <c r="C2140" s="1">
        <v>819</v>
      </c>
      <c r="D2140" s="1" t="s">
        <v>37</v>
      </c>
      <c r="E2140" s="1" t="s">
        <v>18</v>
      </c>
      <c r="F2140" s="1">
        <f t="shared" si="74"/>
        <v>935</v>
      </c>
      <c r="G2140" s="12">
        <f t="shared" si="75"/>
        <v>87.593582887700535</v>
      </c>
    </row>
    <row r="2141" spans="1:7" ht="13">
      <c r="A2141" s="4" t="s">
        <v>118</v>
      </c>
      <c r="B2141" s="1">
        <v>5.85</v>
      </c>
      <c r="C2141" s="1">
        <v>646</v>
      </c>
      <c r="D2141" s="1" t="s">
        <v>45</v>
      </c>
      <c r="E2141" s="1" t="s">
        <v>15</v>
      </c>
      <c r="F2141" s="1">
        <f t="shared" si="74"/>
        <v>585</v>
      </c>
      <c r="G2141" s="12">
        <f t="shared" si="75"/>
        <v>110.42735042735043</v>
      </c>
    </row>
    <row r="2142" spans="1:7" ht="13">
      <c r="A2142" s="4" t="s">
        <v>118</v>
      </c>
      <c r="B2142" s="1">
        <v>4.7</v>
      </c>
      <c r="C2142" s="1">
        <v>540</v>
      </c>
      <c r="D2142" s="1" t="s">
        <v>104</v>
      </c>
      <c r="E2142" s="1" t="s">
        <v>26</v>
      </c>
      <c r="F2142" s="1">
        <f t="shared" si="74"/>
        <v>470</v>
      </c>
      <c r="G2142" s="12">
        <f t="shared" si="75"/>
        <v>114.8936170212766</v>
      </c>
    </row>
    <row r="2143" spans="1:7" ht="13">
      <c r="A2143" s="4" t="s">
        <v>118</v>
      </c>
      <c r="B2143" s="1">
        <v>7</v>
      </c>
      <c r="C2143" s="1">
        <v>719</v>
      </c>
      <c r="D2143" s="1" t="s">
        <v>67</v>
      </c>
      <c r="E2143" s="1" t="s">
        <v>22</v>
      </c>
      <c r="F2143" s="1">
        <f t="shared" si="74"/>
        <v>700</v>
      </c>
      <c r="G2143" s="12">
        <f t="shared" si="75"/>
        <v>102.71428571428571</v>
      </c>
    </row>
    <row r="2144" spans="1:7" ht="13">
      <c r="A2144" s="4" t="s">
        <v>118</v>
      </c>
      <c r="B2144" s="1">
        <v>7.74</v>
      </c>
      <c r="C2144" s="1">
        <v>835</v>
      </c>
      <c r="D2144" s="1" t="s">
        <v>77</v>
      </c>
      <c r="E2144" s="1" t="s">
        <v>8</v>
      </c>
      <c r="F2144" s="1">
        <f t="shared" si="74"/>
        <v>774</v>
      </c>
      <c r="G2144" s="12">
        <f t="shared" si="75"/>
        <v>107.88113695090439</v>
      </c>
    </row>
    <row r="2145" spans="1:7" ht="13">
      <c r="A2145" s="4" t="s">
        <v>118</v>
      </c>
      <c r="B2145" s="1">
        <v>4.8</v>
      </c>
      <c r="C2145" s="1">
        <v>560</v>
      </c>
      <c r="D2145" s="1" t="s">
        <v>33</v>
      </c>
      <c r="E2145" s="1" t="s">
        <v>15</v>
      </c>
      <c r="F2145" s="1">
        <f t="shared" si="74"/>
        <v>480</v>
      </c>
      <c r="G2145" s="12">
        <f t="shared" si="75"/>
        <v>116.66666666666667</v>
      </c>
    </row>
    <row r="2146" spans="1:7" ht="13">
      <c r="A2146" s="4" t="s">
        <v>118</v>
      </c>
      <c r="B2146" s="1">
        <v>5.5</v>
      </c>
      <c r="C2146" s="1">
        <v>963</v>
      </c>
      <c r="D2146" s="1" t="s">
        <v>11</v>
      </c>
      <c r="E2146" s="1" t="s">
        <v>24</v>
      </c>
      <c r="F2146" s="1">
        <f t="shared" si="74"/>
        <v>550</v>
      </c>
      <c r="G2146" s="12">
        <f t="shared" si="75"/>
        <v>175.09090909090909</v>
      </c>
    </row>
    <row r="2147" spans="1:7" ht="13">
      <c r="A2147" s="4" t="s">
        <v>118</v>
      </c>
      <c r="B2147" s="1">
        <v>5.2</v>
      </c>
      <c r="C2147" s="1">
        <v>569</v>
      </c>
      <c r="D2147" s="1" t="s">
        <v>47</v>
      </c>
      <c r="E2147" s="1" t="s">
        <v>26</v>
      </c>
      <c r="F2147" s="1">
        <f t="shared" si="74"/>
        <v>520</v>
      </c>
      <c r="G2147" s="12">
        <f t="shared" si="75"/>
        <v>109.42307692307692</v>
      </c>
    </row>
    <row r="2148" spans="1:7" ht="13">
      <c r="A2148" s="4" t="s">
        <v>118</v>
      </c>
      <c r="B2148" s="1">
        <v>4.3499999999999996</v>
      </c>
      <c r="C2148" s="1">
        <v>516</v>
      </c>
      <c r="D2148" s="1" t="s">
        <v>11</v>
      </c>
      <c r="E2148" s="1" t="s">
        <v>8</v>
      </c>
      <c r="F2148" s="1">
        <f t="shared" si="74"/>
        <v>434.99999999999994</v>
      </c>
      <c r="G2148" s="12">
        <f t="shared" si="75"/>
        <v>118.62068965517243</v>
      </c>
    </row>
    <row r="2149" spans="1:7" ht="13">
      <c r="A2149" s="4" t="s">
        <v>118</v>
      </c>
      <c r="B2149" s="1">
        <v>7.8</v>
      </c>
      <c r="C2149" s="1">
        <v>26</v>
      </c>
      <c r="D2149" s="1" t="s">
        <v>33</v>
      </c>
      <c r="E2149" s="1" t="s">
        <v>29</v>
      </c>
      <c r="F2149" s="1">
        <f t="shared" si="74"/>
        <v>780</v>
      </c>
      <c r="G2149" s="12">
        <f t="shared" si="75"/>
        <v>3.3333333333333335</v>
      </c>
    </row>
    <row r="2150" spans="1:7" ht="13">
      <c r="A2150" s="4" t="s">
        <v>118</v>
      </c>
      <c r="B2150" s="1">
        <v>8.0749999999999993</v>
      </c>
      <c r="C2150" s="1">
        <v>771</v>
      </c>
      <c r="D2150" s="1" t="s">
        <v>50</v>
      </c>
      <c r="E2150" s="1" t="s">
        <v>22</v>
      </c>
      <c r="F2150" s="1">
        <f t="shared" si="74"/>
        <v>807.49999999999989</v>
      </c>
      <c r="G2150" s="12">
        <f t="shared" si="75"/>
        <v>95.479876160990727</v>
      </c>
    </row>
    <row r="2151" spans="1:7" ht="13">
      <c r="A2151" s="4" t="s">
        <v>118</v>
      </c>
      <c r="B2151" s="1">
        <v>8</v>
      </c>
      <c r="C2151" s="1">
        <v>919</v>
      </c>
      <c r="D2151" s="1" t="s">
        <v>38</v>
      </c>
      <c r="E2151" s="1" t="s">
        <v>22</v>
      </c>
      <c r="F2151" s="1">
        <f t="shared" si="74"/>
        <v>800</v>
      </c>
      <c r="G2151" s="12">
        <f t="shared" si="75"/>
        <v>114.875</v>
      </c>
    </row>
    <row r="2152" spans="1:7" ht="13">
      <c r="A2152" s="4" t="s">
        <v>118</v>
      </c>
      <c r="B2152" s="1">
        <v>4.38</v>
      </c>
      <c r="C2152" s="1">
        <v>499</v>
      </c>
      <c r="D2152" s="1" t="s">
        <v>43</v>
      </c>
      <c r="E2152" s="1" t="s">
        <v>24</v>
      </c>
      <c r="F2152" s="1">
        <f t="shared" si="74"/>
        <v>438</v>
      </c>
      <c r="G2152" s="12">
        <f t="shared" si="75"/>
        <v>113.9269406392694</v>
      </c>
    </row>
    <row r="2153" spans="1:7" ht="13">
      <c r="A2153" s="4" t="s">
        <v>118</v>
      </c>
      <c r="B2153" s="1">
        <v>6.88</v>
      </c>
      <c r="C2153" s="1">
        <v>760</v>
      </c>
      <c r="D2153" s="1" t="s">
        <v>38</v>
      </c>
      <c r="E2153" s="1" t="s">
        <v>22</v>
      </c>
      <c r="F2153" s="1">
        <f t="shared" si="74"/>
        <v>688</v>
      </c>
      <c r="G2153" s="12">
        <f t="shared" si="75"/>
        <v>110.46511627906978</v>
      </c>
    </row>
    <row r="2154" spans="1:7" ht="13">
      <c r="A2154" s="4" t="s">
        <v>118</v>
      </c>
      <c r="B2154" s="1">
        <v>5.4</v>
      </c>
      <c r="C2154" s="1">
        <v>632</v>
      </c>
      <c r="D2154" s="1" t="s">
        <v>45</v>
      </c>
      <c r="E2154" s="1" t="s">
        <v>8</v>
      </c>
      <c r="F2154" s="1">
        <f t="shared" si="74"/>
        <v>540</v>
      </c>
      <c r="G2154" s="12">
        <f t="shared" si="75"/>
        <v>117.03703703703702</v>
      </c>
    </row>
    <row r="2155" spans="1:7" ht="13">
      <c r="A2155" s="4" t="s">
        <v>118</v>
      </c>
      <c r="B2155" s="1">
        <v>6.4</v>
      </c>
      <c r="C2155" s="1">
        <v>273</v>
      </c>
      <c r="D2155" s="1" t="s">
        <v>43</v>
      </c>
      <c r="E2155" s="1" t="s">
        <v>23</v>
      </c>
      <c r="F2155" s="1">
        <f t="shared" si="74"/>
        <v>640</v>
      </c>
      <c r="G2155" s="12">
        <f t="shared" si="75"/>
        <v>42.65625</v>
      </c>
    </row>
    <row r="2156" spans="1:7" ht="13">
      <c r="A2156" s="4" t="s">
        <v>118</v>
      </c>
      <c r="B2156" s="1">
        <v>8</v>
      </c>
      <c r="C2156" s="1">
        <v>704</v>
      </c>
      <c r="D2156" s="1" t="s">
        <v>11</v>
      </c>
      <c r="E2156" s="1" t="s">
        <v>22</v>
      </c>
      <c r="F2156" s="1">
        <f t="shared" si="74"/>
        <v>800</v>
      </c>
      <c r="G2156" s="12">
        <f t="shared" si="75"/>
        <v>88</v>
      </c>
    </row>
    <row r="2157" spans="1:7" ht="13">
      <c r="A2157" s="4" t="s">
        <v>118</v>
      </c>
      <c r="B2157" s="1">
        <v>3.86</v>
      </c>
      <c r="C2157" s="1">
        <v>407</v>
      </c>
      <c r="D2157" s="1" t="s">
        <v>11</v>
      </c>
      <c r="E2157" s="1" t="s">
        <v>8</v>
      </c>
      <c r="F2157" s="1">
        <f t="shared" si="74"/>
        <v>386</v>
      </c>
      <c r="G2157" s="12">
        <f t="shared" si="75"/>
        <v>105.44041450777202</v>
      </c>
    </row>
    <row r="2158" spans="1:7" ht="13">
      <c r="A2158" s="4" t="s">
        <v>118</v>
      </c>
      <c r="B2158" s="1">
        <v>7.4</v>
      </c>
      <c r="C2158" s="1">
        <v>899</v>
      </c>
      <c r="D2158" s="1" t="s">
        <v>11</v>
      </c>
      <c r="E2158" s="1" t="s">
        <v>22</v>
      </c>
      <c r="F2158" s="1">
        <f t="shared" si="74"/>
        <v>740</v>
      </c>
      <c r="G2158" s="12">
        <f t="shared" si="75"/>
        <v>121.48648648648648</v>
      </c>
    </row>
    <row r="2159" spans="1:7" ht="13">
      <c r="A2159" s="4" t="s">
        <v>118</v>
      </c>
      <c r="B2159" s="1">
        <v>9.57</v>
      </c>
      <c r="C2159" s="1">
        <v>934</v>
      </c>
      <c r="D2159" s="1" t="s">
        <v>42</v>
      </c>
      <c r="E2159" s="1" t="s">
        <v>22</v>
      </c>
      <c r="F2159" s="1">
        <f t="shared" si="74"/>
        <v>957</v>
      </c>
      <c r="G2159" s="12">
        <f t="shared" si="75"/>
        <v>97.596656217345867</v>
      </c>
    </row>
    <row r="2160" spans="1:7" ht="13">
      <c r="A2160" s="4" t="s">
        <v>118</v>
      </c>
      <c r="B2160" s="1">
        <v>7.5</v>
      </c>
      <c r="C2160" s="1">
        <v>872</v>
      </c>
      <c r="D2160" s="1" t="s">
        <v>11</v>
      </c>
      <c r="E2160" s="1" t="s">
        <v>27</v>
      </c>
      <c r="F2160" s="1">
        <f t="shared" si="74"/>
        <v>750</v>
      </c>
      <c r="G2160" s="12">
        <f t="shared" si="75"/>
        <v>116.26666666666667</v>
      </c>
    </row>
    <row r="2161" spans="1:7" ht="13">
      <c r="A2161" s="4" t="s">
        <v>118</v>
      </c>
      <c r="B2161" s="1">
        <v>6</v>
      </c>
      <c r="C2161" s="1">
        <v>754.2</v>
      </c>
      <c r="D2161" s="1" t="s">
        <v>11</v>
      </c>
      <c r="E2161" s="1" t="s">
        <v>22</v>
      </c>
      <c r="F2161" s="1">
        <f t="shared" si="74"/>
        <v>600</v>
      </c>
      <c r="G2161" s="12">
        <f t="shared" si="75"/>
        <v>125.7</v>
      </c>
    </row>
    <row r="2162" spans="1:7" ht="13">
      <c r="A2162" s="4" t="s">
        <v>118</v>
      </c>
      <c r="B2162" s="1">
        <v>4.75</v>
      </c>
      <c r="C2162" s="1">
        <v>486</v>
      </c>
      <c r="D2162" s="1" t="s">
        <v>42</v>
      </c>
      <c r="E2162" s="1" t="s">
        <v>16</v>
      </c>
      <c r="F2162" s="1">
        <f t="shared" si="74"/>
        <v>475</v>
      </c>
      <c r="G2162" s="12">
        <f t="shared" si="75"/>
        <v>102.31578947368421</v>
      </c>
    </row>
    <row r="2163" spans="1:7" ht="13">
      <c r="A2163" s="4" t="s">
        <v>118</v>
      </c>
      <c r="B2163" s="1">
        <v>5.3</v>
      </c>
      <c r="C2163" s="1">
        <v>703.1</v>
      </c>
      <c r="D2163" s="1" t="s">
        <v>39</v>
      </c>
      <c r="E2163" s="1" t="s">
        <v>9</v>
      </c>
      <c r="F2163" s="1">
        <f t="shared" si="74"/>
        <v>530</v>
      </c>
      <c r="G2163" s="12">
        <f t="shared" si="75"/>
        <v>132.66037735849056</v>
      </c>
    </row>
    <row r="2164" spans="1:7" ht="13">
      <c r="A2164" s="4" t="s">
        <v>118</v>
      </c>
      <c r="B2164" s="1">
        <v>696</v>
      </c>
      <c r="C2164" s="1">
        <v>6</v>
      </c>
      <c r="D2164" s="1" t="s">
        <v>11</v>
      </c>
      <c r="E2164" s="1" t="s">
        <v>19</v>
      </c>
      <c r="F2164" s="1">
        <f t="shared" si="74"/>
        <v>69600</v>
      </c>
      <c r="G2164" s="12">
        <f t="shared" si="75"/>
        <v>8.6206896551724137E-3</v>
      </c>
    </row>
    <row r="2165" spans="1:7" ht="13">
      <c r="A2165" s="4" t="s">
        <v>118</v>
      </c>
      <c r="B2165" s="1">
        <v>5</v>
      </c>
      <c r="C2165" s="1">
        <v>592</v>
      </c>
      <c r="D2165" s="1" t="s">
        <v>11</v>
      </c>
      <c r="E2165" s="1" t="s">
        <v>8</v>
      </c>
      <c r="F2165" s="1">
        <f t="shared" si="74"/>
        <v>500</v>
      </c>
      <c r="G2165" s="12">
        <f t="shared" si="75"/>
        <v>118.4</v>
      </c>
    </row>
    <row r="2166" spans="1:7" ht="13">
      <c r="A2166" s="4" t="s">
        <v>118</v>
      </c>
      <c r="B2166" s="1">
        <v>3.48</v>
      </c>
      <c r="C2166" s="1">
        <v>390</v>
      </c>
      <c r="D2166" s="1" t="s">
        <v>38</v>
      </c>
      <c r="E2166" s="1" t="s">
        <v>7</v>
      </c>
      <c r="F2166" s="1">
        <f t="shared" si="74"/>
        <v>348</v>
      </c>
      <c r="G2166" s="12">
        <f t="shared" si="75"/>
        <v>112.06896551724138</v>
      </c>
    </row>
    <row r="2167" spans="1:7" ht="13">
      <c r="A2167" s="4" t="s">
        <v>118</v>
      </c>
      <c r="B2167" s="1">
        <v>7.5</v>
      </c>
      <c r="C2167" s="1">
        <v>774.4</v>
      </c>
      <c r="D2167" s="1" t="s">
        <v>79</v>
      </c>
      <c r="E2167" s="1" t="s">
        <v>22</v>
      </c>
      <c r="F2167" s="1">
        <f t="shared" si="74"/>
        <v>750</v>
      </c>
      <c r="G2167" s="12">
        <f t="shared" si="75"/>
        <v>103.25333333333333</v>
      </c>
    </row>
    <row r="2168" spans="1:7" ht="13">
      <c r="A2168" s="4" t="s">
        <v>118</v>
      </c>
      <c r="B2168" s="1">
        <v>6</v>
      </c>
      <c r="C2168" s="1">
        <v>666</v>
      </c>
      <c r="D2168" s="1" t="s">
        <v>40</v>
      </c>
      <c r="E2168" s="1" t="s">
        <v>17</v>
      </c>
      <c r="F2168" s="1">
        <f t="shared" si="74"/>
        <v>600</v>
      </c>
      <c r="G2168" s="12">
        <f t="shared" si="75"/>
        <v>111</v>
      </c>
    </row>
    <row r="2169" spans="1:7" ht="13">
      <c r="A2169" s="4" t="s">
        <v>118</v>
      </c>
      <c r="B2169" s="1">
        <v>9.6</v>
      </c>
      <c r="C2169" s="1">
        <v>878</v>
      </c>
      <c r="D2169" s="1" t="s">
        <v>45</v>
      </c>
      <c r="E2169" s="1" t="s">
        <v>7</v>
      </c>
      <c r="F2169" s="1">
        <f t="shared" si="74"/>
        <v>960</v>
      </c>
      <c r="G2169" s="12">
        <f t="shared" si="75"/>
        <v>91.458333333333343</v>
      </c>
    </row>
    <row r="2170" spans="1:7" ht="13">
      <c r="A2170" s="4" t="s">
        <v>118</v>
      </c>
      <c r="B2170" s="1">
        <v>4.2</v>
      </c>
      <c r="C2170" s="1">
        <v>483</v>
      </c>
      <c r="D2170" s="1" t="s">
        <v>11</v>
      </c>
      <c r="E2170" s="1" t="s">
        <v>9</v>
      </c>
      <c r="F2170" s="1">
        <f t="shared" si="74"/>
        <v>420</v>
      </c>
      <c r="G2170" s="12">
        <f t="shared" si="75"/>
        <v>115</v>
      </c>
    </row>
    <row r="2171" spans="1:7" ht="13">
      <c r="A2171" s="4" t="s">
        <v>118</v>
      </c>
      <c r="B2171" s="1">
        <v>5.6</v>
      </c>
      <c r="C2171" s="1">
        <v>639</v>
      </c>
      <c r="D2171" s="1" t="s">
        <v>33</v>
      </c>
      <c r="E2171" s="1" t="s">
        <v>9</v>
      </c>
      <c r="F2171" s="1">
        <f t="shared" si="74"/>
        <v>560</v>
      </c>
      <c r="G2171" s="12">
        <f t="shared" si="75"/>
        <v>114.10714285714286</v>
      </c>
    </row>
    <row r="2172" spans="1:7" ht="13">
      <c r="A2172" s="4" t="s">
        <v>118</v>
      </c>
      <c r="B2172" s="1">
        <v>4.0999999999999996</v>
      </c>
      <c r="C2172" s="1">
        <v>505</v>
      </c>
      <c r="D2172" s="1" t="s">
        <v>38</v>
      </c>
      <c r="E2172" s="1" t="s">
        <v>16</v>
      </c>
      <c r="F2172" s="1">
        <f t="shared" si="74"/>
        <v>409.99999999999994</v>
      </c>
      <c r="G2172" s="12">
        <f t="shared" si="75"/>
        <v>123.17073170731709</v>
      </c>
    </row>
    <row r="2173" spans="1:7" ht="13">
      <c r="A2173" s="4" t="s">
        <v>118</v>
      </c>
      <c r="B2173" s="1">
        <v>6.56</v>
      </c>
      <c r="C2173" s="1">
        <v>708</v>
      </c>
      <c r="D2173" s="1" t="s">
        <v>11</v>
      </c>
      <c r="E2173" s="1" t="s">
        <v>18</v>
      </c>
      <c r="F2173" s="1">
        <f t="shared" si="74"/>
        <v>656</v>
      </c>
      <c r="G2173" s="12">
        <f t="shared" si="75"/>
        <v>107.92682926829269</v>
      </c>
    </row>
    <row r="2174" spans="1:7" ht="13">
      <c r="A2174" s="4" t="s">
        <v>118</v>
      </c>
      <c r="B2174" s="1">
        <v>1.74</v>
      </c>
      <c r="C2174" s="1">
        <v>197</v>
      </c>
      <c r="D2174" s="1" t="s">
        <v>50</v>
      </c>
      <c r="E2174" s="1" t="s">
        <v>15</v>
      </c>
      <c r="F2174" s="1">
        <f t="shared" si="74"/>
        <v>174</v>
      </c>
      <c r="G2174" s="12">
        <f t="shared" si="75"/>
        <v>113.2183908045977</v>
      </c>
    </row>
    <row r="2175" spans="1:7" ht="13">
      <c r="A2175" s="4" t="s">
        <v>118</v>
      </c>
      <c r="B2175" s="1">
        <v>6.5</v>
      </c>
      <c r="C2175" s="1">
        <v>865</v>
      </c>
      <c r="D2175" s="1" t="s">
        <v>11</v>
      </c>
      <c r="E2175" s="1" t="s">
        <v>8</v>
      </c>
      <c r="F2175" s="1">
        <f t="shared" si="74"/>
        <v>650</v>
      </c>
      <c r="G2175" s="12">
        <f t="shared" si="75"/>
        <v>133.07692307692307</v>
      </c>
    </row>
    <row r="2176" spans="1:7" ht="13">
      <c r="A2176" s="4" t="s">
        <v>118</v>
      </c>
      <c r="B2176" s="1">
        <v>7</v>
      </c>
      <c r="C2176" s="1">
        <v>818</v>
      </c>
      <c r="D2176" s="1" t="s">
        <v>11</v>
      </c>
      <c r="E2176" s="1" t="s">
        <v>27</v>
      </c>
      <c r="F2176" s="1">
        <f t="shared" si="74"/>
        <v>700</v>
      </c>
      <c r="G2176" s="12">
        <f t="shared" si="75"/>
        <v>116.85714285714286</v>
      </c>
    </row>
    <row r="2177" spans="1:7" ht="13">
      <c r="A2177" s="4" t="s">
        <v>118</v>
      </c>
      <c r="B2177" s="1">
        <v>6.7</v>
      </c>
      <c r="C2177" s="1">
        <v>677</v>
      </c>
      <c r="D2177" s="1" t="s">
        <v>39</v>
      </c>
      <c r="E2177" s="1" t="s">
        <v>17</v>
      </c>
      <c r="F2177" s="1">
        <f t="shared" si="74"/>
        <v>670</v>
      </c>
      <c r="G2177" s="12">
        <f t="shared" si="75"/>
        <v>101.04477611940298</v>
      </c>
    </row>
    <row r="2178" spans="1:7" ht="13">
      <c r="A2178" s="4" t="s">
        <v>118</v>
      </c>
      <c r="B2178" s="1">
        <v>8.9</v>
      </c>
      <c r="C2178" s="1">
        <v>938</v>
      </c>
      <c r="D2178" s="1" t="s">
        <v>42</v>
      </c>
      <c r="E2178" s="1" t="s">
        <v>17</v>
      </c>
      <c r="F2178" s="1">
        <f t="shared" si="74"/>
        <v>890</v>
      </c>
      <c r="G2178" s="12">
        <f t="shared" si="75"/>
        <v>105.39325842696628</v>
      </c>
    </row>
    <row r="2179" spans="1:7" ht="13">
      <c r="A2179" s="4" t="s">
        <v>118</v>
      </c>
      <c r="B2179" s="1">
        <v>4.3499999999999996</v>
      </c>
      <c r="C2179" s="1">
        <v>513</v>
      </c>
      <c r="D2179" s="1" t="s">
        <v>39</v>
      </c>
      <c r="E2179" s="1" t="s">
        <v>14</v>
      </c>
      <c r="F2179" s="1">
        <f t="shared" ref="F2179:F2242" si="76">B2179*100</f>
        <v>434.99999999999994</v>
      </c>
      <c r="G2179" s="12">
        <f t="shared" ref="G2179:G2242" si="77">C2179/B2179</f>
        <v>117.93103448275863</v>
      </c>
    </row>
    <row r="2180" spans="1:7" ht="13">
      <c r="A2180" s="4" t="s">
        <v>118</v>
      </c>
      <c r="B2180" s="1">
        <v>8.4</v>
      </c>
      <c r="C2180" s="1">
        <v>831</v>
      </c>
      <c r="D2180" s="1" t="s">
        <v>11</v>
      </c>
      <c r="E2180" s="1" t="s">
        <v>12</v>
      </c>
      <c r="F2180" s="1">
        <f t="shared" si="76"/>
        <v>840</v>
      </c>
      <c r="G2180" s="12">
        <f t="shared" si="77"/>
        <v>98.928571428571431</v>
      </c>
    </row>
    <row r="2181" spans="1:7" ht="13">
      <c r="A2181" s="4" t="s">
        <v>118</v>
      </c>
      <c r="B2181" s="1">
        <v>7.3</v>
      </c>
      <c r="C2181" s="1">
        <v>794</v>
      </c>
      <c r="D2181" s="1" t="s">
        <v>11</v>
      </c>
      <c r="E2181" s="1" t="s">
        <v>12</v>
      </c>
      <c r="F2181" s="1">
        <f t="shared" si="76"/>
        <v>730</v>
      </c>
      <c r="G2181" s="12">
        <f t="shared" si="77"/>
        <v>108.76712328767124</v>
      </c>
    </row>
    <row r="2182" spans="1:7" ht="13">
      <c r="A2182" s="4" t="s">
        <v>118</v>
      </c>
      <c r="B2182" s="1">
        <v>10.44</v>
      </c>
      <c r="C2182" s="1">
        <v>955</v>
      </c>
      <c r="D2182" s="1" t="s">
        <v>33</v>
      </c>
      <c r="E2182" s="1" t="s">
        <v>15</v>
      </c>
      <c r="F2182" s="1">
        <f t="shared" si="76"/>
        <v>1044</v>
      </c>
      <c r="G2182" s="12">
        <f t="shared" si="77"/>
        <v>91.475095785440615</v>
      </c>
    </row>
    <row r="2183" spans="1:7" ht="13">
      <c r="A2183" s="4" t="s">
        <v>118</v>
      </c>
      <c r="B2183" s="1">
        <v>3.78</v>
      </c>
      <c r="C2183" s="1">
        <v>430</v>
      </c>
      <c r="D2183" s="1" t="s">
        <v>11</v>
      </c>
      <c r="E2183" s="1" t="s">
        <v>26</v>
      </c>
      <c r="F2183" s="1">
        <f t="shared" si="76"/>
        <v>378</v>
      </c>
      <c r="G2183" s="12">
        <f t="shared" si="77"/>
        <v>113.75661375661376</v>
      </c>
    </row>
    <row r="2184" spans="1:7" ht="13">
      <c r="A2184" s="4" t="s">
        <v>118</v>
      </c>
      <c r="B2184" s="1">
        <v>6.88</v>
      </c>
      <c r="C2184" s="1">
        <v>686</v>
      </c>
      <c r="D2184" s="1" t="s">
        <v>11</v>
      </c>
      <c r="E2184" s="1" t="s">
        <v>46</v>
      </c>
      <c r="F2184" s="1">
        <f t="shared" si="76"/>
        <v>688</v>
      </c>
      <c r="G2184" s="12">
        <f t="shared" si="77"/>
        <v>99.70930232558139</v>
      </c>
    </row>
    <row r="2185" spans="1:7" ht="13">
      <c r="A2185" s="4" t="s">
        <v>118</v>
      </c>
      <c r="B2185" s="1">
        <v>8.3000000000000007</v>
      </c>
      <c r="C2185" s="1">
        <v>795</v>
      </c>
      <c r="D2185" s="1" t="s">
        <v>33</v>
      </c>
      <c r="E2185" s="1" t="s">
        <v>7</v>
      </c>
      <c r="F2185" s="1">
        <f t="shared" si="76"/>
        <v>830.00000000000011</v>
      </c>
      <c r="G2185" s="12">
        <f t="shared" si="77"/>
        <v>95.783132530120469</v>
      </c>
    </row>
    <row r="2186" spans="1:7" ht="13">
      <c r="A2186" s="4" t="s">
        <v>118</v>
      </c>
      <c r="B2186" s="1">
        <v>7.56</v>
      </c>
      <c r="C2186" s="1">
        <v>788</v>
      </c>
      <c r="D2186" s="1" t="s">
        <v>11</v>
      </c>
      <c r="E2186" s="1" t="s">
        <v>27</v>
      </c>
      <c r="F2186" s="1">
        <f t="shared" si="76"/>
        <v>756</v>
      </c>
      <c r="G2186" s="12">
        <f t="shared" si="77"/>
        <v>104.23280423280424</v>
      </c>
    </row>
    <row r="2187" spans="1:7" ht="13">
      <c r="A2187" s="4" t="s">
        <v>118</v>
      </c>
      <c r="B2187" s="1">
        <v>6.88</v>
      </c>
      <c r="C2187" s="1">
        <v>881</v>
      </c>
      <c r="D2187" s="1" t="s">
        <v>11</v>
      </c>
      <c r="E2187" s="1" t="s">
        <v>15</v>
      </c>
      <c r="F2187" s="1">
        <f t="shared" si="76"/>
        <v>688</v>
      </c>
      <c r="G2187" s="12">
        <f t="shared" si="77"/>
        <v>128.05232558139534</v>
      </c>
    </row>
    <row r="2188" spans="1:7" ht="13">
      <c r="A2188" s="4" t="s">
        <v>118</v>
      </c>
      <c r="B2188" s="1">
        <v>8.6</v>
      </c>
      <c r="C2188" s="1">
        <v>1090</v>
      </c>
      <c r="D2188" s="1" t="s">
        <v>11</v>
      </c>
      <c r="E2188" s="1" t="s">
        <v>20</v>
      </c>
      <c r="F2188" s="1">
        <f t="shared" si="76"/>
        <v>860</v>
      </c>
      <c r="G2188" s="12">
        <f t="shared" si="77"/>
        <v>126.74418604651163</v>
      </c>
    </row>
    <row r="2189" spans="1:7" ht="13">
      <c r="A2189" s="4" t="s">
        <v>118</v>
      </c>
      <c r="B2189" s="1">
        <v>4</v>
      </c>
      <c r="C2189" s="1">
        <v>308</v>
      </c>
      <c r="D2189" s="1" t="s">
        <v>11</v>
      </c>
      <c r="E2189" s="1" t="s">
        <v>49</v>
      </c>
      <c r="F2189" s="1">
        <f t="shared" si="76"/>
        <v>400</v>
      </c>
      <c r="G2189" s="12">
        <f t="shared" si="77"/>
        <v>77</v>
      </c>
    </row>
    <row r="2190" spans="1:7" ht="13">
      <c r="A2190" s="4" t="s">
        <v>118</v>
      </c>
      <c r="B2190" s="1">
        <v>8.4</v>
      </c>
      <c r="C2190" s="1">
        <v>920</v>
      </c>
      <c r="D2190" s="1" t="s">
        <v>33</v>
      </c>
      <c r="E2190" s="1" t="s">
        <v>15</v>
      </c>
      <c r="F2190" s="1">
        <f t="shared" si="76"/>
        <v>840</v>
      </c>
      <c r="G2190" s="12">
        <f t="shared" si="77"/>
        <v>109.52380952380952</v>
      </c>
    </row>
    <row r="2191" spans="1:7" ht="13">
      <c r="A2191" s="4" t="s">
        <v>119</v>
      </c>
      <c r="B2191" s="1">
        <v>9.98</v>
      </c>
      <c r="C2191" s="1">
        <v>990</v>
      </c>
      <c r="D2191" s="1" t="s">
        <v>33</v>
      </c>
      <c r="E2191" s="1" t="s">
        <v>21</v>
      </c>
      <c r="F2191" s="1">
        <f t="shared" si="76"/>
        <v>998</v>
      </c>
      <c r="G2191" s="12">
        <f t="shared" si="77"/>
        <v>99.198396793587165</v>
      </c>
    </row>
    <row r="2192" spans="1:7" ht="13">
      <c r="A2192" s="4" t="s">
        <v>119</v>
      </c>
      <c r="B2192" s="1">
        <v>8.1999999999999993</v>
      </c>
      <c r="C2192" s="1">
        <v>830</v>
      </c>
      <c r="D2192" s="1" t="s">
        <v>39</v>
      </c>
      <c r="E2192" s="1" t="s">
        <v>16</v>
      </c>
      <c r="F2192" s="1">
        <f t="shared" si="76"/>
        <v>819.99999999999989</v>
      </c>
      <c r="G2192" s="12">
        <f t="shared" si="77"/>
        <v>101.21951219512196</v>
      </c>
    </row>
    <row r="2193" spans="1:7" ht="13">
      <c r="A2193" s="4" t="s">
        <v>119</v>
      </c>
      <c r="B2193" s="1">
        <v>6.5</v>
      </c>
      <c r="C2193" s="1">
        <v>765</v>
      </c>
      <c r="D2193" s="1" t="s">
        <v>72</v>
      </c>
      <c r="E2193" s="1" t="s">
        <v>8</v>
      </c>
      <c r="F2193" s="1">
        <f t="shared" si="76"/>
        <v>650</v>
      </c>
      <c r="G2193" s="12">
        <f t="shared" si="77"/>
        <v>117.69230769230769</v>
      </c>
    </row>
    <row r="2194" spans="1:7" ht="13">
      <c r="A2194" s="4" t="s">
        <v>119</v>
      </c>
      <c r="B2194" s="1">
        <v>7.5</v>
      </c>
      <c r="C2194" s="1">
        <v>755</v>
      </c>
      <c r="D2194" s="1" t="s">
        <v>11</v>
      </c>
      <c r="E2194" s="1" t="s">
        <v>16</v>
      </c>
      <c r="F2194" s="1">
        <f t="shared" si="76"/>
        <v>750</v>
      </c>
      <c r="G2194" s="12">
        <f t="shared" si="77"/>
        <v>100.66666666666667</v>
      </c>
    </row>
    <row r="2195" spans="1:7" ht="13">
      <c r="A2195" s="4" t="s">
        <v>119</v>
      </c>
      <c r="B2195" s="1">
        <v>4.8600000000000003</v>
      </c>
      <c r="C2195" s="1">
        <v>450</v>
      </c>
      <c r="D2195" s="1" t="s">
        <v>11</v>
      </c>
      <c r="E2195" s="1" t="s">
        <v>18</v>
      </c>
      <c r="F2195" s="1">
        <f t="shared" si="76"/>
        <v>486.00000000000006</v>
      </c>
      <c r="G2195" s="12">
        <f t="shared" si="77"/>
        <v>92.592592592592581</v>
      </c>
    </row>
    <row r="2196" spans="1:7" ht="13">
      <c r="A2196" s="4" t="s">
        <v>119</v>
      </c>
      <c r="B2196" s="1">
        <v>8.9</v>
      </c>
      <c r="C2196" s="1">
        <v>861</v>
      </c>
      <c r="D2196" s="1" t="s">
        <v>11</v>
      </c>
      <c r="E2196" s="1" t="s">
        <v>31</v>
      </c>
      <c r="F2196" s="1">
        <f t="shared" si="76"/>
        <v>890</v>
      </c>
      <c r="G2196" s="12">
        <f t="shared" si="77"/>
        <v>96.741573033707866</v>
      </c>
    </row>
    <row r="2197" spans="1:7" ht="13">
      <c r="A2197" s="4" t="s">
        <v>119</v>
      </c>
      <c r="B2197" s="1">
        <v>6.4</v>
      </c>
      <c r="C2197" s="1">
        <v>614</v>
      </c>
      <c r="D2197" s="1" t="s">
        <v>11</v>
      </c>
      <c r="E2197" s="1" t="s">
        <v>17</v>
      </c>
      <c r="F2197" s="1">
        <f t="shared" si="76"/>
        <v>640</v>
      </c>
      <c r="G2197" s="12">
        <f t="shared" si="77"/>
        <v>95.9375</v>
      </c>
    </row>
    <row r="2198" spans="1:7" ht="13">
      <c r="A2198" s="4" t="s">
        <v>119</v>
      </c>
      <c r="B2198" s="1">
        <v>5.46</v>
      </c>
      <c r="C2198" s="1">
        <v>650</v>
      </c>
      <c r="D2198" s="1" t="s">
        <v>47</v>
      </c>
      <c r="E2198" s="1" t="s">
        <v>10</v>
      </c>
      <c r="F2198" s="1">
        <f t="shared" si="76"/>
        <v>546</v>
      </c>
      <c r="G2198" s="12">
        <f t="shared" si="77"/>
        <v>119.04761904761905</v>
      </c>
    </row>
    <row r="2199" spans="1:7" ht="13">
      <c r="A2199" s="4" t="s">
        <v>119</v>
      </c>
      <c r="B2199" s="1">
        <v>7.83</v>
      </c>
      <c r="C2199" s="1">
        <v>837</v>
      </c>
      <c r="D2199" s="1" t="s">
        <v>35</v>
      </c>
      <c r="E2199" s="1" t="s">
        <v>23</v>
      </c>
      <c r="F2199" s="1">
        <f t="shared" si="76"/>
        <v>783</v>
      </c>
      <c r="G2199" s="12">
        <f t="shared" si="77"/>
        <v>106.89655172413794</v>
      </c>
    </row>
    <row r="2200" spans="1:7" ht="13">
      <c r="A2200" s="4" t="s">
        <v>119</v>
      </c>
      <c r="B2200" s="1">
        <v>4.4000000000000004</v>
      </c>
      <c r="C2200" s="1">
        <v>420</v>
      </c>
      <c r="D2200" s="1" t="s">
        <v>11</v>
      </c>
      <c r="E2200" s="1" t="s">
        <v>12</v>
      </c>
      <c r="F2200" s="1">
        <f t="shared" si="76"/>
        <v>440.00000000000006</v>
      </c>
      <c r="G2200" s="12">
        <f t="shared" si="77"/>
        <v>95.454545454545453</v>
      </c>
    </row>
    <row r="2201" spans="1:7" ht="13">
      <c r="A2201" s="4" t="s">
        <v>119</v>
      </c>
      <c r="B2201" s="1">
        <v>6.4</v>
      </c>
      <c r="C2201" s="1">
        <v>665</v>
      </c>
      <c r="D2201" s="1" t="s">
        <v>38</v>
      </c>
      <c r="E2201" s="1" t="s">
        <v>9</v>
      </c>
      <c r="F2201" s="1">
        <f t="shared" si="76"/>
        <v>640</v>
      </c>
      <c r="G2201" s="12">
        <f t="shared" si="77"/>
        <v>103.90625</v>
      </c>
    </row>
    <row r="2202" spans="1:7" ht="13">
      <c r="A2202" s="4" t="s">
        <v>119</v>
      </c>
      <c r="B2202" s="1">
        <v>8.8000000000000007</v>
      </c>
      <c r="C2202" s="1">
        <v>917</v>
      </c>
      <c r="D2202" s="1" t="s">
        <v>11</v>
      </c>
      <c r="E2202" s="1" t="s">
        <v>8</v>
      </c>
      <c r="F2202" s="1">
        <f t="shared" si="76"/>
        <v>880.00000000000011</v>
      </c>
      <c r="G2202" s="12">
        <f t="shared" si="77"/>
        <v>104.20454545454544</v>
      </c>
    </row>
    <row r="2203" spans="1:7" ht="13">
      <c r="A2203" s="4" t="s">
        <v>119</v>
      </c>
      <c r="B2203" s="1">
        <v>6</v>
      </c>
      <c r="C2203" s="1">
        <v>617</v>
      </c>
      <c r="D2203" s="1" t="s">
        <v>35</v>
      </c>
      <c r="E2203" s="1" t="s">
        <v>15</v>
      </c>
      <c r="F2203" s="1">
        <f t="shared" si="76"/>
        <v>600</v>
      </c>
      <c r="G2203" s="12">
        <f t="shared" si="77"/>
        <v>102.83333333333333</v>
      </c>
    </row>
    <row r="2204" spans="1:7" ht="13">
      <c r="A2204" s="4" t="s">
        <v>119</v>
      </c>
      <c r="B2204" s="1">
        <v>6.72</v>
      </c>
      <c r="C2204" s="1">
        <v>738</v>
      </c>
      <c r="D2204" s="1" t="s">
        <v>11</v>
      </c>
      <c r="E2204" s="1" t="s">
        <v>24</v>
      </c>
      <c r="F2204" s="1">
        <f t="shared" si="76"/>
        <v>672</v>
      </c>
      <c r="G2204" s="12">
        <f t="shared" si="77"/>
        <v>109.82142857142857</v>
      </c>
    </row>
    <row r="2205" spans="1:7" ht="13">
      <c r="A2205" s="4" t="s">
        <v>119</v>
      </c>
      <c r="B2205" s="1">
        <v>6.2</v>
      </c>
      <c r="C2205" s="1">
        <v>617</v>
      </c>
      <c r="D2205" s="1" t="s">
        <v>11</v>
      </c>
      <c r="E2205" s="1" t="s">
        <v>7</v>
      </c>
      <c r="F2205" s="1">
        <f t="shared" si="76"/>
        <v>620</v>
      </c>
      <c r="G2205" s="12">
        <f t="shared" si="77"/>
        <v>99.516129032258064</v>
      </c>
    </row>
    <row r="2206" spans="1:7" ht="13">
      <c r="A2206" s="4" t="s">
        <v>119</v>
      </c>
      <c r="B2206" s="1">
        <v>8.6</v>
      </c>
      <c r="C2206" s="1">
        <v>856</v>
      </c>
      <c r="D2206" s="1" t="s">
        <v>11</v>
      </c>
      <c r="E2206" s="1" t="s">
        <v>68</v>
      </c>
      <c r="F2206" s="1">
        <f t="shared" si="76"/>
        <v>860</v>
      </c>
      <c r="G2206" s="12">
        <f t="shared" si="77"/>
        <v>99.534883720930239</v>
      </c>
    </row>
    <row r="2207" spans="1:7" ht="13">
      <c r="A2207" s="4" t="s">
        <v>119</v>
      </c>
      <c r="B2207" s="1">
        <v>12</v>
      </c>
      <c r="C2207" s="1">
        <v>980</v>
      </c>
      <c r="D2207" s="1" t="s">
        <v>33</v>
      </c>
      <c r="E2207" s="1" t="s">
        <v>20</v>
      </c>
      <c r="F2207" s="1">
        <f t="shared" si="76"/>
        <v>1200</v>
      </c>
      <c r="G2207" s="12">
        <f t="shared" si="77"/>
        <v>81.666666666666671</v>
      </c>
    </row>
    <row r="2208" spans="1:7" ht="13">
      <c r="A2208" s="4" t="s">
        <v>119</v>
      </c>
      <c r="B2208" s="1">
        <v>5.8</v>
      </c>
      <c r="C2208" s="1">
        <v>438</v>
      </c>
      <c r="D2208" s="1" t="s">
        <v>67</v>
      </c>
      <c r="E2208" s="1" t="s">
        <v>17</v>
      </c>
      <c r="F2208" s="1">
        <f t="shared" si="76"/>
        <v>580</v>
      </c>
      <c r="G2208" s="12">
        <f t="shared" si="77"/>
        <v>75.517241379310349</v>
      </c>
    </row>
    <row r="2209" spans="1:7" ht="13">
      <c r="A2209" s="4" t="s">
        <v>119</v>
      </c>
      <c r="B2209" s="1">
        <v>8.4</v>
      </c>
      <c r="C2209" s="1">
        <v>778</v>
      </c>
      <c r="D2209" s="1" t="s">
        <v>105</v>
      </c>
      <c r="E2209" s="1" t="s">
        <v>32</v>
      </c>
      <c r="F2209" s="1">
        <f t="shared" si="76"/>
        <v>840</v>
      </c>
      <c r="G2209" s="12">
        <f t="shared" si="77"/>
        <v>92.61904761904762</v>
      </c>
    </row>
    <row r="2210" spans="1:7" ht="13">
      <c r="A2210" s="4" t="s">
        <v>119</v>
      </c>
      <c r="B2210" s="1">
        <v>4.5</v>
      </c>
      <c r="C2210" s="1">
        <v>560</v>
      </c>
      <c r="D2210" s="1" t="s">
        <v>39</v>
      </c>
      <c r="E2210" s="1" t="s">
        <v>15</v>
      </c>
      <c r="F2210" s="1">
        <f t="shared" si="76"/>
        <v>450</v>
      </c>
      <c r="G2210" s="12">
        <f t="shared" si="77"/>
        <v>124.44444444444444</v>
      </c>
    </row>
    <row r="2211" spans="1:7" ht="13">
      <c r="A2211" s="4" t="s">
        <v>119</v>
      </c>
      <c r="B2211" s="1">
        <v>5</v>
      </c>
      <c r="C2211" s="1">
        <v>560</v>
      </c>
      <c r="D2211" s="1" t="s">
        <v>11</v>
      </c>
      <c r="E2211" s="1" t="s">
        <v>15</v>
      </c>
      <c r="F2211" s="1">
        <f t="shared" si="76"/>
        <v>500</v>
      </c>
      <c r="G2211" s="12">
        <f t="shared" si="77"/>
        <v>112</v>
      </c>
    </row>
    <row r="2212" spans="1:7" ht="13">
      <c r="A2212" s="4" t="s">
        <v>119</v>
      </c>
      <c r="B2212" s="1">
        <v>7.7</v>
      </c>
      <c r="C2212" s="1">
        <v>815</v>
      </c>
      <c r="D2212" s="1" t="s">
        <v>11</v>
      </c>
      <c r="E2212" s="1" t="s">
        <v>25</v>
      </c>
      <c r="F2212" s="1">
        <f t="shared" si="76"/>
        <v>770</v>
      </c>
      <c r="G2212" s="12">
        <f t="shared" si="77"/>
        <v>105.84415584415584</v>
      </c>
    </row>
    <row r="2213" spans="1:7" ht="13">
      <c r="A2213" s="4" t="s">
        <v>119</v>
      </c>
      <c r="B2213" s="1">
        <v>5.74</v>
      </c>
      <c r="C2213" s="1">
        <v>644</v>
      </c>
      <c r="D2213" s="1" t="s">
        <v>11</v>
      </c>
      <c r="E2213" s="1" t="s">
        <v>21</v>
      </c>
      <c r="F2213" s="1">
        <f t="shared" si="76"/>
        <v>574</v>
      </c>
      <c r="G2213" s="12">
        <f t="shared" si="77"/>
        <v>112.19512195121951</v>
      </c>
    </row>
    <row r="2214" spans="1:7" ht="13">
      <c r="A2214" s="4" t="s">
        <v>119</v>
      </c>
      <c r="B2214" s="1">
        <v>7.4</v>
      </c>
      <c r="C2214" s="1">
        <v>794</v>
      </c>
      <c r="D2214" s="1" t="s">
        <v>33</v>
      </c>
      <c r="E2214" s="1" t="s">
        <v>23</v>
      </c>
      <c r="F2214" s="1">
        <f t="shared" si="76"/>
        <v>740</v>
      </c>
      <c r="G2214" s="12">
        <f t="shared" si="77"/>
        <v>107.29729729729729</v>
      </c>
    </row>
    <row r="2215" spans="1:7" ht="13">
      <c r="A2215" s="4" t="s">
        <v>119</v>
      </c>
      <c r="B2215" s="1">
        <v>7.5</v>
      </c>
      <c r="C2215" s="1">
        <v>647.97</v>
      </c>
      <c r="D2215" s="1" t="s">
        <v>40</v>
      </c>
      <c r="E2215" s="1" t="s">
        <v>16</v>
      </c>
      <c r="F2215" s="1">
        <f t="shared" si="76"/>
        <v>750</v>
      </c>
      <c r="G2215" s="12">
        <f t="shared" si="77"/>
        <v>86.396000000000001</v>
      </c>
    </row>
    <row r="2216" spans="1:7" ht="13">
      <c r="A2216" s="4" t="s">
        <v>119</v>
      </c>
      <c r="B2216" s="1">
        <v>7.56</v>
      </c>
      <c r="C2216" s="1">
        <v>689</v>
      </c>
      <c r="D2216" s="1" t="s">
        <v>33</v>
      </c>
      <c r="E2216" s="1" t="s">
        <v>31</v>
      </c>
      <c r="F2216" s="1">
        <f t="shared" si="76"/>
        <v>756</v>
      </c>
      <c r="G2216" s="12">
        <f t="shared" si="77"/>
        <v>91.137566137566139</v>
      </c>
    </row>
    <row r="2217" spans="1:7" ht="13">
      <c r="A2217" s="4" t="s">
        <v>119</v>
      </c>
      <c r="B2217" s="1">
        <v>4.3499999999999996</v>
      </c>
      <c r="C2217" s="1">
        <v>477</v>
      </c>
      <c r="D2217" s="1" t="s">
        <v>11</v>
      </c>
      <c r="E2217" s="1" t="s">
        <v>8</v>
      </c>
      <c r="F2217" s="1">
        <f t="shared" si="76"/>
        <v>434.99999999999994</v>
      </c>
      <c r="G2217" s="12">
        <f t="shared" si="77"/>
        <v>109.65517241379311</v>
      </c>
    </row>
    <row r="2218" spans="1:7" ht="13">
      <c r="A2218" s="4" t="s">
        <v>119</v>
      </c>
      <c r="B2218" s="1">
        <v>7.5</v>
      </c>
      <c r="C2218" s="1">
        <v>734</v>
      </c>
      <c r="D2218" s="1" t="s">
        <v>43</v>
      </c>
      <c r="E2218" s="1" t="s">
        <v>16</v>
      </c>
      <c r="F2218" s="1">
        <f t="shared" si="76"/>
        <v>750</v>
      </c>
      <c r="G2218" s="12">
        <f t="shared" si="77"/>
        <v>97.86666666666666</v>
      </c>
    </row>
    <row r="2219" spans="1:7" ht="13">
      <c r="A2219" s="4" t="s">
        <v>119</v>
      </c>
      <c r="B2219" s="1">
        <v>5.8</v>
      </c>
      <c r="C2219" s="1">
        <v>6.12</v>
      </c>
      <c r="D2219" s="1" t="s">
        <v>43</v>
      </c>
      <c r="E2219" s="1" t="s">
        <v>10</v>
      </c>
      <c r="F2219" s="1">
        <f t="shared" si="76"/>
        <v>580</v>
      </c>
      <c r="G2219" s="12">
        <f t="shared" si="77"/>
        <v>1.0551724137931036</v>
      </c>
    </row>
    <row r="2220" spans="1:7" ht="13">
      <c r="A2220" s="4" t="s">
        <v>119</v>
      </c>
      <c r="B2220" s="1">
        <v>5</v>
      </c>
      <c r="C2220" s="1">
        <v>553</v>
      </c>
      <c r="D2220" s="1" t="s">
        <v>43</v>
      </c>
      <c r="E2220" s="1" t="s">
        <v>22</v>
      </c>
      <c r="F2220" s="1">
        <f t="shared" si="76"/>
        <v>500</v>
      </c>
      <c r="G2220" s="12">
        <f t="shared" si="77"/>
        <v>110.6</v>
      </c>
    </row>
    <row r="2221" spans="1:7" ht="13">
      <c r="A2221" s="4" t="s">
        <v>119</v>
      </c>
      <c r="B2221" s="1">
        <v>9.67</v>
      </c>
      <c r="C2221" s="1">
        <v>949</v>
      </c>
      <c r="D2221" s="1" t="s">
        <v>11</v>
      </c>
      <c r="E2221" s="1" t="s">
        <v>10</v>
      </c>
      <c r="F2221" s="1">
        <f t="shared" si="76"/>
        <v>967</v>
      </c>
      <c r="G2221" s="12">
        <f t="shared" si="77"/>
        <v>98.13857290589452</v>
      </c>
    </row>
    <row r="2222" spans="1:7" ht="13">
      <c r="A2222" s="4" t="s">
        <v>119</v>
      </c>
      <c r="B2222" s="1">
        <v>8.6999999999999993</v>
      </c>
      <c r="C2222" s="1">
        <v>949</v>
      </c>
      <c r="D2222" s="1" t="s">
        <v>11</v>
      </c>
      <c r="E2222" s="1" t="s">
        <v>24</v>
      </c>
      <c r="F2222" s="1">
        <f t="shared" si="76"/>
        <v>869.99999999999989</v>
      </c>
      <c r="G2222" s="12">
        <f t="shared" si="77"/>
        <v>109.08045977011496</v>
      </c>
    </row>
    <row r="2223" spans="1:7" ht="13">
      <c r="A2223" s="4" t="s">
        <v>119</v>
      </c>
      <c r="B2223" s="1">
        <v>6.96</v>
      </c>
      <c r="C2223" s="1">
        <v>636</v>
      </c>
      <c r="D2223" s="1" t="s">
        <v>33</v>
      </c>
      <c r="E2223" s="1" t="s">
        <v>9</v>
      </c>
      <c r="F2223" s="1">
        <f t="shared" si="76"/>
        <v>696</v>
      </c>
      <c r="G2223" s="12">
        <f t="shared" si="77"/>
        <v>91.379310344827587</v>
      </c>
    </row>
    <row r="2224" spans="1:7" ht="13">
      <c r="A2224" s="4" t="s">
        <v>119</v>
      </c>
      <c r="B2224" s="1">
        <v>5</v>
      </c>
      <c r="C2224" s="1">
        <v>503</v>
      </c>
      <c r="D2224" s="1" t="s">
        <v>50</v>
      </c>
      <c r="E2224" s="1" t="s">
        <v>15</v>
      </c>
      <c r="F2224" s="1">
        <f t="shared" si="76"/>
        <v>500</v>
      </c>
      <c r="G2224" s="12">
        <f t="shared" si="77"/>
        <v>100.6</v>
      </c>
    </row>
    <row r="2225" spans="1:7" ht="13">
      <c r="A2225" s="4" t="s">
        <v>119</v>
      </c>
      <c r="B2225" s="1">
        <v>5.6</v>
      </c>
      <c r="C2225" s="1">
        <v>485</v>
      </c>
      <c r="D2225" s="1" t="s">
        <v>102</v>
      </c>
      <c r="E2225" s="1" t="s">
        <v>26</v>
      </c>
      <c r="F2225" s="1">
        <f t="shared" si="76"/>
        <v>560</v>
      </c>
      <c r="G2225" s="12">
        <f t="shared" si="77"/>
        <v>86.607142857142861</v>
      </c>
    </row>
    <row r="2226" spans="1:7" ht="13">
      <c r="A2226" s="4" t="s">
        <v>119</v>
      </c>
      <c r="B2226" s="1">
        <v>7.5</v>
      </c>
      <c r="C2226" s="1">
        <v>745</v>
      </c>
      <c r="D2226" s="1" t="s">
        <v>43</v>
      </c>
      <c r="E2226" s="1" t="s">
        <v>24</v>
      </c>
      <c r="F2226" s="1">
        <f t="shared" si="76"/>
        <v>750</v>
      </c>
      <c r="G2226" s="12">
        <f t="shared" si="77"/>
        <v>99.333333333333329</v>
      </c>
    </row>
    <row r="2227" spans="1:7" ht="13">
      <c r="A2227" s="4" t="s">
        <v>119</v>
      </c>
      <c r="B2227" s="1">
        <v>7.5</v>
      </c>
      <c r="C2227" s="1">
        <v>694</v>
      </c>
      <c r="D2227" s="1" t="s">
        <v>11</v>
      </c>
      <c r="E2227" s="1" t="s">
        <v>16</v>
      </c>
      <c r="F2227" s="1">
        <f t="shared" si="76"/>
        <v>750</v>
      </c>
      <c r="G2227" s="12">
        <f t="shared" si="77"/>
        <v>92.533333333333331</v>
      </c>
    </row>
    <row r="2228" spans="1:7" ht="13">
      <c r="A2228" s="4" t="s">
        <v>119</v>
      </c>
      <c r="B2228" s="1">
        <v>200</v>
      </c>
      <c r="C2228" s="1">
        <v>18912</v>
      </c>
      <c r="D2228" s="1" t="s">
        <v>33</v>
      </c>
      <c r="E2228" s="1" t="s">
        <v>9</v>
      </c>
      <c r="F2228" s="1">
        <f t="shared" si="76"/>
        <v>20000</v>
      </c>
      <c r="G2228" s="12">
        <f t="shared" si="77"/>
        <v>94.56</v>
      </c>
    </row>
    <row r="2229" spans="1:7" ht="13">
      <c r="A2229" s="4" t="s">
        <v>119</v>
      </c>
      <c r="B2229" s="1">
        <v>6.09</v>
      </c>
      <c r="C2229" s="1">
        <v>619</v>
      </c>
      <c r="D2229" s="1" t="s">
        <v>42</v>
      </c>
      <c r="E2229" s="1" t="s">
        <v>8</v>
      </c>
      <c r="F2229" s="1">
        <f t="shared" si="76"/>
        <v>609</v>
      </c>
      <c r="G2229" s="12">
        <f t="shared" si="77"/>
        <v>101.64203612479474</v>
      </c>
    </row>
    <row r="2230" spans="1:7" ht="13">
      <c r="A2230" s="4" t="s">
        <v>119</v>
      </c>
      <c r="B2230" s="1">
        <v>3.44</v>
      </c>
      <c r="C2230" s="1">
        <v>412</v>
      </c>
      <c r="D2230" s="1" t="s">
        <v>43</v>
      </c>
      <c r="E2230" s="1" t="s">
        <v>8</v>
      </c>
      <c r="F2230" s="1">
        <f t="shared" si="76"/>
        <v>344</v>
      </c>
      <c r="G2230" s="12">
        <f t="shared" si="77"/>
        <v>119.76744186046511</v>
      </c>
    </row>
    <row r="2231" spans="1:7" ht="13">
      <c r="A2231" s="4" t="s">
        <v>119</v>
      </c>
      <c r="B2231" s="1">
        <v>6.76</v>
      </c>
      <c r="C2231" s="1">
        <v>836</v>
      </c>
      <c r="D2231" s="1" t="s">
        <v>11</v>
      </c>
      <c r="E2231" s="1" t="s">
        <v>8</v>
      </c>
      <c r="F2231" s="1">
        <f t="shared" si="76"/>
        <v>676</v>
      </c>
      <c r="G2231" s="12">
        <f t="shared" si="77"/>
        <v>123.66863905325444</v>
      </c>
    </row>
    <row r="2232" spans="1:7" ht="13">
      <c r="A2232" s="4" t="s">
        <v>119</v>
      </c>
      <c r="B2232" s="1">
        <v>5.04</v>
      </c>
      <c r="C2232" s="1">
        <v>484</v>
      </c>
      <c r="D2232" s="1" t="s">
        <v>11</v>
      </c>
      <c r="E2232" s="1" t="s">
        <v>15</v>
      </c>
      <c r="F2232" s="1">
        <f t="shared" si="76"/>
        <v>504</v>
      </c>
      <c r="G2232" s="12">
        <f t="shared" si="77"/>
        <v>96.031746031746025</v>
      </c>
    </row>
    <row r="2233" spans="1:7" ht="13">
      <c r="A2233" s="4" t="s">
        <v>119</v>
      </c>
      <c r="B2233" s="1">
        <v>6.88</v>
      </c>
      <c r="C2233" s="1">
        <v>672</v>
      </c>
      <c r="D2233" s="1" t="s">
        <v>33</v>
      </c>
      <c r="E2233" s="1" t="s">
        <v>8</v>
      </c>
      <c r="F2233" s="1">
        <f t="shared" si="76"/>
        <v>688</v>
      </c>
      <c r="G2233" s="12">
        <f t="shared" si="77"/>
        <v>97.674418604651166</v>
      </c>
    </row>
    <row r="2234" spans="1:7" ht="13">
      <c r="A2234" s="4" t="s">
        <v>119</v>
      </c>
      <c r="B2234" s="1">
        <v>8.6</v>
      </c>
      <c r="C2234" s="1">
        <v>1001</v>
      </c>
      <c r="D2234" s="1" t="s">
        <v>42</v>
      </c>
      <c r="E2234" s="1" t="s">
        <v>8</v>
      </c>
      <c r="F2234" s="1">
        <f t="shared" si="76"/>
        <v>860</v>
      </c>
      <c r="G2234" s="12">
        <f t="shared" si="77"/>
        <v>116.39534883720931</v>
      </c>
    </row>
    <row r="2235" spans="1:7" ht="13">
      <c r="A2235" s="4" t="s">
        <v>119</v>
      </c>
      <c r="B2235" s="1">
        <v>7.5</v>
      </c>
      <c r="C2235" s="1">
        <v>860</v>
      </c>
      <c r="D2235" s="1" t="s">
        <v>47</v>
      </c>
      <c r="E2235" s="1" t="s">
        <v>21</v>
      </c>
      <c r="F2235" s="1">
        <f t="shared" si="76"/>
        <v>750</v>
      </c>
      <c r="G2235" s="12">
        <f t="shared" si="77"/>
        <v>114.66666666666667</v>
      </c>
    </row>
    <row r="2236" spans="1:7" ht="13">
      <c r="A2236" s="4" t="s">
        <v>119</v>
      </c>
      <c r="B2236" s="1">
        <v>3.48</v>
      </c>
      <c r="C2236" s="1">
        <v>376</v>
      </c>
      <c r="D2236" s="1" t="s">
        <v>39</v>
      </c>
      <c r="E2236" s="1" t="s">
        <v>15</v>
      </c>
      <c r="F2236" s="1">
        <f t="shared" si="76"/>
        <v>348</v>
      </c>
      <c r="G2236" s="12">
        <f t="shared" si="77"/>
        <v>108.04597701149426</v>
      </c>
    </row>
    <row r="2237" spans="1:7" ht="13">
      <c r="A2237" s="4" t="s">
        <v>119</v>
      </c>
      <c r="B2237" s="1">
        <v>8.6999999999999993</v>
      </c>
      <c r="C2237" s="1">
        <v>793</v>
      </c>
      <c r="D2237" s="1" t="s">
        <v>33</v>
      </c>
      <c r="E2237" s="1" t="s">
        <v>14</v>
      </c>
      <c r="F2237" s="1">
        <f t="shared" si="76"/>
        <v>869.99999999999989</v>
      </c>
      <c r="G2237" s="12">
        <f t="shared" si="77"/>
        <v>91.149425287356323</v>
      </c>
    </row>
    <row r="2238" spans="1:7" ht="13">
      <c r="A2238" s="4" t="s">
        <v>119</v>
      </c>
      <c r="B2238" s="1">
        <v>12</v>
      </c>
      <c r="C2238" s="1">
        <v>1120</v>
      </c>
      <c r="D2238" s="1" t="s">
        <v>39</v>
      </c>
      <c r="E2238" s="1" t="s">
        <v>41</v>
      </c>
      <c r="F2238" s="1">
        <f t="shared" si="76"/>
        <v>1200</v>
      </c>
      <c r="G2238" s="12">
        <f t="shared" si="77"/>
        <v>93.333333333333329</v>
      </c>
    </row>
    <row r="2239" spans="1:7" ht="13">
      <c r="A2239" s="4" t="s">
        <v>119</v>
      </c>
      <c r="B2239" s="1">
        <v>6</v>
      </c>
      <c r="C2239" s="1">
        <v>635</v>
      </c>
      <c r="D2239" s="1" t="s">
        <v>33</v>
      </c>
      <c r="E2239" s="1" t="s">
        <v>8</v>
      </c>
      <c r="F2239" s="1">
        <f t="shared" si="76"/>
        <v>600</v>
      </c>
      <c r="G2239" s="12">
        <f t="shared" si="77"/>
        <v>105.83333333333333</v>
      </c>
    </row>
    <row r="2240" spans="1:7" ht="13">
      <c r="A2240" s="4" t="s">
        <v>119</v>
      </c>
      <c r="B2240" s="1">
        <v>7.6</v>
      </c>
      <c r="C2240" s="1">
        <v>948</v>
      </c>
      <c r="D2240" s="1" t="s">
        <v>34</v>
      </c>
      <c r="E2240" s="1" t="s">
        <v>10</v>
      </c>
      <c r="F2240" s="1">
        <f t="shared" si="76"/>
        <v>760</v>
      </c>
      <c r="G2240" s="12">
        <f t="shared" si="77"/>
        <v>124.73684210526316</v>
      </c>
    </row>
    <row r="2241" spans="1:7" ht="13">
      <c r="A2241" s="4" t="s">
        <v>119</v>
      </c>
      <c r="B2241" s="1">
        <v>12</v>
      </c>
      <c r="C2241" s="1">
        <v>2250</v>
      </c>
      <c r="D2241" s="1" t="s">
        <v>11</v>
      </c>
      <c r="E2241" s="1" t="s">
        <v>12</v>
      </c>
      <c r="F2241" s="1">
        <f t="shared" si="76"/>
        <v>1200</v>
      </c>
      <c r="G2241" s="12">
        <f t="shared" si="77"/>
        <v>187.5</v>
      </c>
    </row>
    <row r="2242" spans="1:7" ht="13">
      <c r="A2242" s="4" t="s">
        <v>119</v>
      </c>
      <c r="B2242" s="1">
        <v>3.9</v>
      </c>
      <c r="C2242" s="1">
        <v>429</v>
      </c>
      <c r="D2242" s="1" t="s">
        <v>11</v>
      </c>
      <c r="E2242" s="1" t="s">
        <v>15</v>
      </c>
      <c r="F2242" s="1">
        <f t="shared" si="76"/>
        <v>390</v>
      </c>
      <c r="G2242" s="12">
        <f t="shared" si="77"/>
        <v>110</v>
      </c>
    </row>
    <row r="2243" spans="1:7" ht="13">
      <c r="A2243" s="4" t="s">
        <v>119</v>
      </c>
      <c r="B2243" s="1">
        <v>4.3</v>
      </c>
      <c r="C2243" s="1">
        <v>368</v>
      </c>
      <c r="D2243" s="1" t="s">
        <v>33</v>
      </c>
      <c r="E2243" s="1" t="s">
        <v>30</v>
      </c>
      <c r="F2243" s="1">
        <f t="shared" ref="F2243:F2306" si="78">B2243*100</f>
        <v>430</v>
      </c>
      <c r="G2243" s="12">
        <f t="shared" ref="G2243:G2306" si="79">C2243/B2243</f>
        <v>85.581395348837219</v>
      </c>
    </row>
    <row r="2244" spans="1:7" ht="13">
      <c r="A2244" s="4" t="s">
        <v>119</v>
      </c>
      <c r="B2244" s="1">
        <v>5.6</v>
      </c>
      <c r="C2244" s="1">
        <v>590</v>
      </c>
      <c r="D2244" s="1" t="s">
        <v>33</v>
      </c>
      <c r="E2244" s="1" t="s">
        <v>29</v>
      </c>
      <c r="F2244" s="1">
        <f t="shared" si="78"/>
        <v>560</v>
      </c>
      <c r="G2244" s="12">
        <f t="shared" si="79"/>
        <v>105.35714285714286</v>
      </c>
    </row>
    <row r="2245" spans="1:7" ht="13">
      <c r="A2245" s="4" t="s">
        <v>119</v>
      </c>
      <c r="B2245" s="1">
        <v>5.7</v>
      </c>
      <c r="C2245" s="1">
        <v>550</v>
      </c>
      <c r="D2245" s="1" t="s">
        <v>47</v>
      </c>
      <c r="E2245" s="1" t="s">
        <v>8</v>
      </c>
      <c r="F2245" s="1">
        <f t="shared" si="78"/>
        <v>570</v>
      </c>
      <c r="G2245" s="12">
        <f t="shared" si="79"/>
        <v>96.491228070175438</v>
      </c>
    </row>
    <row r="2246" spans="1:7" ht="13">
      <c r="A2246" s="4" t="s">
        <v>119</v>
      </c>
      <c r="B2246" s="1">
        <v>5.22</v>
      </c>
      <c r="C2246" s="1">
        <v>657</v>
      </c>
      <c r="D2246" s="1" t="s">
        <v>39</v>
      </c>
      <c r="E2246" s="1" t="s">
        <v>9</v>
      </c>
      <c r="F2246" s="1">
        <f t="shared" si="78"/>
        <v>522</v>
      </c>
      <c r="G2246" s="12">
        <f t="shared" si="79"/>
        <v>125.86206896551725</v>
      </c>
    </row>
    <row r="2247" spans="1:7" ht="13">
      <c r="A2247" s="4" t="s">
        <v>119</v>
      </c>
      <c r="B2247" s="1">
        <v>4.2</v>
      </c>
      <c r="C2247" s="1">
        <v>409</v>
      </c>
      <c r="D2247" s="1" t="s">
        <v>33</v>
      </c>
      <c r="E2247" s="1" t="s">
        <v>17</v>
      </c>
      <c r="F2247" s="1">
        <f t="shared" si="78"/>
        <v>420</v>
      </c>
      <c r="G2247" s="12">
        <f t="shared" si="79"/>
        <v>97.38095238095238</v>
      </c>
    </row>
    <row r="2248" spans="1:7" ht="13">
      <c r="A2248" s="4" t="s">
        <v>119</v>
      </c>
      <c r="B2248" s="1">
        <v>7.8</v>
      </c>
      <c r="C2248" s="1">
        <v>804</v>
      </c>
      <c r="D2248" s="1" t="s">
        <v>39</v>
      </c>
      <c r="E2248" s="1" t="s">
        <v>9</v>
      </c>
      <c r="F2248" s="1">
        <f t="shared" si="78"/>
        <v>780</v>
      </c>
      <c r="G2248" s="12">
        <f t="shared" si="79"/>
        <v>103.07692307692308</v>
      </c>
    </row>
    <row r="2249" spans="1:7" ht="13">
      <c r="A2249" s="4" t="s">
        <v>119</v>
      </c>
      <c r="B2249" s="1">
        <v>6</v>
      </c>
      <c r="C2249" s="1">
        <v>599</v>
      </c>
      <c r="D2249" s="1" t="s">
        <v>11</v>
      </c>
      <c r="E2249" s="1" t="s">
        <v>19</v>
      </c>
      <c r="F2249" s="1">
        <f t="shared" si="78"/>
        <v>600</v>
      </c>
      <c r="G2249" s="12">
        <f t="shared" si="79"/>
        <v>99.833333333333329</v>
      </c>
    </row>
    <row r="2250" spans="1:7" ht="13">
      <c r="A2250" s="4" t="s">
        <v>119</v>
      </c>
      <c r="B2250" s="1">
        <v>9.1999999999999993</v>
      </c>
      <c r="C2250" s="1">
        <v>822</v>
      </c>
      <c r="D2250" s="1" t="s">
        <v>37</v>
      </c>
      <c r="E2250" s="1" t="s">
        <v>18</v>
      </c>
      <c r="F2250" s="1">
        <f t="shared" si="78"/>
        <v>919.99999999999989</v>
      </c>
      <c r="G2250" s="12">
        <f t="shared" si="79"/>
        <v>89.34782608695653</v>
      </c>
    </row>
    <row r="2251" spans="1:7" ht="13">
      <c r="A2251" s="4" t="s">
        <v>119</v>
      </c>
      <c r="B2251" s="1">
        <v>4.3499999999999996</v>
      </c>
      <c r="C2251" s="1">
        <v>588</v>
      </c>
      <c r="D2251" s="1" t="s">
        <v>39</v>
      </c>
      <c r="E2251" s="1" t="s">
        <v>30</v>
      </c>
      <c r="F2251" s="1">
        <f t="shared" si="78"/>
        <v>434.99999999999994</v>
      </c>
      <c r="G2251" s="12">
        <f t="shared" si="79"/>
        <v>135.17241379310346</v>
      </c>
    </row>
    <row r="2252" spans="1:7" ht="13">
      <c r="A2252" s="4" t="s">
        <v>119</v>
      </c>
      <c r="B2252" s="1">
        <v>8.6999999999999993</v>
      </c>
      <c r="C2252" s="1">
        <v>848</v>
      </c>
      <c r="D2252" s="1" t="s">
        <v>33</v>
      </c>
      <c r="E2252" s="1" t="s">
        <v>26</v>
      </c>
      <c r="F2252" s="1">
        <f t="shared" si="78"/>
        <v>869.99999999999989</v>
      </c>
      <c r="G2252" s="12">
        <f t="shared" si="79"/>
        <v>97.471264367816104</v>
      </c>
    </row>
    <row r="2253" spans="1:7" ht="13">
      <c r="A2253" s="4" t="s">
        <v>119</v>
      </c>
      <c r="B2253" s="1">
        <v>7.3</v>
      </c>
      <c r="C2253" s="1">
        <v>711</v>
      </c>
      <c r="D2253" s="1" t="s">
        <v>33</v>
      </c>
      <c r="E2253" s="1" t="s">
        <v>16</v>
      </c>
      <c r="F2253" s="1">
        <f t="shared" si="78"/>
        <v>730</v>
      </c>
      <c r="G2253" s="12">
        <f t="shared" si="79"/>
        <v>97.397260273972606</v>
      </c>
    </row>
    <row r="2254" spans="1:7" ht="13">
      <c r="A2254" s="4" t="s">
        <v>119</v>
      </c>
      <c r="B2254" s="1">
        <v>5.12</v>
      </c>
      <c r="C2254" s="1">
        <v>577</v>
      </c>
      <c r="D2254" s="1" t="s">
        <v>39</v>
      </c>
      <c r="E2254" s="1" t="s">
        <v>15</v>
      </c>
      <c r="F2254" s="1">
        <f t="shared" si="78"/>
        <v>512</v>
      </c>
      <c r="G2254" s="12">
        <f t="shared" si="79"/>
        <v>112.6953125</v>
      </c>
    </row>
    <row r="2255" spans="1:7" ht="13">
      <c r="A2255" s="4" t="s">
        <v>119</v>
      </c>
      <c r="B2255" s="1">
        <v>4.4000000000000004</v>
      </c>
      <c r="C2255" s="1">
        <v>5.5</v>
      </c>
      <c r="D2255" s="1" t="s">
        <v>11</v>
      </c>
      <c r="E2255" s="1" t="s">
        <v>15</v>
      </c>
      <c r="F2255" s="1">
        <f t="shared" si="78"/>
        <v>440.00000000000006</v>
      </c>
      <c r="G2255" s="12">
        <f t="shared" si="79"/>
        <v>1.25</v>
      </c>
    </row>
    <row r="2256" spans="1:7" ht="13">
      <c r="A2256" s="4" t="s">
        <v>119</v>
      </c>
      <c r="B2256" s="1">
        <v>6.09</v>
      </c>
      <c r="C2256" s="1">
        <v>637</v>
      </c>
      <c r="D2256" s="1" t="s">
        <v>37</v>
      </c>
      <c r="E2256" s="1" t="s">
        <v>15</v>
      </c>
      <c r="F2256" s="1">
        <f t="shared" si="78"/>
        <v>609</v>
      </c>
      <c r="G2256" s="12">
        <f t="shared" si="79"/>
        <v>104.59770114942529</v>
      </c>
    </row>
    <row r="2257" spans="1:7" ht="13">
      <c r="A2257" s="4" t="s">
        <v>119</v>
      </c>
      <c r="B2257" s="1">
        <v>8.1</v>
      </c>
      <c r="C2257" s="1">
        <v>954</v>
      </c>
      <c r="D2257" s="1" t="s">
        <v>42</v>
      </c>
      <c r="E2257" s="1" t="s">
        <v>10</v>
      </c>
      <c r="F2257" s="1">
        <f t="shared" si="78"/>
        <v>810</v>
      </c>
      <c r="G2257" s="12">
        <f t="shared" si="79"/>
        <v>117.77777777777779</v>
      </c>
    </row>
    <row r="2258" spans="1:7" ht="13">
      <c r="A2258" s="4" t="s">
        <v>119</v>
      </c>
      <c r="B2258" s="1">
        <v>4.8</v>
      </c>
      <c r="C2258" s="1">
        <v>613</v>
      </c>
      <c r="D2258" s="1" t="s">
        <v>11</v>
      </c>
      <c r="E2258" s="1" t="s">
        <v>15</v>
      </c>
      <c r="F2258" s="1">
        <f t="shared" si="78"/>
        <v>480</v>
      </c>
      <c r="G2258" s="12">
        <f t="shared" si="79"/>
        <v>127.70833333333334</v>
      </c>
    </row>
    <row r="2259" spans="1:7" ht="13">
      <c r="A2259" s="4" t="s">
        <v>119</v>
      </c>
      <c r="B2259" s="1">
        <v>6.4</v>
      </c>
      <c r="C2259" s="1">
        <v>694</v>
      </c>
      <c r="D2259" s="1" t="s">
        <v>11</v>
      </c>
      <c r="E2259" s="1" t="s">
        <v>32</v>
      </c>
      <c r="F2259" s="1">
        <f t="shared" si="78"/>
        <v>640</v>
      </c>
      <c r="G2259" s="12">
        <f t="shared" si="79"/>
        <v>108.4375</v>
      </c>
    </row>
    <row r="2260" spans="1:7" ht="13">
      <c r="A2260" s="4" t="s">
        <v>119</v>
      </c>
      <c r="B2260" s="1">
        <v>7.74</v>
      </c>
      <c r="C2260" s="1">
        <v>725</v>
      </c>
      <c r="D2260" s="1" t="s">
        <v>33</v>
      </c>
      <c r="E2260" s="1" t="s">
        <v>15</v>
      </c>
      <c r="F2260" s="1">
        <f t="shared" si="78"/>
        <v>774</v>
      </c>
      <c r="G2260" s="12">
        <f t="shared" si="79"/>
        <v>93.669250645994836</v>
      </c>
    </row>
    <row r="2261" spans="1:7" ht="13">
      <c r="A2261" s="4" t="s">
        <v>119</v>
      </c>
      <c r="B2261" s="1">
        <v>8.5</v>
      </c>
      <c r="C2261" s="1">
        <v>693</v>
      </c>
      <c r="D2261" s="1" t="s">
        <v>33</v>
      </c>
      <c r="E2261" s="1" t="s">
        <v>46</v>
      </c>
      <c r="F2261" s="1">
        <f t="shared" si="78"/>
        <v>850</v>
      </c>
      <c r="G2261" s="12">
        <f t="shared" si="79"/>
        <v>81.529411764705884</v>
      </c>
    </row>
    <row r="2262" spans="1:7" ht="13">
      <c r="A2262" s="4" t="s">
        <v>119</v>
      </c>
      <c r="B2262" s="1">
        <v>7.1</v>
      </c>
      <c r="C2262" s="1">
        <v>722</v>
      </c>
      <c r="D2262" s="1" t="s">
        <v>104</v>
      </c>
      <c r="E2262" s="1" t="s">
        <v>26</v>
      </c>
      <c r="F2262" s="1">
        <f t="shared" si="78"/>
        <v>710</v>
      </c>
      <c r="G2262" s="12">
        <f t="shared" si="79"/>
        <v>101.69014084507043</v>
      </c>
    </row>
    <row r="2263" spans="1:7" ht="13">
      <c r="A2263" s="4" t="s">
        <v>119</v>
      </c>
      <c r="B2263" s="1">
        <v>9.5</v>
      </c>
      <c r="C2263" s="1">
        <v>925</v>
      </c>
      <c r="D2263" s="1" t="s">
        <v>11</v>
      </c>
      <c r="E2263" s="1" t="s">
        <v>14</v>
      </c>
      <c r="F2263" s="1">
        <f t="shared" si="78"/>
        <v>950</v>
      </c>
      <c r="G2263" s="12">
        <f t="shared" si="79"/>
        <v>97.368421052631575</v>
      </c>
    </row>
    <row r="2264" spans="1:7" ht="13">
      <c r="A2264" s="4" t="s">
        <v>119</v>
      </c>
      <c r="B2264" s="1">
        <v>7.74</v>
      </c>
      <c r="C2264" s="1">
        <v>724</v>
      </c>
      <c r="D2264" s="1" t="s">
        <v>77</v>
      </c>
      <c r="E2264" s="1" t="s">
        <v>8</v>
      </c>
      <c r="F2264" s="1">
        <f t="shared" si="78"/>
        <v>774</v>
      </c>
      <c r="G2264" s="12">
        <f t="shared" si="79"/>
        <v>93.540051679586554</v>
      </c>
    </row>
    <row r="2265" spans="1:7" ht="13">
      <c r="A2265" s="4" t="s">
        <v>119</v>
      </c>
      <c r="B2265" s="1">
        <v>6.1</v>
      </c>
      <c r="C2265" s="1">
        <v>783</v>
      </c>
      <c r="D2265" s="1" t="s">
        <v>11</v>
      </c>
      <c r="E2265" s="1" t="s">
        <v>15</v>
      </c>
      <c r="F2265" s="1">
        <f t="shared" si="78"/>
        <v>610</v>
      </c>
      <c r="G2265" s="12">
        <f t="shared" si="79"/>
        <v>128.36065573770492</v>
      </c>
    </row>
    <row r="2266" spans="1:7" ht="13">
      <c r="A2266" s="4" t="s">
        <v>119</v>
      </c>
      <c r="B2266" s="1">
        <v>7.2</v>
      </c>
      <c r="C2266" s="1">
        <v>689.57</v>
      </c>
      <c r="D2266" s="1" t="s">
        <v>33</v>
      </c>
      <c r="E2266" s="1" t="s">
        <v>25</v>
      </c>
      <c r="F2266" s="1">
        <f t="shared" si="78"/>
        <v>720</v>
      </c>
      <c r="G2266" s="12">
        <f t="shared" si="79"/>
        <v>95.773611111111123</v>
      </c>
    </row>
    <row r="2267" spans="1:7" ht="13">
      <c r="A2267" s="4" t="s">
        <v>119</v>
      </c>
      <c r="B2267" s="1">
        <v>9.6</v>
      </c>
      <c r="C2267" s="1">
        <v>583</v>
      </c>
      <c r="D2267" s="1" t="s">
        <v>50</v>
      </c>
      <c r="E2267" s="1" t="s">
        <v>8</v>
      </c>
      <c r="F2267" s="1">
        <f t="shared" si="78"/>
        <v>960</v>
      </c>
      <c r="G2267" s="12">
        <f t="shared" si="79"/>
        <v>60.729166666666671</v>
      </c>
    </row>
    <row r="2268" spans="1:7" ht="13">
      <c r="A2268" s="4" t="s">
        <v>119</v>
      </c>
      <c r="B2268" s="1">
        <v>6.96</v>
      </c>
      <c r="C2268" s="1">
        <v>735</v>
      </c>
      <c r="D2268" s="1" t="s">
        <v>11</v>
      </c>
      <c r="E2268" s="1" t="s">
        <v>31</v>
      </c>
      <c r="F2268" s="1">
        <f t="shared" si="78"/>
        <v>696</v>
      </c>
      <c r="G2268" s="12">
        <f t="shared" si="79"/>
        <v>105.60344827586206</v>
      </c>
    </row>
    <row r="2269" spans="1:7" ht="13">
      <c r="A2269" s="4" t="s">
        <v>119</v>
      </c>
      <c r="B2269" s="1">
        <v>6.96</v>
      </c>
      <c r="C2269" s="1">
        <v>571</v>
      </c>
      <c r="D2269" s="1" t="s">
        <v>38</v>
      </c>
      <c r="E2269" s="1" t="s">
        <v>41</v>
      </c>
      <c r="F2269" s="1">
        <f t="shared" si="78"/>
        <v>696</v>
      </c>
      <c r="G2269" s="12">
        <f t="shared" si="79"/>
        <v>82.040229885057471</v>
      </c>
    </row>
    <row r="2270" spans="1:7" ht="13">
      <c r="A2270" s="4" t="s">
        <v>119</v>
      </c>
      <c r="B2270" s="1">
        <v>4.9800000000000004</v>
      </c>
      <c r="C2270" s="1">
        <v>536</v>
      </c>
      <c r="D2270" s="1" t="s">
        <v>11</v>
      </c>
      <c r="E2270" s="1" t="s">
        <v>23</v>
      </c>
      <c r="F2270" s="1">
        <f t="shared" si="78"/>
        <v>498.00000000000006</v>
      </c>
      <c r="G2270" s="12">
        <f t="shared" si="79"/>
        <v>107.6305220883534</v>
      </c>
    </row>
    <row r="2271" spans="1:7" ht="13">
      <c r="A2271" s="4" t="s">
        <v>119</v>
      </c>
      <c r="B2271" s="1">
        <v>4.2</v>
      </c>
      <c r="C2271" s="1">
        <v>23.56</v>
      </c>
      <c r="D2271" s="1" t="s">
        <v>39</v>
      </c>
      <c r="E2271" s="1" t="s">
        <v>17</v>
      </c>
      <c r="F2271" s="1">
        <f t="shared" si="78"/>
        <v>420</v>
      </c>
      <c r="G2271" s="12">
        <f t="shared" si="79"/>
        <v>5.6095238095238091</v>
      </c>
    </row>
    <row r="2272" spans="1:7" ht="13">
      <c r="A2272" s="4" t="s">
        <v>119</v>
      </c>
      <c r="B2272" s="1">
        <v>5.9</v>
      </c>
      <c r="C2272" s="1">
        <v>556</v>
      </c>
      <c r="D2272" s="1" t="s">
        <v>39</v>
      </c>
      <c r="E2272" s="1" t="s">
        <v>22</v>
      </c>
      <c r="F2272" s="1">
        <f t="shared" si="78"/>
        <v>590</v>
      </c>
      <c r="G2272" s="12">
        <f t="shared" si="79"/>
        <v>94.237288135593218</v>
      </c>
    </row>
    <row r="2273" spans="1:7" ht="13">
      <c r="A2273" s="4" t="s">
        <v>119</v>
      </c>
      <c r="B2273" s="1">
        <v>8</v>
      </c>
      <c r="C2273" s="1">
        <v>715</v>
      </c>
      <c r="D2273" s="1" t="s">
        <v>11</v>
      </c>
      <c r="E2273" s="1" t="s">
        <v>12</v>
      </c>
      <c r="F2273" s="1">
        <f t="shared" si="78"/>
        <v>800</v>
      </c>
      <c r="G2273" s="12">
        <f t="shared" si="79"/>
        <v>89.375</v>
      </c>
    </row>
    <row r="2274" spans="1:7" ht="13">
      <c r="A2274" s="4" t="s">
        <v>119</v>
      </c>
      <c r="B2274" s="1">
        <v>9.6999999999999993</v>
      </c>
      <c r="C2274" s="1">
        <v>902</v>
      </c>
      <c r="D2274" s="1" t="s">
        <v>11</v>
      </c>
      <c r="E2274" s="1" t="s">
        <v>14</v>
      </c>
      <c r="F2274" s="1">
        <f t="shared" si="78"/>
        <v>969.99999999999989</v>
      </c>
      <c r="G2274" s="12">
        <f t="shared" si="79"/>
        <v>92.989690721649495</v>
      </c>
    </row>
    <row r="2275" spans="1:7" ht="13">
      <c r="A2275" s="4" t="s">
        <v>119</v>
      </c>
      <c r="B2275" s="1">
        <v>8.6</v>
      </c>
      <c r="C2275" s="1">
        <v>860</v>
      </c>
      <c r="D2275" s="1" t="s">
        <v>11</v>
      </c>
      <c r="E2275" s="1" t="s">
        <v>68</v>
      </c>
      <c r="F2275" s="1">
        <f t="shared" si="78"/>
        <v>860</v>
      </c>
      <c r="G2275" s="12">
        <f t="shared" si="79"/>
        <v>100</v>
      </c>
    </row>
    <row r="2276" spans="1:7" ht="13">
      <c r="A2276" s="4" t="s">
        <v>119</v>
      </c>
      <c r="B2276" s="1">
        <v>5.5</v>
      </c>
      <c r="C2276" s="1">
        <v>637</v>
      </c>
      <c r="D2276" s="1" t="s">
        <v>35</v>
      </c>
      <c r="E2276" s="1" t="s">
        <v>8</v>
      </c>
      <c r="F2276" s="1">
        <f t="shared" si="78"/>
        <v>550</v>
      </c>
      <c r="G2276" s="12">
        <f t="shared" si="79"/>
        <v>115.81818181818181</v>
      </c>
    </row>
    <row r="2277" spans="1:7" ht="13">
      <c r="A2277" s="4" t="s">
        <v>119</v>
      </c>
      <c r="B2277" s="1">
        <v>5.6</v>
      </c>
      <c r="C2277" s="1">
        <v>549</v>
      </c>
      <c r="D2277" s="1" t="s">
        <v>33</v>
      </c>
      <c r="E2277" s="1" t="s">
        <v>9</v>
      </c>
      <c r="F2277" s="1">
        <f t="shared" si="78"/>
        <v>560</v>
      </c>
      <c r="G2277" s="12">
        <f t="shared" si="79"/>
        <v>98.035714285714292</v>
      </c>
    </row>
    <row r="2278" spans="1:7" ht="13">
      <c r="A2278" s="4" t="s">
        <v>119</v>
      </c>
      <c r="B2278" s="1">
        <v>5.6</v>
      </c>
      <c r="C2278" s="1">
        <v>482</v>
      </c>
      <c r="D2278" s="1" t="s">
        <v>43</v>
      </c>
      <c r="E2278" s="1" t="s">
        <v>62</v>
      </c>
      <c r="F2278" s="1">
        <f t="shared" si="78"/>
        <v>560</v>
      </c>
      <c r="G2278" s="12">
        <f t="shared" si="79"/>
        <v>86.071428571428584</v>
      </c>
    </row>
    <row r="2279" spans="1:7" ht="13">
      <c r="A2279" s="4" t="s">
        <v>119</v>
      </c>
      <c r="B2279" s="1">
        <v>5.625</v>
      </c>
      <c r="C2279" s="1">
        <v>571</v>
      </c>
      <c r="D2279" s="1" t="s">
        <v>11</v>
      </c>
      <c r="E2279" s="1" t="s">
        <v>15</v>
      </c>
      <c r="F2279" s="1">
        <f t="shared" si="78"/>
        <v>562.5</v>
      </c>
      <c r="G2279" s="12">
        <f t="shared" si="79"/>
        <v>101.51111111111111</v>
      </c>
    </row>
    <row r="2280" spans="1:7" ht="13">
      <c r="A2280" s="4" t="s">
        <v>119</v>
      </c>
      <c r="B2280" s="1">
        <v>9.57</v>
      </c>
      <c r="C2280" s="1">
        <v>815</v>
      </c>
      <c r="D2280" s="1" t="s">
        <v>35</v>
      </c>
      <c r="E2280" s="1" t="s">
        <v>18</v>
      </c>
      <c r="F2280" s="1">
        <f t="shared" si="78"/>
        <v>957</v>
      </c>
      <c r="G2280" s="12">
        <f t="shared" si="79"/>
        <v>85.161964472309293</v>
      </c>
    </row>
    <row r="2281" spans="1:7" ht="13">
      <c r="A2281" s="4" t="s">
        <v>119</v>
      </c>
      <c r="B2281" s="1">
        <v>6.45</v>
      </c>
      <c r="C2281" s="1">
        <v>620</v>
      </c>
      <c r="D2281" s="1" t="s">
        <v>42</v>
      </c>
      <c r="E2281" s="1" t="s">
        <v>18</v>
      </c>
      <c r="F2281" s="1">
        <f t="shared" si="78"/>
        <v>645</v>
      </c>
      <c r="G2281" s="12">
        <f t="shared" si="79"/>
        <v>96.124031007751938</v>
      </c>
    </row>
    <row r="2282" spans="1:7" ht="13">
      <c r="A2282" s="4" t="s">
        <v>119</v>
      </c>
      <c r="B2282" s="1">
        <v>6.96</v>
      </c>
      <c r="C2282" s="1">
        <v>729</v>
      </c>
      <c r="D2282" s="1" t="s">
        <v>33</v>
      </c>
      <c r="E2282" s="1" t="s">
        <v>8</v>
      </c>
      <c r="F2282" s="1">
        <f t="shared" si="78"/>
        <v>696</v>
      </c>
      <c r="G2282" s="12">
        <f t="shared" si="79"/>
        <v>104.74137931034483</v>
      </c>
    </row>
    <row r="2283" spans="1:7" ht="13">
      <c r="A2283" s="4" t="s">
        <v>119</v>
      </c>
      <c r="B2283" s="1">
        <v>9.6</v>
      </c>
      <c r="C2283" s="1">
        <v>952</v>
      </c>
      <c r="D2283" s="1" t="s">
        <v>33</v>
      </c>
      <c r="E2283" s="1" t="s">
        <v>26</v>
      </c>
      <c r="F2283" s="1">
        <f t="shared" si="78"/>
        <v>960</v>
      </c>
      <c r="G2283" s="12">
        <f t="shared" si="79"/>
        <v>99.166666666666671</v>
      </c>
    </row>
    <row r="2284" spans="1:7" ht="13">
      <c r="A2284" s="4" t="s">
        <v>119</v>
      </c>
      <c r="B2284" s="1">
        <v>7.83</v>
      </c>
      <c r="C2284" s="1">
        <v>804</v>
      </c>
      <c r="D2284" s="1" t="s">
        <v>38</v>
      </c>
      <c r="E2284" s="1" t="s">
        <v>8</v>
      </c>
      <c r="F2284" s="1">
        <f t="shared" si="78"/>
        <v>783</v>
      </c>
      <c r="G2284" s="12">
        <f t="shared" si="79"/>
        <v>102.68199233716474</v>
      </c>
    </row>
    <row r="2285" spans="1:7" ht="13">
      <c r="A2285" s="4" t="s">
        <v>119</v>
      </c>
      <c r="B2285" s="1">
        <v>7.76</v>
      </c>
      <c r="C2285" s="1">
        <v>869</v>
      </c>
      <c r="D2285" s="1" t="s">
        <v>11</v>
      </c>
      <c r="E2285" s="1" t="s">
        <v>16</v>
      </c>
      <c r="F2285" s="1">
        <f t="shared" si="78"/>
        <v>776</v>
      </c>
      <c r="G2285" s="12">
        <f t="shared" si="79"/>
        <v>111.98453608247424</v>
      </c>
    </row>
    <row r="2286" spans="1:7" ht="13">
      <c r="A2286" s="4" t="s">
        <v>119</v>
      </c>
      <c r="B2286" s="1">
        <v>5.81</v>
      </c>
      <c r="C2286" s="1">
        <v>625</v>
      </c>
      <c r="D2286" s="1" t="s">
        <v>38</v>
      </c>
      <c r="E2286" s="1" t="s">
        <v>8</v>
      </c>
      <c r="F2286" s="1">
        <f t="shared" si="78"/>
        <v>581</v>
      </c>
      <c r="G2286" s="12">
        <f t="shared" si="79"/>
        <v>107.57314974182445</v>
      </c>
    </row>
    <row r="2287" spans="1:7" ht="13">
      <c r="A2287" s="4" t="s">
        <v>119</v>
      </c>
      <c r="B2287" s="1">
        <v>6</v>
      </c>
      <c r="C2287" s="1">
        <v>631</v>
      </c>
      <c r="D2287" s="1" t="s">
        <v>11</v>
      </c>
      <c r="E2287" s="1" t="s">
        <v>23</v>
      </c>
      <c r="F2287" s="1">
        <f t="shared" si="78"/>
        <v>600</v>
      </c>
      <c r="G2287" s="12">
        <f t="shared" si="79"/>
        <v>105.16666666666667</v>
      </c>
    </row>
    <row r="2288" spans="1:7" ht="13">
      <c r="A2288" s="4" t="s">
        <v>119</v>
      </c>
      <c r="B2288" s="1">
        <v>6.8</v>
      </c>
      <c r="C2288" s="1">
        <v>828</v>
      </c>
      <c r="D2288" s="1" t="s">
        <v>11</v>
      </c>
      <c r="E2288" s="1" t="s">
        <v>10</v>
      </c>
      <c r="F2288" s="1">
        <f t="shared" si="78"/>
        <v>680</v>
      </c>
      <c r="G2288" s="12">
        <f t="shared" si="79"/>
        <v>121.76470588235294</v>
      </c>
    </row>
    <row r="2289" spans="1:7" ht="13">
      <c r="A2289" s="4" t="s">
        <v>119</v>
      </c>
      <c r="B2289" s="1">
        <v>6.4</v>
      </c>
      <c r="C2289" s="1">
        <v>705</v>
      </c>
      <c r="D2289" s="1" t="s">
        <v>11</v>
      </c>
      <c r="E2289" s="1" t="s">
        <v>16</v>
      </c>
      <c r="F2289" s="1">
        <f t="shared" si="78"/>
        <v>640</v>
      </c>
      <c r="G2289" s="12">
        <f t="shared" si="79"/>
        <v>110.15625</v>
      </c>
    </row>
    <row r="2290" spans="1:7" ht="13">
      <c r="A2290" s="4" t="s">
        <v>119</v>
      </c>
      <c r="B2290" s="1">
        <v>6.6</v>
      </c>
      <c r="C2290" s="1">
        <v>700</v>
      </c>
      <c r="D2290" s="1" t="s">
        <v>35</v>
      </c>
      <c r="E2290" s="1" t="s">
        <v>22</v>
      </c>
      <c r="F2290" s="1">
        <f t="shared" si="78"/>
        <v>660</v>
      </c>
      <c r="G2290" s="12">
        <f t="shared" si="79"/>
        <v>106.06060606060606</v>
      </c>
    </row>
    <row r="2291" spans="1:7" ht="13">
      <c r="A2291" s="4" t="s">
        <v>119</v>
      </c>
      <c r="B2291" s="1">
        <v>8.1</v>
      </c>
      <c r="C2291" s="1">
        <v>444</v>
      </c>
      <c r="D2291" s="1" t="s">
        <v>33</v>
      </c>
      <c r="E2291" s="1" t="s">
        <v>68</v>
      </c>
      <c r="F2291" s="1">
        <f t="shared" si="78"/>
        <v>810</v>
      </c>
      <c r="G2291" s="12">
        <f t="shared" si="79"/>
        <v>54.814814814814817</v>
      </c>
    </row>
    <row r="2292" spans="1:7" ht="13">
      <c r="A2292" s="4" t="s">
        <v>119</v>
      </c>
      <c r="B2292" s="1">
        <v>6.9</v>
      </c>
      <c r="C2292" s="1">
        <v>683</v>
      </c>
      <c r="D2292" s="1" t="s">
        <v>33</v>
      </c>
      <c r="E2292" s="1" t="s">
        <v>16</v>
      </c>
      <c r="F2292" s="1">
        <f t="shared" si="78"/>
        <v>690</v>
      </c>
      <c r="G2292" s="12">
        <f t="shared" si="79"/>
        <v>98.985507246376812</v>
      </c>
    </row>
    <row r="2293" spans="1:7" ht="13">
      <c r="A2293" s="4" t="s">
        <v>119</v>
      </c>
      <c r="B2293" s="1">
        <v>6.1</v>
      </c>
      <c r="C2293" s="1">
        <v>620</v>
      </c>
      <c r="D2293" s="1" t="s">
        <v>53</v>
      </c>
      <c r="E2293" s="1" t="s">
        <v>8</v>
      </c>
      <c r="F2293" s="1">
        <f t="shared" si="78"/>
        <v>610</v>
      </c>
      <c r="G2293" s="12">
        <f t="shared" si="79"/>
        <v>101.63934426229508</v>
      </c>
    </row>
    <row r="2294" spans="1:7" ht="13">
      <c r="A2294" s="4" t="s">
        <v>119</v>
      </c>
      <c r="B2294" s="1">
        <v>7.74</v>
      </c>
      <c r="C2294" s="1">
        <v>843.71</v>
      </c>
      <c r="D2294" s="1" t="s">
        <v>11</v>
      </c>
      <c r="E2294" s="1" t="s">
        <v>17</v>
      </c>
      <c r="F2294" s="1">
        <f t="shared" si="78"/>
        <v>774</v>
      </c>
      <c r="G2294" s="12">
        <f t="shared" si="79"/>
        <v>109.00645994832041</v>
      </c>
    </row>
    <row r="2295" spans="1:7" ht="13">
      <c r="A2295" s="4" t="s">
        <v>119</v>
      </c>
      <c r="B2295" s="1">
        <v>4.8</v>
      </c>
      <c r="C2295" s="1">
        <v>469</v>
      </c>
      <c r="D2295" s="1" t="s">
        <v>11</v>
      </c>
      <c r="E2295" s="1" t="s">
        <v>24</v>
      </c>
      <c r="F2295" s="1">
        <f t="shared" si="78"/>
        <v>480</v>
      </c>
      <c r="G2295" s="12">
        <f t="shared" si="79"/>
        <v>97.708333333333343</v>
      </c>
    </row>
    <row r="2296" spans="1:7" ht="13">
      <c r="A2296" s="4" t="s">
        <v>119</v>
      </c>
      <c r="B2296" s="1">
        <v>6.09</v>
      </c>
      <c r="C2296" s="1">
        <v>567.95000000000005</v>
      </c>
      <c r="D2296" s="1" t="s">
        <v>42</v>
      </c>
      <c r="E2296" s="1" t="s">
        <v>15</v>
      </c>
      <c r="F2296" s="1">
        <f t="shared" si="78"/>
        <v>609</v>
      </c>
      <c r="G2296" s="12">
        <f t="shared" si="79"/>
        <v>93.259441707717585</v>
      </c>
    </row>
    <row r="2297" spans="1:7" ht="13">
      <c r="A2297" s="4" t="s">
        <v>119</v>
      </c>
      <c r="B2297" s="1">
        <v>5.16</v>
      </c>
      <c r="C2297" s="1">
        <v>508</v>
      </c>
      <c r="D2297" s="1" t="s">
        <v>106</v>
      </c>
      <c r="E2297" s="1" t="s">
        <v>16</v>
      </c>
      <c r="F2297" s="1">
        <f t="shared" si="78"/>
        <v>516</v>
      </c>
      <c r="G2297" s="12">
        <f t="shared" si="79"/>
        <v>98.449612403100772</v>
      </c>
    </row>
    <row r="2298" spans="1:7" ht="13">
      <c r="A2298" s="4" t="s">
        <v>119</v>
      </c>
      <c r="B2298" s="1">
        <v>7.56</v>
      </c>
      <c r="C2298" s="1">
        <v>763</v>
      </c>
      <c r="D2298" s="1" t="s">
        <v>11</v>
      </c>
      <c r="E2298" s="1" t="s">
        <v>27</v>
      </c>
      <c r="F2298" s="1">
        <f t="shared" si="78"/>
        <v>756</v>
      </c>
      <c r="G2298" s="12">
        <f t="shared" si="79"/>
        <v>100.92592592592594</v>
      </c>
    </row>
    <row r="2299" spans="1:7" ht="13">
      <c r="A2299" s="4" t="s">
        <v>119</v>
      </c>
      <c r="B2299" s="1">
        <v>5.5</v>
      </c>
      <c r="C2299" s="1">
        <v>717</v>
      </c>
      <c r="D2299" s="1" t="s">
        <v>11</v>
      </c>
      <c r="E2299" s="1" t="s">
        <v>8</v>
      </c>
      <c r="F2299" s="1">
        <f t="shared" si="78"/>
        <v>550</v>
      </c>
      <c r="G2299" s="12">
        <f t="shared" si="79"/>
        <v>130.36363636363637</v>
      </c>
    </row>
    <row r="2300" spans="1:7" ht="13">
      <c r="A2300" s="4" t="s">
        <v>119</v>
      </c>
      <c r="B2300" s="1">
        <v>5.2</v>
      </c>
      <c r="C2300" s="1">
        <v>646</v>
      </c>
      <c r="D2300" s="1" t="s">
        <v>11</v>
      </c>
      <c r="E2300" s="1" t="s">
        <v>26</v>
      </c>
      <c r="F2300" s="1">
        <f t="shared" si="78"/>
        <v>520</v>
      </c>
      <c r="G2300" s="12">
        <f t="shared" si="79"/>
        <v>124.23076923076923</v>
      </c>
    </row>
    <row r="2301" spans="1:7" ht="13">
      <c r="A2301" s="4" t="s">
        <v>119</v>
      </c>
      <c r="B2301" s="1">
        <v>3</v>
      </c>
      <c r="C2301" s="1">
        <v>415</v>
      </c>
      <c r="D2301" s="1" t="s">
        <v>43</v>
      </c>
      <c r="E2301" s="1" t="s">
        <v>18</v>
      </c>
      <c r="F2301" s="1">
        <f t="shared" si="78"/>
        <v>300</v>
      </c>
      <c r="G2301" s="12">
        <f t="shared" si="79"/>
        <v>138.33333333333334</v>
      </c>
    </row>
    <row r="2302" spans="1:7" ht="13">
      <c r="A2302" s="4" t="s">
        <v>119</v>
      </c>
      <c r="B2302" s="1">
        <v>6.8849999999999998</v>
      </c>
      <c r="C2302" s="1">
        <v>680</v>
      </c>
      <c r="D2302" s="1" t="s">
        <v>44</v>
      </c>
      <c r="E2302" s="1" t="s">
        <v>22</v>
      </c>
      <c r="F2302" s="1">
        <f t="shared" si="78"/>
        <v>688.5</v>
      </c>
      <c r="G2302" s="12">
        <f t="shared" si="79"/>
        <v>98.76543209876543</v>
      </c>
    </row>
    <row r="2303" spans="1:7" ht="13">
      <c r="A2303" s="4" t="s">
        <v>119</v>
      </c>
      <c r="B2303" s="1">
        <v>7.48</v>
      </c>
      <c r="C2303" s="1">
        <v>798</v>
      </c>
      <c r="D2303" s="1" t="s">
        <v>11</v>
      </c>
      <c r="E2303" s="1" t="s">
        <v>21</v>
      </c>
      <c r="F2303" s="1">
        <f t="shared" si="78"/>
        <v>748</v>
      </c>
      <c r="G2303" s="12">
        <f t="shared" si="79"/>
        <v>106.68449197860961</v>
      </c>
    </row>
    <row r="2304" spans="1:7" ht="13">
      <c r="A2304" s="4" t="s">
        <v>119</v>
      </c>
      <c r="B2304" s="1">
        <v>8.5</v>
      </c>
      <c r="C2304" s="1">
        <v>861</v>
      </c>
      <c r="D2304" s="1" t="s">
        <v>39</v>
      </c>
      <c r="E2304" s="1" t="s">
        <v>20</v>
      </c>
      <c r="F2304" s="1">
        <f t="shared" si="78"/>
        <v>850</v>
      </c>
      <c r="G2304" s="12">
        <f t="shared" si="79"/>
        <v>101.29411764705883</v>
      </c>
    </row>
    <row r="2305" spans="1:7" ht="13">
      <c r="A2305" s="4" t="s">
        <v>119</v>
      </c>
      <c r="B2305" s="1">
        <v>7.2</v>
      </c>
      <c r="C2305" s="1">
        <v>775</v>
      </c>
      <c r="D2305" s="1" t="s">
        <v>11</v>
      </c>
      <c r="E2305" s="1" t="s">
        <v>7</v>
      </c>
      <c r="F2305" s="1">
        <f t="shared" si="78"/>
        <v>720</v>
      </c>
      <c r="G2305" s="12">
        <f t="shared" si="79"/>
        <v>107.63888888888889</v>
      </c>
    </row>
    <row r="2306" spans="1:7" ht="13">
      <c r="A2306" s="4" t="s">
        <v>119</v>
      </c>
      <c r="B2306" s="1">
        <v>6.88</v>
      </c>
      <c r="C2306" s="1">
        <v>673</v>
      </c>
      <c r="D2306" s="1" t="s">
        <v>38</v>
      </c>
      <c r="E2306" s="1" t="s">
        <v>7</v>
      </c>
      <c r="F2306" s="1">
        <f t="shared" si="78"/>
        <v>688</v>
      </c>
      <c r="G2306" s="12">
        <f t="shared" si="79"/>
        <v>97.819767441860463</v>
      </c>
    </row>
    <row r="2307" spans="1:7" ht="13">
      <c r="A2307" s="4" t="s">
        <v>119</v>
      </c>
      <c r="B2307" s="1">
        <v>7.8</v>
      </c>
      <c r="C2307" s="1">
        <v>910</v>
      </c>
      <c r="D2307" s="1" t="s">
        <v>11</v>
      </c>
      <c r="E2307" s="1" t="s">
        <v>9</v>
      </c>
      <c r="F2307" s="1">
        <f t="shared" ref="F2307:F2370" si="80">B2307*100</f>
        <v>780</v>
      </c>
      <c r="G2307" s="12">
        <f t="shared" ref="G2307:G2370" si="81">C2307/B2307</f>
        <v>116.66666666666667</v>
      </c>
    </row>
    <row r="2308" spans="1:7" ht="13">
      <c r="A2308" s="4" t="s">
        <v>119</v>
      </c>
      <c r="B2308" s="1">
        <v>5</v>
      </c>
      <c r="C2308" s="1">
        <v>452</v>
      </c>
      <c r="D2308" s="1" t="s">
        <v>43</v>
      </c>
      <c r="E2308" s="1" t="s">
        <v>22</v>
      </c>
      <c r="F2308" s="1">
        <f t="shared" si="80"/>
        <v>500</v>
      </c>
      <c r="G2308" s="12">
        <f t="shared" si="81"/>
        <v>90.4</v>
      </c>
    </row>
    <row r="2309" spans="1:7" ht="13">
      <c r="A2309" s="4" t="s">
        <v>119</v>
      </c>
      <c r="B2309" s="1">
        <v>7.7</v>
      </c>
      <c r="C2309" s="1">
        <v>788</v>
      </c>
      <c r="D2309" s="1" t="s">
        <v>11</v>
      </c>
      <c r="E2309" s="1" t="s">
        <v>49</v>
      </c>
      <c r="F2309" s="1">
        <f t="shared" si="80"/>
        <v>770</v>
      </c>
      <c r="G2309" s="12">
        <f t="shared" si="81"/>
        <v>102.33766233766234</v>
      </c>
    </row>
    <row r="2310" spans="1:7" ht="13">
      <c r="A2310" s="4" t="s">
        <v>119</v>
      </c>
      <c r="B2310" s="1">
        <v>4.9000000000000004</v>
      </c>
      <c r="C2310" s="1">
        <v>433</v>
      </c>
      <c r="D2310" s="1" t="s">
        <v>35</v>
      </c>
      <c r="E2310" s="1" t="s">
        <v>25</v>
      </c>
      <c r="F2310" s="1">
        <f t="shared" si="80"/>
        <v>490.00000000000006</v>
      </c>
      <c r="G2310" s="12">
        <f t="shared" si="81"/>
        <v>88.367346938775498</v>
      </c>
    </row>
    <row r="2311" spans="1:7" ht="13">
      <c r="A2311" s="4" t="s">
        <v>119</v>
      </c>
      <c r="B2311" s="1">
        <v>9.1</v>
      </c>
      <c r="C2311" s="1">
        <v>824</v>
      </c>
      <c r="D2311" s="1" t="s">
        <v>37</v>
      </c>
      <c r="E2311" s="1" t="s">
        <v>22</v>
      </c>
      <c r="F2311" s="1">
        <f t="shared" si="80"/>
        <v>910</v>
      </c>
      <c r="G2311" s="12">
        <f t="shared" si="81"/>
        <v>90.549450549450555</v>
      </c>
    </row>
    <row r="2312" spans="1:7" ht="13">
      <c r="A2312" s="4" t="s">
        <v>119</v>
      </c>
      <c r="B2312" s="1">
        <v>5.2</v>
      </c>
      <c r="C2312" s="1">
        <v>535</v>
      </c>
      <c r="D2312" s="1" t="s">
        <v>39</v>
      </c>
      <c r="E2312" s="1" t="s">
        <v>10</v>
      </c>
      <c r="F2312" s="1">
        <f t="shared" si="80"/>
        <v>520</v>
      </c>
      <c r="G2312" s="12">
        <f t="shared" si="81"/>
        <v>102.88461538461539</v>
      </c>
    </row>
    <row r="2313" spans="1:7" ht="13">
      <c r="A2313" s="4" t="s">
        <v>119</v>
      </c>
      <c r="B2313" s="1">
        <v>7.92</v>
      </c>
      <c r="C2313" s="1">
        <v>714</v>
      </c>
      <c r="D2313" s="1" t="s">
        <v>33</v>
      </c>
      <c r="E2313" s="1" t="s">
        <v>8</v>
      </c>
      <c r="F2313" s="1">
        <f t="shared" si="80"/>
        <v>792</v>
      </c>
      <c r="G2313" s="12">
        <f t="shared" si="81"/>
        <v>90.151515151515156</v>
      </c>
    </row>
    <row r="2314" spans="1:7" ht="13">
      <c r="A2314" s="4" t="s">
        <v>119</v>
      </c>
      <c r="B2314" s="1">
        <v>9.3000000000000007</v>
      </c>
      <c r="C2314" s="1">
        <v>965</v>
      </c>
      <c r="D2314" s="1" t="s">
        <v>45</v>
      </c>
      <c r="E2314" s="1" t="s">
        <v>10</v>
      </c>
      <c r="F2314" s="1">
        <f t="shared" si="80"/>
        <v>930.00000000000011</v>
      </c>
      <c r="G2314" s="12">
        <f t="shared" si="81"/>
        <v>103.76344086021504</v>
      </c>
    </row>
    <row r="2315" spans="1:7" ht="13">
      <c r="A2315" s="4" t="s">
        <v>119</v>
      </c>
      <c r="B2315" s="1">
        <v>6.88</v>
      </c>
      <c r="C2315" s="1">
        <v>731</v>
      </c>
      <c r="D2315" s="1" t="s">
        <v>33</v>
      </c>
      <c r="E2315" s="1" t="s">
        <v>10</v>
      </c>
      <c r="F2315" s="1">
        <f t="shared" si="80"/>
        <v>688</v>
      </c>
      <c r="G2315" s="12">
        <f t="shared" si="81"/>
        <v>106.25</v>
      </c>
    </row>
    <row r="2316" spans="1:7" ht="13">
      <c r="A2316" s="4" t="s">
        <v>119</v>
      </c>
      <c r="B2316" s="1">
        <v>5.2</v>
      </c>
      <c r="C2316" s="1">
        <v>555</v>
      </c>
      <c r="D2316" s="1" t="s">
        <v>44</v>
      </c>
      <c r="E2316" s="1" t="s">
        <v>15</v>
      </c>
      <c r="F2316" s="1">
        <f t="shared" si="80"/>
        <v>520</v>
      </c>
      <c r="G2316" s="12">
        <f t="shared" si="81"/>
        <v>106.73076923076923</v>
      </c>
    </row>
    <row r="2317" spans="1:7" ht="13">
      <c r="A2317" s="4" t="s">
        <v>119</v>
      </c>
      <c r="B2317" s="1">
        <v>3.4</v>
      </c>
      <c r="C2317" s="1">
        <v>360</v>
      </c>
      <c r="D2317" s="1" t="s">
        <v>11</v>
      </c>
      <c r="E2317" s="1" t="s">
        <v>19</v>
      </c>
      <c r="F2317" s="1">
        <f t="shared" si="80"/>
        <v>340</v>
      </c>
      <c r="G2317" s="12">
        <f t="shared" si="81"/>
        <v>105.88235294117648</v>
      </c>
    </row>
    <row r="2318" spans="1:7" ht="13">
      <c r="A2318" s="4" t="s">
        <v>119</v>
      </c>
      <c r="B2318" s="1">
        <v>4.4000000000000004</v>
      </c>
      <c r="C2318" s="1">
        <v>515</v>
      </c>
      <c r="D2318" s="1" t="s">
        <v>11</v>
      </c>
      <c r="E2318" s="1" t="s">
        <v>15</v>
      </c>
      <c r="F2318" s="1">
        <f t="shared" si="80"/>
        <v>440.00000000000006</v>
      </c>
      <c r="G2318" s="12">
        <f t="shared" si="81"/>
        <v>117.04545454545453</v>
      </c>
    </row>
    <row r="2319" spans="1:7" ht="13">
      <c r="A2319" s="4" t="s">
        <v>119</v>
      </c>
      <c r="B2319" s="1">
        <v>9.3000000000000007</v>
      </c>
      <c r="C2319" s="1">
        <v>893</v>
      </c>
      <c r="D2319" s="1" t="s">
        <v>11</v>
      </c>
      <c r="E2319" s="1" t="s">
        <v>20</v>
      </c>
      <c r="F2319" s="1">
        <f t="shared" si="80"/>
        <v>930.00000000000011</v>
      </c>
      <c r="G2319" s="12">
        <f t="shared" si="81"/>
        <v>96.021505376344081</v>
      </c>
    </row>
    <row r="2320" spans="1:7" ht="13">
      <c r="A2320" s="4" t="s">
        <v>119</v>
      </c>
      <c r="B2320" s="1">
        <v>5.74</v>
      </c>
      <c r="C2320" s="1">
        <v>551</v>
      </c>
      <c r="D2320" s="1" t="s">
        <v>42</v>
      </c>
      <c r="E2320" s="1" t="s">
        <v>32</v>
      </c>
      <c r="F2320" s="1">
        <f t="shared" si="80"/>
        <v>574</v>
      </c>
      <c r="G2320" s="12">
        <f t="shared" si="81"/>
        <v>95.99303135888502</v>
      </c>
    </row>
    <row r="2321" spans="1:7" ht="13">
      <c r="A2321" s="4" t="s">
        <v>119</v>
      </c>
      <c r="B2321" s="1">
        <v>843</v>
      </c>
      <c r="C2321" s="1">
        <v>811</v>
      </c>
      <c r="D2321" s="1" t="s">
        <v>33</v>
      </c>
      <c r="E2321" s="1" t="s">
        <v>26</v>
      </c>
      <c r="F2321" s="1">
        <f t="shared" si="80"/>
        <v>84300</v>
      </c>
      <c r="G2321" s="12">
        <f t="shared" si="81"/>
        <v>0.96204033214709372</v>
      </c>
    </row>
    <row r="2322" spans="1:7" ht="13">
      <c r="A2322" s="4" t="s">
        <v>119</v>
      </c>
      <c r="B2322" s="1">
        <v>6</v>
      </c>
      <c r="C2322" s="1">
        <v>566</v>
      </c>
      <c r="D2322" s="1" t="s">
        <v>60</v>
      </c>
      <c r="E2322" s="1" t="s">
        <v>17</v>
      </c>
      <c r="F2322" s="1">
        <f t="shared" si="80"/>
        <v>600</v>
      </c>
      <c r="G2322" s="12">
        <f t="shared" si="81"/>
        <v>94.333333333333329</v>
      </c>
    </row>
    <row r="2323" spans="1:7" ht="13">
      <c r="A2323" s="4" t="s">
        <v>119</v>
      </c>
      <c r="B2323" s="1">
        <v>5.22</v>
      </c>
      <c r="C2323" s="1">
        <v>444</v>
      </c>
      <c r="D2323" s="1" t="s">
        <v>70</v>
      </c>
      <c r="E2323" s="1" t="s">
        <v>22</v>
      </c>
      <c r="F2323" s="1">
        <f t="shared" si="80"/>
        <v>522</v>
      </c>
      <c r="G2323" s="12">
        <f t="shared" si="81"/>
        <v>85.05747126436782</v>
      </c>
    </row>
    <row r="2324" spans="1:7" ht="13">
      <c r="A2324" s="4" t="s">
        <v>119</v>
      </c>
      <c r="B2324" s="1">
        <v>9</v>
      </c>
      <c r="C2324" s="1">
        <v>883</v>
      </c>
      <c r="D2324" s="1" t="s">
        <v>11</v>
      </c>
      <c r="E2324" s="1" t="s">
        <v>28</v>
      </c>
      <c r="F2324" s="1">
        <f t="shared" si="80"/>
        <v>900</v>
      </c>
      <c r="G2324" s="12">
        <f t="shared" si="81"/>
        <v>98.111111111111114</v>
      </c>
    </row>
    <row r="2325" spans="1:7" ht="13">
      <c r="A2325" s="4" t="s">
        <v>119</v>
      </c>
      <c r="B2325" s="1">
        <v>7.2</v>
      </c>
      <c r="C2325" s="1">
        <v>679</v>
      </c>
      <c r="D2325" s="1" t="s">
        <v>47</v>
      </c>
      <c r="E2325" s="1" t="s">
        <v>17</v>
      </c>
      <c r="F2325" s="1">
        <f t="shared" si="80"/>
        <v>720</v>
      </c>
      <c r="G2325" s="12">
        <f t="shared" si="81"/>
        <v>94.305555555555557</v>
      </c>
    </row>
    <row r="2326" spans="1:7" ht="13">
      <c r="A2326" s="4" t="s">
        <v>119</v>
      </c>
      <c r="B2326" s="1">
        <v>6.7</v>
      </c>
      <c r="C2326" s="1">
        <v>596</v>
      </c>
      <c r="D2326" s="1" t="s">
        <v>33</v>
      </c>
      <c r="E2326" s="1" t="s">
        <v>21</v>
      </c>
      <c r="F2326" s="1">
        <f t="shared" si="80"/>
        <v>670</v>
      </c>
      <c r="G2326" s="12">
        <f t="shared" si="81"/>
        <v>88.955223880597018</v>
      </c>
    </row>
    <row r="2327" spans="1:7" ht="13">
      <c r="A2327" s="4" t="s">
        <v>119</v>
      </c>
      <c r="B2327" s="1">
        <v>6.8</v>
      </c>
      <c r="C2327" s="1">
        <v>724</v>
      </c>
      <c r="D2327" s="1" t="s">
        <v>43</v>
      </c>
      <c r="E2327" s="1" t="s">
        <v>22</v>
      </c>
      <c r="F2327" s="1">
        <f t="shared" si="80"/>
        <v>680</v>
      </c>
      <c r="G2327" s="12">
        <f t="shared" si="81"/>
        <v>106.47058823529412</v>
      </c>
    </row>
    <row r="2328" spans="1:7" ht="13">
      <c r="A2328" s="4" t="s">
        <v>119</v>
      </c>
      <c r="B2328" s="1">
        <v>4.8</v>
      </c>
      <c r="C2328" s="1">
        <v>508.8</v>
      </c>
      <c r="D2328" s="1" t="s">
        <v>33</v>
      </c>
      <c r="E2328" s="1" t="s">
        <v>26</v>
      </c>
      <c r="F2328" s="1">
        <f t="shared" si="80"/>
        <v>480</v>
      </c>
      <c r="G2328" s="12">
        <f t="shared" si="81"/>
        <v>106</v>
      </c>
    </row>
    <row r="2329" spans="1:7" ht="13">
      <c r="A2329" s="4" t="s">
        <v>119</v>
      </c>
      <c r="B2329" s="1">
        <v>6.09</v>
      </c>
      <c r="C2329" s="1">
        <v>654</v>
      </c>
      <c r="D2329" s="1" t="s">
        <v>11</v>
      </c>
      <c r="E2329" s="1" t="s">
        <v>26</v>
      </c>
      <c r="F2329" s="1">
        <f t="shared" si="80"/>
        <v>609</v>
      </c>
      <c r="G2329" s="12">
        <f t="shared" si="81"/>
        <v>107.38916256157636</v>
      </c>
    </row>
    <row r="2330" spans="1:7" ht="13">
      <c r="A2330" s="4" t="s">
        <v>119</v>
      </c>
      <c r="B2330" s="1">
        <v>6.4</v>
      </c>
      <c r="C2330" s="1">
        <v>625.6</v>
      </c>
      <c r="D2330" s="1" t="s">
        <v>33</v>
      </c>
      <c r="E2330" s="1" t="s">
        <v>15</v>
      </c>
      <c r="F2330" s="1">
        <f t="shared" si="80"/>
        <v>640</v>
      </c>
      <c r="G2330" s="12">
        <f t="shared" si="81"/>
        <v>97.75</v>
      </c>
    </row>
    <row r="2331" spans="1:7" ht="13">
      <c r="A2331" s="4" t="s">
        <v>119</v>
      </c>
      <c r="B2331" s="1">
        <v>5.4</v>
      </c>
      <c r="C2331" s="1">
        <v>600</v>
      </c>
      <c r="D2331" s="1" t="s">
        <v>11</v>
      </c>
      <c r="E2331" s="1" t="s">
        <v>8</v>
      </c>
      <c r="F2331" s="1">
        <f t="shared" si="80"/>
        <v>540</v>
      </c>
      <c r="G2331" s="12">
        <f t="shared" si="81"/>
        <v>111.1111111111111</v>
      </c>
    </row>
    <row r="2332" spans="1:7" ht="13">
      <c r="A2332" s="4" t="s">
        <v>119</v>
      </c>
      <c r="B2332" s="1">
        <v>3.8</v>
      </c>
      <c r="C2332" s="1">
        <v>304</v>
      </c>
      <c r="D2332" s="1" t="s">
        <v>42</v>
      </c>
      <c r="E2332" s="1" t="s">
        <v>10</v>
      </c>
      <c r="F2332" s="1">
        <f t="shared" si="80"/>
        <v>380</v>
      </c>
      <c r="G2332" s="12">
        <f t="shared" si="81"/>
        <v>80</v>
      </c>
    </row>
    <row r="2333" spans="1:7" ht="13">
      <c r="A2333" s="4" t="s">
        <v>119</v>
      </c>
      <c r="B2333" s="1">
        <v>6.4</v>
      </c>
      <c r="C2333" s="1">
        <v>760</v>
      </c>
      <c r="D2333" s="1" t="s">
        <v>11</v>
      </c>
      <c r="E2333" s="1" t="s">
        <v>26</v>
      </c>
      <c r="F2333" s="1">
        <f t="shared" si="80"/>
        <v>640</v>
      </c>
      <c r="G2333" s="12">
        <f t="shared" si="81"/>
        <v>118.75</v>
      </c>
    </row>
    <row r="2334" spans="1:7" ht="13">
      <c r="A2334" s="4" t="s">
        <v>119</v>
      </c>
      <c r="B2334" s="1">
        <v>4</v>
      </c>
      <c r="C2334" s="1">
        <v>409</v>
      </c>
      <c r="D2334" s="1" t="s">
        <v>43</v>
      </c>
      <c r="E2334" s="1" t="s">
        <v>68</v>
      </c>
      <c r="F2334" s="1">
        <f t="shared" si="80"/>
        <v>400</v>
      </c>
      <c r="G2334" s="12">
        <f t="shared" si="81"/>
        <v>102.25</v>
      </c>
    </row>
    <row r="2335" spans="1:7" ht="13">
      <c r="A2335" s="4" t="s">
        <v>119</v>
      </c>
      <c r="B2335" s="1">
        <v>4</v>
      </c>
      <c r="C2335" s="1">
        <v>392</v>
      </c>
      <c r="D2335" s="1" t="s">
        <v>11</v>
      </c>
      <c r="E2335" s="1" t="s">
        <v>28</v>
      </c>
      <c r="F2335" s="1">
        <f t="shared" si="80"/>
        <v>400</v>
      </c>
      <c r="G2335" s="12">
        <f t="shared" si="81"/>
        <v>98</v>
      </c>
    </row>
    <row r="2336" spans="1:7" ht="13">
      <c r="A2336" s="4" t="s">
        <v>119</v>
      </c>
      <c r="B2336" s="1">
        <v>3.85</v>
      </c>
      <c r="C2336" s="1">
        <v>464</v>
      </c>
      <c r="D2336" s="1" t="s">
        <v>55</v>
      </c>
      <c r="E2336" s="1" t="s">
        <v>15</v>
      </c>
      <c r="F2336" s="1">
        <f t="shared" si="80"/>
        <v>385</v>
      </c>
      <c r="G2336" s="12">
        <f t="shared" si="81"/>
        <v>120.51948051948051</v>
      </c>
    </row>
    <row r="2337" spans="1:7" ht="13">
      <c r="A2337" s="4" t="s">
        <v>119</v>
      </c>
      <c r="B2337" s="1">
        <v>7.3</v>
      </c>
      <c r="C2337" s="1">
        <v>748</v>
      </c>
      <c r="D2337" s="1" t="s">
        <v>47</v>
      </c>
      <c r="E2337" s="1" t="s">
        <v>28</v>
      </c>
      <c r="F2337" s="1">
        <f t="shared" si="80"/>
        <v>730</v>
      </c>
      <c r="G2337" s="12">
        <f t="shared" si="81"/>
        <v>102.46575342465754</v>
      </c>
    </row>
    <row r="2338" spans="1:7" ht="13">
      <c r="A2338" s="4" t="s">
        <v>119</v>
      </c>
      <c r="B2338" s="1">
        <v>6.02</v>
      </c>
      <c r="C2338" s="1">
        <v>605</v>
      </c>
      <c r="D2338" s="1" t="s">
        <v>58</v>
      </c>
      <c r="E2338" s="1" t="s">
        <v>9</v>
      </c>
      <c r="F2338" s="1">
        <f t="shared" si="80"/>
        <v>602</v>
      </c>
      <c r="G2338" s="12">
        <f t="shared" si="81"/>
        <v>100.49833887043189</v>
      </c>
    </row>
    <row r="2339" spans="1:7" ht="13">
      <c r="A2339" s="4" t="s">
        <v>119</v>
      </c>
      <c r="B2339" s="1">
        <v>6.88</v>
      </c>
      <c r="C2339" s="1">
        <v>580</v>
      </c>
      <c r="D2339" s="1" t="s">
        <v>64</v>
      </c>
      <c r="E2339" s="1" t="s">
        <v>32</v>
      </c>
      <c r="F2339" s="1">
        <f t="shared" si="80"/>
        <v>688</v>
      </c>
      <c r="G2339" s="12">
        <f t="shared" si="81"/>
        <v>84.302325581395351</v>
      </c>
    </row>
    <row r="2340" spans="1:7" ht="13">
      <c r="A2340" s="4" t="s">
        <v>119</v>
      </c>
      <c r="B2340" s="1">
        <v>2.87</v>
      </c>
      <c r="C2340" s="1">
        <v>349</v>
      </c>
      <c r="D2340" s="1" t="s">
        <v>11</v>
      </c>
      <c r="E2340" s="1" t="s">
        <v>8</v>
      </c>
      <c r="F2340" s="1">
        <f t="shared" si="80"/>
        <v>287</v>
      </c>
      <c r="G2340" s="12">
        <f t="shared" si="81"/>
        <v>121.60278745644599</v>
      </c>
    </row>
    <row r="2341" spans="1:7" ht="13">
      <c r="A2341" s="4" t="s">
        <v>119</v>
      </c>
      <c r="B2341" s="1">
        <v>7.7</v>
      </c>
      <c r="C2341" s="1">
        <v>769</v>
      </c>
      <c r="D2341" s="1" t="s">
        <v>88</v>
      </c>
      <c r="E2341" s="1" t="s">
        <v>9</v>
      </c>
      <c r="F2341" s="1">
        <f t="shared" si="80"/>
        <v>770</v>
      </c>
      <c r="G2341" s="12">
        <f t="shared" si="81"/>
        <v>99.870129870129873</v>
      </c>
    </row>
    <row r="2342" spans="1:7" ht="13">
      <c r="A2342" s="4" t="s">
        <v>119</v>
      </c>
      <c r="B2342" s="1">
        <v>5.52</v>
      </c>
      <c r="C2342" s="1">
        <v>602</v>
      </c>
      <c r="D2342" s="1" t="s">
        <v>11</v>
      </c>
      <c r="E2342" s="1" t="s">
        <v>26</v>
      </c>
      <c r="F2342" s="1">
        <f t="shared" si="80"/>
        <v>552</v>
      </c>
      <c r="G2342" s="12">
        <f t="shared" si="81"/>
        <v>109.05797101449276</v>
      </c>
    </row>
    <row r="2343" spans="1:7" ht="13">
      <c r="A2343" s="4" t="s">
        <v>119</v>
      </c>
      <c r="B2343" s="1">
        <v>6</v>
      </c>
      <c r="C2343" s="1">
        <v>554</v>
      </c>
      <c r="D2343" s="1" t="s">
        <v>11</v>
      </c>
      <c r="E2343" s="1" t="s">
        <v>14</v>
      </c>
      <c r="F2343" s="1">
        <f t="shared" si="80"/>
        <v>600</v>
      </c>
      <c r="G2343" s="12">
        <f t="shared" si="81"/>
        <v>92.333333333333329</v>
      </c>
    </row>
    <row r="2344" spans="1:7" ht="13">
      <c r="A2344" s="4" t="s">
        <v>119</v>
      </c>
      <c r="B2344" s="1">
        <v>5.88</v>
      </c>
      <c r="C2344" s="1">
        <v>596</v>
      </c>
      <c r="D2344" s="1" t="s">
        <v>38</v>
      </c>
      <c r="E2344" s="1" t="s">
        <v>22</v>
      </c>
      <c r="F2344" s="1">
        <f t="shared" si="80"/>
        <v>588</v>
      </c>
      <c r="G2344" s="12">
        <f t="shared" si="81"/>
        <v>101.36054421768708</v>
      </c>
    </row>
    <row r="2345" spans="1:7" ht="13">
      <c r="A2345" s="4" t="s">
        <v>119</v>
      </c>
      <c r="B2345" s="1">
        <v>7.29</v>
      </c>
      <c r="C2345" s="1">
        <v>709</v>
      </c>
      <c r="D2345" s="1" t="s">
        <v>11</v>
      </c>
      <c r="E2345" s="1" t="s">
        <v>27</v>
      </c>
      <c r="F2345" s="1">
        <f t="shared" si="80"/>
        <v>729</v>
      </c>
      <c r="G2345" s="12">
        <f t="shared" si="81"/>
        <v>97.256515775034288</v>
      </c>
    </row>
    <row r="2346" spans="1:7" ht="13">
      <c r="A2346" s="4" t="s">
        <v>119</v>
      </c>
      <c r="B2346" s="1">
        <v>7.29</v>
      </c>
      <c r="C2346" s="1">
        <v>801</v>
      </c>
      <c r="D2346" s="1" t="s">
        <v>11</v>
      </c>
      <c r="E2346" s="1" t="s">
        <v>7</v>
      </c>
      <c r="F2346" s="1">
        <f t="shared" si="80"/>
        <v>729</v>
      </c>
      <c r="G2346" s="12">
        <f t="shared" si="81"/>
        <v>109.87654320987654</v>
      </c>
    </row>
    <row r="2347" spans="1:7" ht="13">
      <c r="A2347" s="4" t="s">
        <v>119</v>
      </c>
      <c r="B2347" s="1">
        <v>6.8</v>
      </c>
      <c r="C2347" s="1">
        <v>640</v>
      </c>
      <c r="D2347" s="1" t="s">
        <v>11</v>
      </c>
      <c r="E2347" s="1" t="s">
        <v>8</v>
      </c>
      <c r="F2347" s="1">
        <f t="shared" si="80"/>
        <v>680</v>
      </c>
      <c r="G2347" s="12">
        <f t="shared" si="81"/>
        <v>94.117647058823536</v>
      </c>
    </row>
    <row r="2348" spans="1:7" ht="13">
      <c r="A2348" s="4" t="s">
        <v>119</v>
      </c>
      <c r="B2348" s="1">
        <v>6</v>
      </c>
      <c r="C2348" s="1">
        <v>582</v>
      </c>
      <c r="D2348" s="1" t="s">
        <v>33</v>
      </c>
      <c r="E2348" s="1" t="s">
        <v>15</v>
      </c>
      <c r="F2348" s="1">
        <f t="shared" si="80"/>
        <v>600</v>
      </c>
      <c r="G2348" s="12">
        <f t="shared" si="81"/>
        <v>97</v>
      </c>
    </row>
    <row r="2349" spans="1:7" ht="13">
      <c r="A2349" s="4" t="s">
        <v>119</v>
      </c>
      <c r="B2349" s="1">
        <v>7.5</v>
      </c>
      <c r="C2349" s="1">
        <v>717</v>
      </c>
      <c r="D2349" s="1" t="s">
        <v>35</v>
      </c>
      <c r="E2349" s="1" t="s">
        <v>8</v>
      </c>
      <c r="F2349" s="1">
        <f t="shared" si="80"/>
        <v>750</v>
      </c>
      <c r="G2349" s="12">
        <f t="shared" si="81"/>
        <v>95.6</v>
      </c>
    </row>
    <row r="2350" spans="1:7" ht="13">
      <c r="A2350" s="4" t="s">
        <v>119</v>
      </c>
      <c r="B2350" s="1">
        <v>6.88</v>
      </c>
      <c r="C2350" s="1">
        <v>662</v>
      </c>
      <c r="D2350" s="1" t="s">
        <v>53</v>
      </c>
      <c r="E2350" s="1" t="s">
        <v>16</v>
      </c>
      <c r="F2350" s="1">
        <f t="shared" si="80"/>
        <v>688</v>
      </c>
      <c r="G2350" s="12">
        <f t="shared" si="81"/>
        <v>96.220930232558146</v>
      </c>
    </row>
    <row r="2351" spans="1:7" ht="13">
      <c r="A2351" s="4" t="s">
        <v>119</v>
      </c>
      <c r="B2351" s="1">
        <v>6.2</v>
      </c>
      <c r="C2351" s="1">
        <v>704</v>
      </c>
      <c r="D2351" s="1" t="s">
        <v>39</v>
      </c>
      <c r="E2351" s="1" t="s">
        <v>26</v>
      </c>
      <c r="F2351" s="1">
        <f t="shared" si="80"/>
        <v>620</v>
      </c>
      <c r="G2351" s="12">
        <f t="shared" si="81"/>
        <v>113.54838709677419</v>
      </c>
    </row>
    <row r="2352" spans="1:7" ht="13">
      <c r="A2352" s="4" t="s">
        <v>119</v>
      </c>
      <c r="B2352" s="1">
        <v>5.16</v>
      </c>
      <c r="C2352" s="1">
        <v>514</v>
      </c>
      <c r="D2352" s="1" t="s">
        <v>42</v>
      </c>
      <c r="E2352" s="1" t="s">
        <v>22</v>
      </c>
      <c r="F2352" s="1">
        <f t="shared" si="80"/>
        <v>516</v>
      </c>
      <c r="G2352" s="12">
        <f t="shared" si="81"/>
        <v>99.612403100775197</v>
      </c>
    </row>
    <row r="2353" spans="1:7" ht="13">
      <c r="A2353" s="4" t="s">
        <v>119</v>
      </c>
      <c r="B2353" s="1">
        <v>7.83</v>
      </c>
      <c r="C2353" s="1">
        <v>749</v>
      </c>
      <c r="D2353" s="1" t="s">
        <v>11</v>
      </c>
      <c r="E2353" s="1" t="s">
        <v>32</v>
      </c>
      <c r="F2353" s="1">
        <f t="shared" si="80"/>
        <v>783</v>
      </c>
      <c r="G2353" s="12">
        <f t="shared" si="81"/>
        <v>95.657726692209451</v>
      </c>
    </row>
    <row r="2354" spans="1:7" ht="13">
      <c r="A2354" s="4" t="s">
        <v>119</v>
      </c>
      <c r="B2354" s="1">
        <v>7</v>
      </c>
      <c r="C2354" s="1">
        <v>765</v>
      </c>
      <c r="D2354" s="1" t="s">
        <v>36</v>
      </c>
      <c r="E2354" s="1" t="s">
        <v>15</v>
      </c>
      <c r="F2354" s="1">
        <f t="shared" si="80"/>
        <v>700</v>
      </c>
      <c r="G2354" s="12">
        <f t="shared" si="81"/>
        <v>109.28571428571429</v>
      </c>
    </row>
    <row r="2355" spans="1:7" ht="13">
      <c r="A2355" s="4" t="s">
        <v>119</v>
      </c>
      <c r="B2355" s="1">
        <v>4</v>
      </c>
      <c r="C2355" s="1">
        <v>431</v>
      </c>
      <c r="D2355" s="1" t="s">
        <v>35</v>
      </c>
      <c r="E2355" s="1" t="s">
        <v>21</v>
      </c>
      <c r="F2355" s="1">
        <f t="shared" si="80"/>
        <v>400</v>
      </c>
      <c r="G2355" s="12">
        <f t="shared" si="81"/>
        <v>107.75</v>
      </c>
    </row>
    <row r="2356" spans="1:7" ht="13">
      <c r="A2356" s="4" t="s">
        <v>119</v>
      </c>
      <c r="B2356" s="1">
        <v>7.3949999999999996</v>
      </c>
      <c r="C2356" s="1">
        <v>716</v>
      </c>
      <c r="D2356" s="1" t="s">
        <v>42</v>
      </c>
      <c r="E2356" s="1" t="s">
        <v>25</v>
      </c>
      <c r="F2356" s="1">
        <f t="shared" si="80"/>
        <v>739.5</v>
      </c>
      <c r="G2356" s="12">
        <f t="shared" si="81"/>
        <v>96.822177146720762</v>
      </c>
    </row>
    <row r="2357" spans="1:7" ht="13">
      <c r="A2357" s="4" t="s">
        <v>119</v>
      </c>
      <c r="B2357" s="1">
        <v>7.7</v>
      </c>
      <c r="C2357" s="1">
        <v>768</v>
      </c>
      <c r="D2357" s="1" t="s">
        <v>33</v>
      </c>
      <c r="E2357" s="1" t="s">
        <v>16</v>
      </c>
      <c r="F2357" s="1">
        <f t="shared" si="80"/>
        <v>770</v>
      </c>
      <c r="G2357" s="12">
        <f t="shared" si="81"/>
        <v>99.740259740259745</v>
      </c>
    </row>
    <row r="2358" spans="1:7" ht="13">
      <c r="A2358" s="4" t="s">
        <v>119</v>
      </c>
      <c r="B2358" s="1">
        <v>6</v>
      </c>
      <c r="C2358" s="1">
        <v>660</v>
      </c>
      <c r="D2358" s="1" t="s">
        <v>44</v>
      </c>
      <c r="E2358" s="1" t="s">
        <v>8</v>
      </c>
      <c r="F2358" s="1">
        <f t="shared" si="80"/>
        <v>600</v>
      </c>
      <c r="G2358" s="12">
        <f t="shared" si="81"/>
        <v>110</v>
      </c>
    </row>
    <row r="2359" spans="1:7" ht="13">
      <c r="A2359" s="4" t="s">
        <v>119</v>
      </c>
      <c r="B2359" s="1">
        <v>3.44</v>
      </c>
      <c r="C2359" s="1">
        <v>384</v>
      </c>
      <c r="D2359" s="1" t="s">
        <v>39</v>
      </c>
      <c r="E2359" s="1" t="s">
        <v>15</v>
      </c>
      <c r="F2359" s="1">
        <f t="shared" si="80"/>
        <v>344</v>
      </c>
      <c r="G2359" s="12">
        <f t="shared" si="81"/>
        <v>111.62790697674419</v>
      </c>
    </row>
    <row r="2360" spans="1:7" ht="13">
      <c r="A2360" s="4" t="s">
        <v>119</v>
      </c>
      <c r="B2360" s="1">
        <v>5.39</v>
      </c>
      <c r="C2360" s="1">
        <v>659</v>
      </c>
      <c r="D2360" s="1" t="s">
        <v>11</v>
      </c>
      <c r="E2360" s="1" t="s">
        <v>26</v>
      </c>
      <c r="F2360" s="1">
        <f t="shared" si="80"/>
        <v>539</v>
      </c>
      <c r="G2360" s="12">
        <f t="shared" si="81"/>
        <v>122.26345083487941</v>
      </c>
    </row>
    <row r="2361" spans="1:7" ht="13">
      <c r="A2361" s="4" t="s">
        <v>119</v>
      </c>
      <c r="B2361" s="1">
        <v>6.09</v>
      </c>
      <c r="C2361" s="1">
        <v>593</v>
      </c>
      <c r="D2361" s="1" t="s">
        <v>11</v>
      </c>
      <c r="E2361" s="1" t="s">
        <v>18</v>
      </c>
      <c r="F2361" s="1">
        <f t="shared" si="80"/>
        <v>609</v>
      </c>
      <c r="G2361" s="12">
        <f t="shared" si="81"/>
        <v>97.372742200328403</v>
      </c>
    </row>
    <row r="2362" spans="1:7" ht="13">
      <c r="A2362" s="4" t="s">
        <v>119</v>
      </c>
      <c r="B2362" s="1">
        <v>6.3</v>
      </c>
      <c r="C2362" s="1">
        <v>574</v>
      </c>
      <c r="D2362" s="1" t="s">
        <v>43</v>
      </c>
      <c r="E2362" s="1" t="s">
        <v>29</v>
      </c>
      <c r="F2362" s="1">
        <f t="shared" si="80"/>
        <v>630</v>
      </c>
      <c r="G2362" s="12">
        <f t="shared" si="81"/>
        <v>91.111111111111114</v>
      </c>
    </row>
    <row r="2363" spans="1:7" ht="13">
      <c r="A2363" s="4" t="s">
        <v>119</v>
      </c>
      <c r="B2363" s="1">
        <v>7.4</v>
      </c>
      <c r="C2363" s="1">
        <v>643</v>
      </c>
      <c r="D2363" s="1" t="s">
        <v>11</v>
      </c>
      <c r="E2363" s="1" t="s">
        <v>17</v>
      </c>
      <c r="F2363" s="1">
        <f t="shared" si="80"/>
        <v>740</v>
      </c>
      <c r="G2363" s="12">
        <f t="shared" si="81"/>
        <v>86.891891891891888</v>
      </c>
    </row>
    <row r="2364" spans="1:7" ht="13">
      <c r="A2364" s="4" t="s">
        <v>119</v>
      </c>
      <c r="B2364" s="1">
        <v>5.0999999999999996</v>
      </c>
      <c r="C2364" s="1">
        <v>492</v>
      </c>
      <c r="D2364" s="1" t="s">
        <v>33</v>
      </c>
      <c r="E2364" s="1" t="s">
        <v>15</v>
      </c>
      <c r="F2364" s="1">
        <f t="shared" si="80"/>
        <v>509.99999999999994</v>
      </c>
      <c r="G2364" s="12">
        <f t="shared" si="81"/>
        <v>96.47058823529413</v>
      </c>
    </row>
    <row r="2365" spans="1:7" ht="13">
      <c r="A2365" s="4" t="s">
        <v>119</v>
      </c>
      <c r="B2365" s="1">
        <v>6.96</v>
      </c>
      <c r="C2365" s="1">
        <v>690</v>
      </c>
      <c r="D2365" s="1" t="s">
        <v>45</v>
      </c>
      <c r="E2365" s="1" t="s">
        <v>24</v>
      </c>
      <c r="F2365" s="1">
        <f t="shared" si="80"/>
        <v>696</v>
      </c>
      <c r="G2365" s="12">
        <f t="shared" si="81"/>
        <v>99.137931034482762</v>
      </c>
    </row>
    <row r="2366" spans="1:7" ht="13">
      <c r="A2366" s="4" t="s">
        <v>119</v>
      </c>
      <c r="B2366" s="1">
        <v>8.6</v>
      </c>
      <c r="C2366" s="1">
        <v>835</v>
      </c>
      <c r="D2366" s="1" t="s">
        <v>33</v>
      </c>
      <c r="E2366" s="1" t="s">
        <v>8</v>
      </c>
      <c r="F2366" s="1">
        <f t="shared" si="80"/>
        <v>860</v>
      </c>
      <c r="G2366" s="12">
        <f t="shared" si="81"/>
        <v>97.093023255813961</v>
      </c>
    </row>
    <row r="2367" spans="1:7" ht="13">
      <c r="A2367" s="4" t="s">
        <v>119</v>
      </c>
      <c r="B2367" s="1">
        <v>6.8</v>
      </c>
      <c r="C2367" s="1">
        <v>705</v>
      </c>
      <c r="D2367" s="1" t="s">
        <v>38</v>
      </c>
      <c r="E2367" s="1" t="s">
        <v>41</v>
      </c>
      <c r="F2367" s="1">
        <f t="shared" si="80"/>
        <v>680</v>
      </c>
      <c r="G2367" s="12">
        <f t="shared" si="81"/>
        <v>103.67647058823529</v>
      </c>
    </row>
    <row r="2368" spans="1:7" ht="13">
      <c r="A2368" s="4" t="s">
        <v>119</v>
      </c>
      <c r="B2368" s="1">
        <v>6.88</v>
      </c>
      <c r="C2368" s="1">
        <v>713</v>
      </c>
      <c r="D2368" s="1" t="s">
        <v>11</v>
      </c>
      <c r="E2368" s="1" t="s">
        <v>8</v>
      </c>
      <c r="F2368" s="1">
        <f t="shared" si="80"/>
        <v>688</v>
      </c>
      <c r="G2368" s="12">
        <f t="shared" si="81"/>
        <v>103.63372093023256</v>
      </c>
    </row>
    <row r="2369" spans="1:7" ht="13">
      <c r="A2369" s="4" t="s">
        <v>119</v>
      </c>
      <c r="B2369" s="1">
        <v>6</v>
      </c>
      <c r="C2369" s="1">
        <v>587</v>
      </c>
      <c r="D2369" s="1" t="s">
        <v>55</v>
      </c>
      <c r="E2369" s="1" t="s">
        <v>15</v>
      </c>
      <c r="F2369" s="1">
        <f t="shared" si="80"/>
        <v>600</v>
      </c>
      <c r="G2369" s="12">
        <f t="shared" si="81"/>
        <v>97.833333333333329</v>
      </c>
    </row>
    <row r="2370" spans="1:7" ht="13">
      <c r="A2370" s="4" t="s">
        <v>119</v>
      </c>
      <c r="B2370" s="1">
        <v>8.6</v>
      </c>
      <c r="C2370" s="1">
        <v>911</v>
      </c>
      <c r="D2370" s="1" t="s">
        <v>11</v>
      </c>
      <c r="E2370" s="1" t="s">
        <v>9</v>
      </c>
      <c r="F2370" s="1">
        <f t="shared" si="80"/>
        <v>860</v>
      </c>
      <c r="G2370" s="12">
        <f t="shared" si="81"/>
        <v>105.93023255813954</v>
      </c>
    </row>
    <row r="2371" spans="1:7" ht="13">
      <c r="A2371" s="4" t="s">
        <v>119</v>
      </c>
      <c r="B2371" s="1">
        <v>7.65</v>
      </c>
      <c r="C2371" s="1">
        <v>570</v>
      </c>
      <c r="D2371" s="1" t="s">
        <v>33</v>
      </c>
      <c r="E2371" s="1" t="s">
        <v>19</v>
      </c>
      <c r="F2371" s="1">
        <f t="shared" ref="F2371:F2434" si="82">B2371*100</f>
        <v>765</v>
      </c>
      <c r="G2371" s="12">
        <f t="shared" ref="G2371:G2434" si="83">C2371/B2371</f>
        <v>74.509803921568619</v>
      </c>
    </row>
    <row r="2372" spans="1:7" ht="13">
      <c r="A2372" s="4" t="s">
        <v>119</v>
      </c>
      <c r="B2372" s="1">
        <v>6.8</v>
      </c>
      <c r="C2372" s="1">
        <v>712</v>
      </c>
      <c r="D2372" s="1" t="s">
        <v>44</v>
      </c>
      <c r="E2372" s="1" t="s">
        <v>26</v>
      </c>
      <c r="F2372" s="1">
        <f t="shared" si="82"/>
        <v>680</v>
      </c>
      <c r="G2372" s="12">
        <f t="shared" si="83"/>
        <v>104.70588235294117</v>
      </c>
    </row>
    <row r="2373" spans="1:7" ht="13">
      <c r="A2373" s="4" t="s">
        <v>119</v>
      </c>
      <c r="B2373" s="1">
        <v>7.56</v>
      </c>
      <c r="C2373" s="1">
        <v>737</v>
      </c>
      <c r="D2373" s="1" t="s">
        <v>11</v>
      </c>
      <c r="E2373" s="1" t="s">
        <v>25</v>
      </c>
      <c r="F2373" s="1">
        <f t="shared" si="82"/>
        <v>756</v>
      </c>
      <c r="G2373" s="12">
        <f t="shared" si="83"/>
        <v>97.486772486772495</v>
      </c>
    </row>
    <row r="2374" spans="1:7" ht="13">
      <c r="A2374" s="4" t="s">
        <v>119</v>
      </c>
      <c r="B2374" s="1">
        <v>5.6</v>
      </c>
      <c r="C2374" s="1">
        <v>617</v>
      </c>
      <c r="D2374" s="1" t="s">
        <v>54</v>
      </c>
      <c r="E2374" s="1" t="s">
        <v>22</v>
      </c>
      <c r="F2374" s="1">
        <f t="shared" si="82"/>
        <v>560</v>
      </c>
      <c r="G2374" s="12">
        <f t="shared" si="83"/>
        <v>110.17857142857143</v>
      </c>
    </row>
    <row r="2375" spans="1:7" ht="13">
      <c r="A2375" s="4" t="s">
        <v>119</v>
      </c>
      <c r="B2375" s="1">
        <v>6.4</v>
      </c>
      <c r="C2375" s="1">
        <v>775.31</v>
      </c>
      <c r="D2375" s="1" t="s">
        <v>11</v>
      </c>
      <c r="E2375" s="1" t="s">
        <v>16</v>
      </c>
      <c r="F2375" s="1">
        <f t="shared" si="82"/>
        <v>640</v>
      </c>
      <c r="G2375" s="12">
        <f t="shared" si="83"/>
        <v>121.14218749999999</v>
      </c>
    </row>
    <row r="2376" spans="1:7" ht="13">
      <c r="A2376" s="4" t="s">
        <v>119</v>
      </c>
      <c r="B2376" s="1">
        <v>5.81</v>
      </c>
      <c r="C2376" s="1">
        <v>638</v>
      </c>
      <c r="D2376" s="1" t="s">
        <v>38</v>
      </c>
      <c r="E2376" s="1" t="s">
        <v>8</v>
      </c>
      <c r="F2376" s="1">
        <f t="shared" si="82"/>
        <v>581</v>
      </c>
      <c r="G2376" s="12">
        <f t="shared" si="83"/>
        <v>109.8106712564544</v>
      </c>
    </row>
    <row r="2377" spans="1:7" ht="13">
      <c r="A2377" s="4" t="s">
        <v>119</v>
      </c>
      <c r="B2377" s="1">
        <v>4.3</v>
      </c>
      <c r="C2377" s="1">
        <v>355</v>
      </c>
      <c r="D2377" s="1" t="s">
        <v>33</v>
      </c>
      <c r="E2377" s="1" t="s">
        <v>19</v>
      </c>
      <c r="F2377" s="1">
        <f t="shared" si="82"/>
        <v>430</v>
      </c>
      <c r="G2377" s="12">
        <f t="shared" si="83"/>
        <v>82.558139534883722</v>
      </c>
    </row>
    <row r="2378" spans="1:7" ht="13">
      <c r="A2378" s="4" t="s">
        <v>119</v>
      </c>
      <c r="B2378" s="1">
        <v>7.83</v>
      </c>
      <c r="C2378" s="1">
        <v>700</v>
      </c>
      <c r="D2378" s="1" t="s">
        <v>33</v>
      </c>
      <c r="E2378" s="1" t="s">
        <v>21</v>
      </c>
      <c r="F2378" s="1">
        <f t="shared" si="82"/>
        <v>783</v>
      </c>
      <c r="G2378" s="12">
        <f t="shared" si="83"/>
        <v>89.399744572158369</v>
      </c>
    </row>
    <row r="2379" spans="1:7" ht="13">
      <c r="A2379" s="4" t="s">
        <v>119</v>
      </c>
      <c r="B2379" s="1">
        <v>7.9</v>
      </c>
      <c r="C2379" s="1">
        <v>784</v>
      </c>
      <c r="D2379" s="1" t="s">
        <v>33</v>
      </c>
      <c r="E2379" s="1" t="s">
        <v>16</v>
      </c>
      <c r="F2379" s="1">
        <f t="shared" si="82"/>
        <v>790</v>
      </c>
      <c r="G2379" s="12">
        <f t="shared" si="83"/>
        <v>99.240506329113913</v>
      </c>
    </row>
    <row r="2380" spans="1:7" ht="13">
      <c r="A2380" s="4" t="s">
        <v>119</v>
      </c>
      <c r="B2380" s="1">
        <v>7.83</v>
      </c>
      <c r="C2380" s="1">
        <v>830</v>
      </c>
      <c r="D2380" s="1" t="s">
        <v>11</v>
      </c>
      <c r="E2380" s="1" t="s">
        <v>21</v>
      </c>
      <c r="F2380" s="1">
        <f t="shared" si="82"/>
        <v>783</v>
      </c>
      <c r="G2380" s="12">
        <f t="shared" si="83"/>
        <v>106.00255427841634</v>
      </c>
    </row>
    <row r="2381" spans="1:7" ht="13">
      <c r="A2381" s="4" t="s">
        <v>119</v>
      </c>
      <c r="B2381" s="1">
        <v>5.46</v>
      </c>
      <c r="C2381" s="1">
        <v>618</v>
      </c>
      <c r="D2381" s="1" t="s">
        <v>43</v>
      </c>
      <c r="E2381" s="1" t="s">
        <v>15</v>
      </c>
      <c r="F2381" s="1">
        <f t="shared" si="82"/>
        <v>546</v>
      </c>
      <c r="G2381" s="12">
        <f t="shared" si="83"/>
        <v>113.18681318681318</v>
      </c>
    </row>
    <row r="2382" spans="1:7" ht="13">
      <c r="A2382" s="4" t="s">
        <v>119</v>
      </c>
      <c r="B2382" s="1">
        <v>4.8</v>
      </c>
      <c r="C2382" s="1">
        <v>440</v>
      </c>
      <c r="D2382" s="1" t="s">
        <v>11</v>
      </c>
      <c r="E2382" s="1" t="s">
        <v>10</v>
      </c>
      <c r="F2382" s="1">
        <f t="shared" si="82"/>
        <v>480</v>
      </c>
      <c r="G2382" s="12">
        <f t="shared" si="83"/>
        <v>91.666666666666671</v>
      </c>
    </row>
    <row r="2383" spans="1:7" ht="13">
      <c r="A2383" s="4" t="s">
        <v>119</v>
      </c>
      <c r="B2383" s="1">
        <v>6.09</v>
      </c>
      <c r="C2383" s="1">
        <v>631</v>
      </c>
      <c r="D2383" s="1" t="s">
        <v>38</v>
      </c>
      <c r="E2383" s="1" t="s">
        <v>8</v>
      </c>
      <c r="F2383" s="1">
        <f t="shared" si="82"/>
        <v>609</v>
      </c>
      <c r="G2383" s="12">
        <f t="shared" si="83"/>
        <v>103.61247947454844</v>
      </c>
    </row>
    <row r="2384" spans="1:7" ht="13">
      <c r="A2384" s="4" t="s">
        <v>119</v>
      </c>
      <c r="B2384" s="1">
        <v>6.9</v>
      </c>
      <c r="C2384" s="1">
        <v>741</v>
      </c>
      <c r="D2384" s="1" t="s">
        <v>11</v>
      </c>
      <c r="E2384" s="1" t="s">
        <v>28</v>
      </c>
      <c r="F2384" s="1">
        <f t="shared" si="82"/>
        <v>690</v>
      </c>
      <c r="G2384" s="12">
        <f t="shared" si="83"/>
        <v>107.39130434782608</v>
      </c>
    </row>
    <row r="2385" spans="1:7" ht="13">
      <c r="A2385" s="4" t="s">
        <v>119</v>
      </c>
      <c r="B2385" s="1">
        <v>8.1999999999999993</v>
      </c>
      <c r="C2385" s="1">
        <v>755</v>
      </c>
      <c r="D2385" s="1" t="s">
        <v>11</v>
      </c>
      <c r="E2385" s="1" t="s">
        <v>12</v>
      </c>
      <c r="F2385" s="1">
        <f t="shared" si="82"/>
        <v>819.99999999999989</v>
      </c>
      <c r="G2385" s="12">
        <f t="shared" si="83"/>
        <v>92.073170731707322</v>
      </c>
    </row>
    <row r="2386" spans="1:7" ht="13">
      <c r="A2386" s="4" t="s">
        <v>119</v>
      </c>
      <c r="B2386" s="1">
        <v>8.6999999999999993</v>
      </c>
      <c r="C2386" s="1">
        <v>873</v>
      </c>
      <c r="D2386" s="1" t="s">
        <v>11</v>
      </c>
      <c r="E2386" s="1" t="s">
        <v>27</v>
      </c>
      <c r="F2386" s="1">
        <f t="shared" si="82"/>
        <v>869.99999999999989</v>
      </c>
      <c r="G2386" s="12">
        <f t="shared" si="83"/>
        <v>100.3448275862069</v>
      </c>
    </row>
    <row r="2387" spans="1:7" ht="13">
      <c r="A2387" s="4" t="s">
        <v>119</v>
      </c>
      <c r="B2387" s="1">
        <v>8.6</v>
      </c>
      <c r="C2387" s="1">
        <v>1000</v>
      </c>
      <c r="D2387" s="1" t="s">
        <v>11</v>
      </c>
      <c r="E2387" s="1" t="s">
        <v>20</v>
      </c>
      <c r="F2387" s="1">
        <f t="shared" si="82"/>
        <v>860</v>
      </c>
      <c r="G2387" s="12">
        <f t="shared" si="83"/>
        <v>116.27906976744187</v>
      </c>
    </row>
    <row r="2388" spans="1:7" ht="13">
      <c r="A2388" s="4" t="s">
        <v>119</v>
      </c>
      <c r="B2388" s="1">
        <v>8.8000000000000007</v>
      </c>
      <c r="C2388" s="1">
        <v>831</v>
      </c>
      <c r="D2388" s="1" t="s">
        <v>11</v>
      </c>
      <c r="E2388" s="1" t="s">
        <v>7</v>
      </c>
      <c r="F2388" s="1">
        <f t="shared" si="82"/>
        <v>880.00000000000011</v>
      </c>
      <c r="G2388" s="12">
        <f t="shared" si="83"/>
        <v>94.431818181818173</v>
      </c>
    </row>
    <row r="2389" spans="1:7" ht="13">
      <c r="A2389" s="4" t="s">
        <v>119</v>
      </c>
      <c r="B2389" s="1">
        <v>6.2</v>
      </c>
      <c r="C2389" s="1">
        <v>837</v>
      </c>
      <c r="D2389" s="1" t="s">
        <v>11</v>
      </c>
      <c r="E2389" s="1" t="s">
        <v>16</v>
      </c>
      <c r="F2389" s="1">
        <f t="shared" si="82"/>
        <v>620</v>
      </c>
      <c r="G2389" s="12">
        <f t="shared" si="83"/>
        <v>135</v>
      </c>
    </row>
    <row r="2390" spans="1:7" ht="13">
      <c r="A2390" s="4" t="s">
        <v>119</v>
      </c>
      <c r="B2390" s="1">
        <v>7.4</v>
      </c>
      <c r="C2390" s="1">
        <v>805</v>
      </c>
      <c r="D2390" s="1" t="s">
        <v>11</v>
      </c>
      <c r="E2390" s="1" t="s">
        <v>22</v>
      </c>
      <c r="F2390" s="1">
        <f t="shared" si="82"/>
        <v>740</v>
      </c>
      <c r="G2390" s="12">
        <f t="shared" si="83"/>
        <v>108.78378378378378</v>
      </c>
    </row>
    <row r="2391" spans="1:7" ht="13">
      <c r="A2391" s="4" t="s">
        <v>119</v>
      </c>
      <c r="B2391" s="1">
        <v>3.5</v>
      </c>
      <c r="C2391" s="1">
        <v>363</v>
      </c>
      <c r="D2391" s="1" t="s">
        <v>55</v>
      </c>
      <c r="E2391" s="1" t="s">
        <v>15</v>
      </c>
      <c r="F2391" s="1">
        <f t="shared" si="82"/>
        <v>350</v>
      </c>
      <c r="G2391" s="12">
        <f t="shared" si="83"/>
        <v>103.71428571428571</v>
      </c>
    </row>
    <row r="2392" spans="1:7" ht="13">
      <c r="A2392" s="4" t="s">
        <v>119</v>
      </c>
      <c r="B2392" s="1">
        <v>6.8</v>
      </c>
      <c r="C2392" s="1">
        <v>585</v>
      </c>
      <c r="D2392" s="1" t="s">
        <v>33</v>
      </c>
      <c r="E2392" s="1" t="s">
        <v>20</v>
      </c>
      <c r="F2392" s="1">
        <f t="shared" si="82"/>
        <v>680</v>
      </c>
      <c r="G2392" s="12">
        <f t="shared" si="83"/>
        <v>86.029411764705884</v>
      </c>
    </row>
    <row r="2393" spans="1:7" ht="13">
      <c r="A2393" s="4" t="s">
        <v>119</v>
      </c>
      <c r="B2393" s="1">
        <v>8.6999999999999993</v>
      </c>
      <c r="C2393" s="1">
        <v>858</v>
      </c>
      <c r="D2393" s="1" t="s">
        <v>11</v>
      </c>
      <c r="E2393" s="1" t="s">
        <v>27</v>
      </c>
      <c r="F2393" s="1">
        <f t="shared" si="82"/>
        <v>869.99999999999989</v>
      </c>
      <c r="G2393" s="12">
        <f t="shared" si="83"/>
        <v>98.620689655172427</v>
      </c>
    </row>
    <row r="2394" spans="1:7" ht="13">
      <c r="A2394" s="4" t="s">
        <v>119</v>
      </c>
      <c r="B2394" s="1">
        <v>7.74</v>
      </c>
      <c r="C2394" s="1">
        <v>756</v>
      </c>
      <c r="D2394" s="1" t="s">
        <v>53</v>
      </c>
      <c r="E2394" s="1" t="s">
        <v>15</v>
      </c>
      <c r="F2394" s="1">
        <f t="shared" si="82"/>
        <v>774</v>
      </c>
      <c r="G2394" s="12">
        <f t="shared" si="83"/>
        <v>97.674418604651166</v>
      </c>
    </row>
    <row r="2395" spans="1:7" ht="13">
      <c r="A2395" s="4" t="s">
        <v>119</v>
      </c>
      <c r="B2395" s="1">
        <v>8</v>
      </c>
      <c r="C2395" s="1">
        <v>895</v>
      </c>
      <c r="D2395" s="1" t="s">
        <v>55</v>
      </c>
      <c r="E2395" s="1" t="s">
        <v>18</v>
      </c>
      <c r="F2395" s="1">
        <f t="shared" si="82"/>
        <v>800</v>
      </c>
      <c r="G2395" s="12">
        <f t="shared" si="83"/>
        <v>111.875</v>
      </c>
    </row>
    <row r="2396" spans="1:7" ht="13">
      <c r="A2396" s="4" t="s">
        <v>119</v>
      </c>
      <c r="B2396" s="1">
        <v>7.2</v>
      </c>
      <c r="C2396" s="1">
        <v>635</v>
      </c>
      <c r="D2396" s="1" t="s">
        <v>11</v>
      </c>
      <c r="E2396" s="1" t="s">
        <v>13</v>
      </c>
      <c r="F2396" s="1">
        <f t="shared" si="82"/>
        <v>720</v>
      </c>
      <c r="G2396" s="12">
        <f t="shared" si="83"/>
        <v>88.194444444444443</v>
      </c>
    </row>
    <row r="2397" spans="1:7" ht="13">
      <c r="A2397" s="4" t="s">
        <v>119</v>
      </c>
      <c r="B2397" s="1">
        <v>7.2</v>
      </c>
      <c r="C2397" s="1">
        <v>635</v>
      </c>
      <c r="D2397" s="1" t="s">
        <v>11</v>
      </c>
      <c r="E2397" s="1" t="s">
        <v>13</v>
      </c>
      <c r="F2397" s="1">
        <f t="shared" si="82"/>
        <v>720</v>
      </c>
      <c r="G2397" s="12">
        <f t="shared" si="83"/>
        <v>88.194444444444443</v>
      </c>
    </row>
    <row r="2398" spans="1:7" ht="13">
      <c r="A2398" s="4" t="s">
        <v>119</v>
      </c>
      <c r="B2398" s="1">
        <v>6.96</v>
      </c>
      <c r="C2398" s="1">
        <v>679</v>
      </c>
      <c r="D2398" s="1" t="s">
        <v>11</v>
      </c>
      <c r="E2398" s="1" t="s">
        <v>18</v>
      </c>
      <c r="F2398" s="1">
        <f t="shared" si="82"/>
        <v>696</v>
      </c>
      <c r="G2398" s="12">
        <f t="shared" si="83"/>
        <v>97.55747126436782</v>
      </c>
    </row>
    <row r="2399" spans="1:7" ht="13">
      <c r="A2399" s="4" t="s">
        <v>119</v>
      </c>
      <c r="B2399" s="1">
        <v>5</v>
      </c>
      <c r="C2399" s="1">
        <v>485</v>
      </c>
      <c r="D2399" s="1" t="s">
        <v>11</v>
      </c>
      <c r="E2399" s="1" t="s">
        <v>14</v>
      </c>
      <c r="F2399" s="1">
        <f t="shared" si="82"/>
        <v>500</v>
      </c>
      <c r="G2399" s="12">
        <f t="shared" si="83"/>
        <v>97</v>
      </c>
    </row>
    <row r="2400" spans="1:7" ht="13">
      <c r="A2400" s="4" t="s">
        <v>119</v>
      </c>
      <c r="B2400" s="1">
        <v>7.83</v>
      </c>
      <c r="C2400" s="1">
        <v>692</v>
      </c>
      <c r="D2400" s="1" t="s">
        <v>11</v>
      </c>
      <c r="E2400" s="1" t="s">
        <v>12</v>
      </c>
      <c r="F2400" s="1">
        <f t="shared" si="82"/>
        <v>783</v>
      </c>
      <c r="G2400" s="12">
        <f t="shared" si="83"/>
        <v>88.378033205619417</v>
      </c>
    </row>
    <row r="2401" spans="1:7" ht="13">
      <c r="A2401" s="4" t="s">
        <v>119</v>
      </c>
      <c r="B2401" s="1">
        <v>6.25</v>
      </c>
      <c r="C2401" s="1">
        <v>681</v>
      </c>
      <c r="D2401" s="1" t="s">
        <v>11</v>
      </c>
      <c r="E2401" s="1" t="s">
        <v>7</v>
      </c>
      <c r="F2401" s="1">
        <f t="shared" si="82"/>
        <v>625</v>
      </c>
      <c r="G2401" s="12">
        <f t="shared" si="83"/>
        <v>108.96</v>
      </c>
    </row>
    <row r="2402" spans="1:7" ht="13">
      <c r="A2402" s="4" t="s">
        <v>119</v>
      </c>
      <c r="B2402" s="1">
        <v>5</v>
      </c>
      <c r="C2402" s="1">
        <v>593</v>
      </c>
      <c r="D2402" s="1" t="s">
        <v>11</v>
      </c>
      <c r="E2402" s="1" t="s">
        <v>8</v>
      </c>
      <c r="F2402" s="1">
        <f t="shared" si="82"/>
        <v>500</v>
      </c>
      <c r="G2402" s="12">
        <f t="shared" si="83"/>
        <v>118.6</v>
      </c>
    </row>
    <row r="2403" spans="1:7" ht="13">
      <c r="A2403" s="4" t="s">
        <v>119</v>
      </c>
      <c r="B2403" s="1">
        <v>8.35</v>
      </c>
      <c r="C2403" s="1">
        <v>780</v>
      </c>
      <c r="D2403" s="1" t="s">
        <v>11</v>
      </c>
      <c r="E2403" s="1" t="s">
        <v>15</v>
      </c>
      <c r="F2403" s="1">
        <f t="shared" si="82"/>
        <v>835</v>
      </c>
      <c r="G2403" s="12">
        <f t="shared" si="83"/>
        <v>93.41317365269461</v>
      </c>
    </row>
    <row r="2404" spans="1:7" ht="13">
      <c r="A2404" s="4" t="s">
        <v>119</v>
      </c>
      <c r="B2404" s="1">
        <v>5.2</v>
      </c>
      <c r="C2404" s="1">
        <v>506</v>
      </c>
      <c r="D2404" s="1" t="s">
        <v>45</v>
      </c>
      <c r="E2404" s="1" t="s">
        <v>15</v>
      </c>
      <c r="F2404" s="1">
        <f t="shared" si="82"/>
        <v>520</v>
      </c>
      <c r="G2404" s="12">
        <f t="shared" si="83"/>
        <v>97.307692307692307</v>
      </c>
    </row>
    <row r="2405" spans="1:7" ht="13">
      <c r="A2405" s="4" t="s">
        <v>119</v>
      </c>
      <c r="B2405" s="1">
        <v>7.6</v>
      </c>
      <c r="C2405" s="1">
        <v>629</v>
      </c>
      <c r="D2405" s="1" t="s">
        <v>33</v>
      </c>
      <c r="E2405" s="1" t="s">
        <v>17</v>
      </c>
      <c r="F2405" s="1">
        <f t="shared" si="82"/>
        <v>760</v>
      </c>
      <c r="G2405" s="12">
        <f t="shared" si="83"/>
        <v>82.76315789473685</v>
      </c>
    </row>
    <row r="2406" spans="1:7" ht="13">
      <c r="A2406" s="4" t="s">
        <v>119</v>
      </c>
      <c r="B2406" s="1">
        <v>7.29</v>
      </c>
      <c r="C2406" s="1">
        <v>714</v>
      </c>
      <c r="D2406" s="1" t="s">
        <v>11</v>
      </c>
      <c r="E2406" s="1" t="s">
        <v>18</v>
      </c>
      <c r="F2406" s="1">
        <f t="shared" si="82"/>
        <v>729</v>
      </c>
      <c r="G2406" s="12">
        <f t="shared" si="83"/>
        <v>97.942386831275726</v>
      </c>
    </row>
    <row r="2407" spans="1:7" ht="13">
      <c r="A2407" s="4" t="s">
        <v>119</v>
      </c>
      <c r="B2407" s="1">
        <v>9.1</v>
      </c>
      <c r="C2407" s="1">
        <v>766</v>
      </c>
      <c r="D2407" s="1" t="s">
        <v>38</v>
      </c>
      <c r="E2407" s="1" t="s">
        <v>14</v>
      </c>
      <c r="F2407" s="1">
        <f t="shared" si="82"/>
        <v>910</v>
      </c>
      <c r="G2407" s="12">
        <f t="shared" si="83"/>
        <v>84.175824175824175</v>
      </c>
    </row>
    <row r="2408" spans="1:7" ht="13">
      <c r="A2408" s="4" t="s">
        <v>119</v>
      </c>
      <c r="B2408" s="1">
        <v>7.3</v>
      </c>
      <c r="C2408" s="1">
        <v>37.630000000000003</v>
      </c>
      <c r="D2408" s="1" t="s">
        <v>38</v>
      </c>
      <c r="E2408" s="1" t="s">
        <v>22</v>
      </c>
      <c r="F2408" s="1">
        <f t="shared" si="82"/>
        <v>730</v>
      </c>
      <c r="G2408" s="12">
        <f t="shared" si="83"/>
        <v>5.154794520547946</v>
      </c>
    </row>
    <row r="2409" spans="1:7" ht="13">
      <c r="A2409" s="4" t="s">
        <v>119</v>
      </c>
      <c r="B2409" s="1">
        <v>3.6</v>
      </c>
      <c r="C2409" s="1">
        <v>395</v>
      </c>
      <c r="D2409" s="1" t="s">
        <v>47</v>
      </c>
      <c r="E2409" s="1" t="s">
        <v>28</v>
      </c>
      <c r="F2409" s="1">
        <f t="shared" si="82"/>
        <v>360</v>
      </c>
      <c r="G2409" s="12">
        <f t="shared" si="83"/>
        <v>109.72222222222221</v>
      </c>
    </row>
    <row r="2410" spans="1:7" ht="13">
      <c r="A2410" s="4" t="s">
        <v>119</v>
      </c>
      <c r="B2410" s="1">
        <v>6</v>
      </c>
      <c r="C2410" s="1">
        <v>482</v>
      </c>
      <c r="D2410" s="1" t="s">
        <v>11</v>
      </c>
      <c r="E2410" s="1" t="s">
        <v>12</v>
      </c>
      <c r="F2410" s="1">
        <f t="shared" si="82"/>
        <v>600</v>
      </c>
      <c r="G2410" s="12">
        <f t="shared" si="83"/>
        <v>80.333333333333329</v>
      </c>
    </row>
    <row r="2411" spans="1:7" ht="13">
      <c r="A2411" s="4" t="s">
        <v>119</v>
      </c>
      <c r="B2411" s="1">
        <v>7.92</v>
      </c>
      <c r="C2411" s="1">
        <v>756</v>
      </c>
      <c r="D2411" s="1" t="s">
        <v>44</v>
      </c>
      <c r="E2411" s="1" t="s">
        <v>15</v>
      </c>
      <c r="F2411" s="1">
        <f t="shared" si="82"/>
        <v>792</v>
      </c>
      <c r="G2411" s="12">
        <f t="shared" si="83"/>
        <v>95.454545454545453</v>
      </c>
    </row>
    <row r="2412" spans="1:7" ht="13">
      <c r="A2412" s="4" t="s">
        <v>119</v>
      </c>
      <c r="B2412" s="1">
        <v>10.199999999999999</v>
      </c>
      <c r="C2412" s="1">
        <v>820</v>
      </c>
      <c r="D2412" s="1" t="s">
        <v>38</v>
      </c>
      <c r="E2412" s="1" t="s">
        <v>7</v>
      </c>
      <c r="F2412" s="1">
        <f t="shared" si="82"/>
        <v>1019.9999999999999</v>
      </c>
      <c r="G2412" s="12">
        <f t="shared" si="83"/>
        <v>80.392156862745097</v>
      </c>
    </row>
    <row r="2413" spans="1:7" ht="13">
      <c r="A2413" s="4" t="s">
        <v>119</v>
      </c>
      <c r="B2413" s="1">
        <v>7.3</v>
      </c>
      <c r="C2413" s="1">
        <v>747</v>
      </c>
      <c r="D2413" s="1" t="s">
        <v>38</v>
      </c>
      <c r="E2413" s="1" t="s">
        <v>22</v>
      </c>
      <c r="F2413" s="1">
        <f t="shared" si="82"/>
        <v>730</v>
      </c>
      <c r="G2413" s="12">
        <f t="shared" si="83"/>
        <v>102.32876712328768</v>
      </c>
    </row>
    <row r="2414" spans="1:7" ht="13">
      <c r="A2414" s="4" t="s">
        <v>119</v>
      </c>
      <c r="B2414" s="1">
        <v>5.2</v>
      </c>
      <c r="C2414" s="1">
        <v>403</v>
      </c>
      <c r="D2414" s="1" t="s">
        <v>33</v>
      </c>
      <c r="E2414" s="1" t="s">
        <v>7</v>
      </c>
      <c r="F2414" s="1">
        <f t="shared" si="82"/>
        <v>520</v>
      </c>
      <c r="G2414" s="12">
        <f t="shared" si="83"/>
        <v>77.5</v>
      </c>
    </row>
    <row r="2415" spans="1:7" ht="13">
      <c r="A2415" s="4" t="s">
        <v>119</v>
      </c>
      <c r="B2415" s="1">
        <v>5.3949999999999996</v>
      </c>
      <c r="C2415" s="1">
        <v>580</v>
      </c>
      <c r="D2415" s="1" t="s">
        <v>45</v>
      </c>
      <c r="E2415" s="1" t="s">
        <v>15</v>
      </c>
      <c r="F2415" s="1">
        <f t="shared" si="82"/>
        <v>539.5</v>
      </c>
      <c r="G2415" s="12">
        <f t="shared" si="83"/>
        <v>107.50695088044486</v>
      </c>
    </row>
    <row r="2416" spans="1:7" ht="13">
      <c r="A2416" s="4" t="s">
        <v>119</v>
      </c>
      <c r="B2416" s="1">
        <v>7.4</v>
      </c>
      <c r="C2416" s="1">
        <v>834</v>
      </c>
      <c r="D2416" s="1" t="s">
        <v>11</v>
      </c>
      <c r="E2416" s="1" t="s">
        <v>10</v>
      </c>
      <c r="F2416" s="1">
        <f t="shared" si="82"/>
        <v>740</v>
      </c>
      <c r="G2416" s="12">
        <f t="shared" si="83"/>
        <v>112.70270270270269</v>
      </c>
    </row>
    <row r="2417" spans="1:7" ht="13">
      <c r="A2417" s="4" t="s">
        <v>119</v>
      </c>
      <c r="B2417" s="1">
        <v>7.46</v>
      </c>
      <c r="C2417" s="1">
        <v>746</v>
      </c>
      <c r="D2417" s="1" t="s">
        <v>79</v>
      </c>
      <c r="E2417" s="1" t="s">
        <v>25</v>
      </c>
      <c r="F2417" s="1">
        <f t="shared" si="82"/>
        <v>746</v>
      </c>
      <c r="G2417" s="12">
        <f t="shared" si="83"/>
        <v>100</v>
      </c>
    </row>
    <row r="2418" spans="1:7" ht="13">
      <c r="A2418" s="4" t="s">
        <v>119</v>
      </c>
      <c r="B2418" s="1">
        <v>7</v>
      </c>
      <c r="C2418" s="1">
        <v>632</v>
      </c>
      <c r="D2418" s="1" t="s">
        <v>33</v>
      </c>
      <c r="E2418" s="1" t="s">
        <v>20</v>
      </c>
      <c r="F2418" s="1">
        <f t="shared" si="82"/>
        <v>700</v>
      </c>
      <c r="G2418" s="12">
        <f t="shared" si="83"/>
        <v>90.285714285714292</v>
      </c>
    </row>
    <row r="2419" spans="1:7" ht="13">
      <c r="A2419" s="4" t="s">
        <v>119</v>
      </c>
      <c r="B2419" s="1">
        <v>9.24</v>
      </c>
      <c r="C2419" s="1">
        <v>777</v>
      </c>
      <c r="D2419" s="1" t="s">
        <v>42</v>
      </c>
      <c r="E2419" s="1" t="s">
        <v>12</v>
      </c>
      <c r="F2419" s="1">
        <f t="shared" si="82"/>
        <v>924</v>
      </c>
      <c r="G2419" s="12">
        <f t="shared" si="83"/>
        <v>84.090909090909093</v>
      </c>
    </row>
    <row r="2420" spans="1:7" ht="13">
      <c r="A2420" s="4" t="s">
        <v>119</v>
      </c>
      <c r="B2420" s="1">
        <v>6.02</v>
      </c>
      <c r="C2420" s="1">
        <v>606.36</v>
      </c>
      <c r="D2420" s="1" t="s">
        <v>11</v>
      </c>
      <c r="E2420" s="1" t="s">
        <v>22</v>
      </c>
      <c r="F2420" s="1">
        <f t="shared" si="82"/>
        <v>602</v>
      </c>
      <c r="G2420" s="12">
        <f t="shared" si="83"/>
        <v>100.72425249169436</v>
      </c>
    </row>
    <row r="2421" spans="1:7" ht="13">
      <c r="A2421" s="4" t="s">
        <v>119</v>
      </c>
      <c r="B2421" s="1">
        <v>8.4600000000000009</v>
      </c>
      <c r="C2421" s="1">
        <v>747</v>
      </c>
      <c r="D2421" s="1" t="s">
        <v>79</v>
      </c>
      <c r="E2421" s="1" t="s">
        <v>25</v>
      </c>
      <c r="F2421" s="1">
        <f t="shared" si="82"/>
        <v>846.00000000000011</v>
      </c>
      <c r="G2421" s="12">
        <f t="shared" si="83"/>
        <v>88.297872340425528</v>
      </c>
    </row>
    <row r="2422" spans="1:7" ht="13">
      <c r="A2422" s="4" t="s">
        <v>119</v>
      </c>
      <c r="B2422" s="1">
        <v>6.2</v>
      </c>
      <c r="C2422" s="1">
        <v>469.22</v>
      </c>
      <c r="D2422" s="1" t="s">
        <v>45</v>
      </c>
      <c r="E2422" s="1" t="s">
        <v>27</v>
      </c>
      <c r="F2422" s="1">
        <f t="shared" si="82"/>
        <v>620</v>
      </c>
      <c r="G2422" s="12">
        <f t="shared" si="83"/>
        <v>75.680645161290329</v>
      </c>
    </row>
    <row r="2423" spans="1:7" ht="13">
      <c r="A2423" s="4" t="s">
        <v>119</v>
      </c>
      <c r="B2423" s="1">
        <v>4.9000000000000004</v>
      </c>
      <c r="C2423" s="1">
        <v>567</v>
      </c>
      <c r="D2423" s="1" t="s">
        <v>38</v>
      </c>
      <c r="E2423" s="1" t="s">
        <v>15</v>
      </c>
      <c r="F2423" s="1">
        <f t="shared" si="82"/>
        <v>490.00000000000006</v>
      </c>
      <c r="G2423" s="12">
        <f t="shared" si="83"/>
        <v>115.71428571428571</v>
      </c>
    </row>
    <row r="2424" spans="1:7" ht="13">
      <c r="A2424" s="4" t="s">
        <v>119</v>
      </c>
      <c r="B2424" s="1">
        <v>4.1500000000000004</v>
      </c>
      <c r="C2424" s="1">
        <v>485</v>
      </c>
      <c r="D2424" s="1" t="s">
        <v>38</v>
      </c>
      <c r="E2424" s="1" t="s">
        <v>8</v>
      </c>
      <c r="F2424" s="1">
        <f t="shared" si="82"/>
        <v>415.00000000000006</v>
      </c>
      <c r="G2424" s="12">
        <f t="shared" si="83"/>
        <v>116.86746987951807</v>
      </c>
    </row>
    <row r="2425" spans="1:7" ht="13">
      <c r="A2425" s="4" t="s">
        <v>119</v>
      </c>
      <c r="B2425" s="1">
        <v>6.88</v>
      </c>
      <c r="C2425" s="1">
        <v>720</v>
      </c>
      <c r="D2425" s="1" t="s">
        <v>58</v>
      </c>
      <c r="E2425" s="1" t="s">
        <v>22</v>
      </c>
      <c r="F2425" s="1">
        <f t="shared" si="82"/>
        <v>688</v>
      </c>
      <c r="G2425" s="12">
        <f t="shared" si="83"/>
        <v>104.65116279069768</v>
      </c>
    </row>
    <row r="2426" spans="1:7" ht="13">
      <c r="A2426" s="4" t="s">
        <v>119</v>
      </c>
      <c r="B2426" s="1">
        <v>9.6</v>
      </c>
      <c r="C2426" s="1">
        <v>870</v>
      </c>
      <c r="D2426" s="1" t="s">
        <v>80</v>
      </c>
      <c r="E2426" s="1" t="s">
        <v>7</v>
      </c>
      <c r="F2426" s="1">
        <f t="shared" si="82"/>
        <v>960</v>
      </c>
      <c r="G2426" s="12">
        <f t="shared" si="83"/>
        <v>90.625</v>
      </c>
    </row>
    <row r="2427" spans="1:7" ht="13">
      <c r="A2427" s="4" t="s">
        <v>119</v>
      </c>
      <c r="B2427" s="1">
        <v>4.7300000000000004</v>
      </c>
      <c r="C2427" s="1">
        <v>491</v>
      </c>
      <c r="D2427" s="1" t="s">
        <v>33</v>
      </c>
      <c r="E2427" s="1" t="s">
        <v>8</v>
      </c>
      <c r="F2427" s="1">
        <f t="shared" si="82"/>
        <v>473.00000000000006</v>
      </c>
      <c r="G2427" s="12">
        <f t="shared" si="83"/>
        <v>103.80549682875264</v>
      </c>
    </row>
    <row r="2428" spans="1:7" ht="13">
      <c r="A2428" s="4" t="s">
        <v>119</v>
      </c>
      <c r="B2428" s="1">
        <v>5.88</v>
      </c>
      <c r="C2428" s="1">
        <v>635</v>
      </c>
      <c r="D2428" s="1" t="s">
        <v>11</v>
      </c>
      <c r="E2428" s="1" t="s">
        <v>15</v>
      </c>
      <c r="F2428" s="1">
        <f t="shared" si="82"/>
        <v>588</v>
      </c>
      <c r="G2428" s="12">
        <f t="shared" si="83"/>
        <v>107.99319727891157</v>
      </c>
    </row>
    <row r="2429" spans="1:7" ht="13">
      <c r="A2429" s="4" t="s">
        <v>119</v>
      </c>
      <c r="B2429" s="1">
        <v>6</v>
      </c>
      <c r="C2429" s="1">
        <v>543</v>
      </c>
      <c r="D2429" s="1" t="s">
        <v>38</v>
      </c>
      <c r="E2429" s="1" t="s">
        <v>8</v>
      </c>
      <c r="F2429" s="1">
        <f t="shared" si="82"/>
        <v>600</v>
      </c>
      <c r="G2429" s="12">
        <f t="shared" si="83"/>
        <v>90.5</v>
      </c>
    </row>
    <row r="2430" spans="1:7" ht="13">
      <c r="A2430" s="4" t="s">
        <v>119</v>
      </c>
      <c r="B2430" s="1">
        <v>7.4</v>
      </c>
      <c r="C2430" s="1">
        <v>714</v>
      </c>
      <c r="D2430" s="1" t="s">
        <v>105</v>
      </c>
      <c r="E2430" s="1" t="s">
        <v>49</v>
      </c>
      <c r="F2430" s="1">
        <f t="shared" si="82"/>
        <v>740</v>
      </c>
      <c r="G2430" s="12">
        <f t="shared" si="83"/>
        <v>96.486486486486484</v>
      </c>
    </row>
    <row r="2431" spans="1:7" ht="13">
      <c r="A2431" s="4" t="s">
        <v>119</v>
      </c>
      <c r="B2431" s="1">
        <v>6</v>
      </c>
      <c r="C2431" s="1">
        <v>745</v>
      </c>
      <c r="D2431" s="1" t="s">
        <v>11</v>
      </c>
      <c r="E2431" s="1" t="s">
        <v>22</v>
      </c>
      <c r="F2431" s="1">
        <f t="shared" si="82"/>
        <v>600</v>
      </c>
      <c r="G2431" s="12">
        <f t="shared" si="83"/>
        <v>124.16666666666667</v>
      </c>
    </row>
    <row r="2432" spans="1:7" ht="13">
      <c r="A2432" s="4" t="s">
        <v>119</v>
      </c>
      <c r="B2432" s="1">
        <v>4.38</v>
      </c>
      <c r="C2432" s="1">
        <v>461</v>
      </c>
      <c r="D2432" s="1" t="s">
        <v>43</v>
      </c>
      <c r="E2432" s="1" t="s">
        <v>24</v>
      </c>
      <c r="F2432" s="1">
        <f t="shared" si="82"/>
        <v>438</v>
      </c>
      <c r="G2432" s="12">
        <f t="shared" si="83"/>
        <v>105.25114155251141</v>
      </c>
    </row>
    <row r="2433" spans="1:7" ht="13">
      <c r="A2433" s="4" t="s">
        <v>119</v>
      </c>
      <c r="B2433" s="1">
        <v>6.4</v>
      </c>
      <c r="C2433" s="1">
        <v>711</v>
      </c>
      <c r="D2433" s="1" t="s">
        <v>11</v>
      </c>
      <c r="E2433" s="1" t="s">
        <v>8</v>
      </c>
      <c r="F2433" s="1">
        <f t="shared" si="82"/>
        <v>640</v>
      </c>
      <c r="G2433" s="12">
        <f t="shared" si="83"/>
        <v>111.09375</v>
      </c>
    </row>
    <row r="2434" spans="1:7" ht="13">
      <c r="A2434" s="4" t="s">
        <v>119</v>
      </c>
      <c r="B2434" s="1">
        <v>6.5</v>
      </c>
      <c r="C2434" s="1">
        <v>694</v>
      </c>
      <c r="D2434" s="1" t="s">
        <v>39</v>
      </c>
      <c r="E2434" s="1" t="s">
        <v>16</v>
      </c>
      <c r="F2434" s="1">
        <f t="shared" si="82"/>
        <v>650</v>
      </c>
      <c r="G2434" s="12">
        <f t="shared" si="83"/>
        <v>106.76923076923077</v>
      </c>
    </row>
    <row r="2435" spans="1:7" ht="13">
      <c r="A2435" s="4" t="s">
        <v>119</v>
      </c>
      <c r="B2435" s="1">
        <v>4.2</v>
      </c>
      <c r="C2435" s="1">
        <v>513</v>
      </c>
      <c r="D2435" s="1" t="s">
        <v>11</v>
      </c>
      <c r="E2435" s="1" t="s">
        <v>15</v>
      </c>
      <c r="F2435" s="1">
        <f t="shared" ref="F2435:F2498" si="84">B2435*100</f>
        <v>420</v>
      </c>
      <c r="G2435" s="12">
        <f t="shared" ref="G2435:G2498" si="85">C2435/B2435</f>
        <v>122.14285714285714</v>
      </c>
    </row>
    <row r="2436" spans="1:7" ht="13">
      <c r="A2436" s="4" t="s">
        <v>119</v>
      </c>
      <c r="B2436" s="1">
        <v>6.5</v>
      </c>
      <c r="C2436" s="1">
        <v>558.67999999999995</v>
      </c>
      <c r="D2436" s="1" t="s">
        <v>35</v>
      </c>
      <c r="E2436" s="1" t="s">
        <v>8</v>
      </c>
      <c r="F2436" s="1">
        <f t="shared" si="84"/>
        <v>650</v>
      </c>
      <c r="G2436" s="12">
        <f t="shared" si="85"/>
        <v>85.950769230769225</v>
      </c>
    </row>
    <row r="2437" spans="1:7" ht="13">
      <c r="A2437" s="4" t="s">
        <v>119</v>
      </c>
      <c r="B2437" s="1">
        <v>6.72</v>
      </c>
      <c r="C2437" s="1">
        <v>710</v>
      </c>
      <c r="D2437" s="1" t="s">
        <v>33</v>
      </c>
      <c r="E2437" s="1" t="s">
        <v>8</v>
      </c>
      <c r="F2437" s="1">
        <f t="shared" si="84"/>
        <v>672</v>
      </c>
      <c r="G2437" s="12">
        <f t="shared" si="85"/>
        <v>105.65476190476191</v>
      </c>
    </row>
    <row r="2438" spans="1:7" ht="13">
      <c r="A2438" s="4" t="s">
        <v>119</v>
      </c>
      <c r="B2438" s="1">
        <v>5.2</v>
      </c>
      <c r="C2438" s="1">
        <v>592</v>
      </c>
      <c r="D2438" s="1" t="s">
        <v>11</v>
      </c>
      <c r="E2438" s="1" t="s">
        <v>19</v>
      </c>
      <c r="F2438" s="1">
        <f t="shared" si="84"/>
        <v>520</v>
      </c>
      <c r="G2438" s="12">
        <f t="shared" si="85"/>
        <v>113.84615384615384</v>
      </c>
    </row>
    <row r="2439" spans="1:7" ht="13">
      <c r="A2439" s="4" t="s">
        <v>119</v>
      </c>
      <c r="B2439" s="1">
        <v>3.48</v>
      </c>
      <c r="C2439" s="1">
        <v>345</v>
      </c>
      <c r="D2439" s="1" t="s">
        <v>11</v>
      </c>
      <c r="E2439" s="1" t="s">
        <v>7</v>
      </c>
      <c r="F2439" s="1">
        <f t="shared" si="84"/>
        <v>348</v>
      </c>
      <c r="G2439" s="12">
        <f t="shared" si="85"/>
        <v>99.137931034482762</v>
      </c>
    </row>
    <row r="2440" spans="1:7" ht="13">
      <c r="A2440" s="4" t="s">
        <v>119</v>
      </c>
      <c r="B2440" s="1">
        <v>7.74</v>
      </c>
      <c r="C2440" s="1">
        <v>771</v>
      </c>
      <c r="D2440" s="1" t="s">
        <v>33</v>
      </c>
      <c r="E2440" s="1" t="s">
        <v>16</v>
      </c>
      <c r="F2440" s="1">
        <f t="shared" si="84"/>
        <v>774</v>
      </c>
      <c r="G2440" s="12">
        <f t="shared" si="85"/>
        <v>99.612403100775197</v>
      </c>
    </row>
    <row r="2441" spans="1:7" ht="13">
      <c r="A2441" s="4" t="s">
        <v>119</v>
      </c>
      <c r="B2441" s="1">
        <v>7.6</v>
      </c>
      <c r="C2441" s="1">
        <v>750</v>
      </c>
      <c r="D2441" s="1" t="s">
        <v>44</v>
      </c>
      <c r="E2441" s="1" t="s">
        <v>17</v>
      </c>
      <c r="F2441" s="1">
        <f t="shared" si="84"/>
        <v>760</v>
      </c>
      <c r="G2441" s="12">
        <f t="shared" si="85"/>
        <v>98.684210526315795</v>
      </c>
    </row>
    <row r="2442" spans="1:7" ht="13">
      <c r="A2442" s="4" t="s">
        <v>119</v>
      </c>
      <c r="B2442" s="1">
        <v>5.88</v>
      </c>
      <c r="C2442" s="1">
        <v>485</v>
      </c>
      <c r="D2442" s="1" t="s">
        <v>39</v>
      </c>
      <c r="E2442" s="1" t="s">
        <v>19</v>
      </c>
      <c r="F2442" s="1">
        <f t="shared" si="84"/>
        <v>588</v>
      </c>
      <c r="G2442" s="12">
        <f t="shared" si="85"/>
        <v>82.482993197278915</v>
      </c>
    </row>
    <row r="2443" spans="1:7" ht="13">
      <c r="A2443" s="4" t="s">
        <v>119</v>
      </c>
      <c r="B2443" s="1">
        <v>4.03</v>
      </c>
      <c r="C2443" s="1">
        <v>462</v>
      </c>
      <c r="D2443" s="1" t="s">
        <v>11</v>
      </c>
      <c r="E2443" s="1" t="s">
        <v>9</v>
      </c>
      <c r="F2443" s="1">
        <f t="shared" si="84"/>
        <v>403</v>
      </c>
      <c r="G2443" s="12">
        <f t="shared" si="85"/>
        <v>114.64019851116625</v>
      </c>
    </row>
    <row r="2444" spans="1:7" ht="13">
      <c r="A2444" s="4" t="s">
        <v>119</v>
      </c>
      <c r="B2444" s="1">
        <v>8.33</v>
      </c>
      <c r="C2444" s="1">
        <v>764</v>
      </c>
      <c r="D2444" s="1" t="s">
        <v>47</v>
      </c>
      <c r="E2444" s="1" t="s">
        <v>7</v>
      </c>
      <c r="F2444" s="1">
        <f t="shared" si="84"/>
        <v>833</v>
      </c>
      <c r="G2444" s="12">
        <f t="shared" si="85"/>
        <v>91.716686674669873</v>
      </c>
    </row>
    <row r="2445" spans="1:7" ht="13">
      <c r="A2445" s="4" t="s">
        <v>119</v>
      </c>
      <c r="B2445" s="1">
        <v>9.1999999999999993</v>
      </c>
      <c r="C2445" s="1">
        <v>817.84</v>
      </c>
      <c r="D2445" s="1" t="s">
        <v>33</v>
      </c>
      <c r="E2445" s="1" t="s">
        <v>20</v>
      </c>
      <c r="F2445" s="1">
        <f t="shared" si="84"/>
        <v>919.99999999999989</v>
      </c>
      <c r="G2445" s="12">
        <f t="shared" si="85"/>
        <v>88.895652173913049</v>
      </c>
    </row>
    <row r="2446" spans="1:7" ht="13">
      <c r="A2446" s="4" t="s">
        <v>119</v>
      </c>
      <c r="B2446" s="1">
        <v>6.25</v>
      </c>
      <c r="C2446" s="1">
        <v>659</v>
      </c>
      <c r="D2446" s="1" t="s">
        <v>11</v>
      </c>
      <c r="E2446" s="1" t="s">
        <v>32</v>
      </c>
      <c r="F2446" s="1">
        <f t="shared" si="84"/>
        <v>625</v>
      </c>
      <c r="G2446" s="12">
        <f t="shared" si="85"/>
        <v>105.44</v>
      </c>
    </row>
    <row r="2447" spans="1:7" ht="13">
      <c r="A2447" s="4" t="s">
        <v>119</v>
      </c>
      <c r="B2447" s="1">
        <v>5.92</v>
      </c>
      <c r="C2447" s="1">
        <v>615</v>
      </c>
      <c r="D2447" s="1" t="s">
        <v>11</v>
      </c>
      <c r="E2447" s="1" t="s">
        <v>17</v>
      </c>
      <c r="F2447" s="1">
        <f t="shared" si="84"/>
        <v>592</v>
      </c>
      <c r="G2447" s="12">
        <f t="shared" si="85"/>
        <v>103.88513513513513</v>
      </c>
    </row>
    <row r="2448" spans="1:7" ht="13">
      <c r="A2448" s="4" t="s">
        <v>119</v>
      </c>
      <c r="B2448" s="1">
        <v>4.2</v>
      </c>
      <c r="C2448" s="1">
        <v>522.4</v>
      </c>
      <c r="D2448" s="1" t="s">
        <v>11</v>
      </c>
      <c r="E2448" s="1" t="s">
        <v>21</v>
      </c>
      <c r="F2448" s="1">
        <f t="shared" si="84"/>
        <v>420</v>
      </c>
      <c r="G2448" s="12">
        <f t="shared" si="85"/>
        <v>124.38095238095237</v>
      </c>
    </row>
    <row r="2449" spans="1:7" ht="13">
      <c r="A2449" s="4" t="s">
        <v>119</v>
      </c>
      <c r="B2449" s="1">
        <v>8.6999999999999993</v>
      </c>
      <c r="C2449" s="1">
        <v>982</v>
      </c>
      <c r="D2449" s="1" t="s">
        <v>11</v>
      </c>
      <c r="E2449" s="1" t="s">
        <v>10</v>
      </c>
      <c r="F2449" s="1">
        <f t="shared" si="84"/>
        <v>869.99999999999989</v>
      </c>
      <c r="G2449" s="12">
        <f t="shared" si="85"/>
        <v>112.87356321839081</v>
      </c>
    </row>
    <row r="2450" spans="1:7" ht="13">
      <c r="A2450" s="4" t="s">
        <v>119</v>
      </c>
      <c r="B2450" s="1">
        <v>9.89</v>
      </c>
      <c r="C2450" s="1">
        <v>947</v>
      </c>
      <c r="D2450" s="1" t="s">
        <v>33</v>
      </c>
      <c r="E2450" s="1" t="s">
        <v>21</v>
      </c>
      <c r="F2450" s="1">
        <f t="shared" si="84"/>
        <v>989</v>
      </c>
      <c r="G2450" s="12">
        <f t="shared" si="85"/>
        <v>95.753286147623854</v>
      </c>
    </row>
    <row r="2451" spans="1:7" ht="13">
      <c r="A2451" s="4" t="s">
        <v>119</v>
      </c>
      <c r="B2451" s="1">
        <v>6.75</v>
      </c>
      <c r="C2451" s="1">
        <v>698</v>
      </c>
      <c r="D2451" s="1" t="s">
        <v>40</v>
      </c>
      <c r="E2451" s="1" t="s">
        <v>15</v>
      </c>
      <c r="F2451" s="1">
        <f t="shared" si="84"/>
        <v>675</v>
      </c>
      <c r="G2451" s="12">
        <f t="shared" si="85"/>
        <v>103.4074074074074</v>
      </c>
    </row>
    <row r="2452" spans="1:7" ht="13">
      <c r="A2452" s="4" t="s">
        <v>119</v>
      </c>
      <c r="B2452" s="1">
        <v>5.0999999999999996</v>
      </c>
      <c r="C2452" s="1">
        <v>558</v>
      </c>
      <c r="D2452" s="1" t="s">
        <v>42</v>
      </c>
      <c r="E2452" s="1" t="s">
        <v>30</v>
      </c>
      <c r="F2452" s="1">
        <f t="shared" si="84"/>
        <v>509.99999999999994</v>
      </c>
      <c r="G2452" s="12">
        <f t="shared" si="85"/>
        <v>109.41176470588236</v>
      </c>
    </row>
    <row r="2453" spans="1:7" ht="13">
      <c r="A2453" s="4" t="s">
        <v>119</v>
      </c>
      <c r="B2453" s="1">
        <v>5</v>
      </c>
      <c r="C2453" s="1">
        <v>660</v>
      </c>
      <c r="D2453" s="1" t="s">
        <v>33</v>
      </c>
      <c r="E2453" s="1" t="s">
        <v>32</v>
      </c>
      <c r="F2453" s="1">
        <f t="shared" si="84"/>
        <v>500</v>
      </c>
      <c r="G2453" s="12">
        <f t="shared" si="85"/>
        <v>132</v>
      </c>
    </row>
    <row r="2454" spans="1:7" ht="13">
      <c r="A2454" s="4" t="s">
        <v>119</v>
      </c>
      <c r="B2454" s="1">
        <v>7.4</v>
      </c>
      <c r="C2454" s="1">
        <v>667</v>
      </c>
      <c r="D2454" s="1" t="s">
        <v>55</v>
      </c>
      <c r="E2454" s="1" t="s">
        <v>17</v>
      </c>
      <c r="F2454" s="1">
        <f t="shared" si="84"/>
        <v>740</v>
      </c>
      <c r="G2454" s="12">
        <f t="shared" si="85"/>
        <v>90.13513513513513</v>
      </c>
    </row>
    <row r="2455" spans="1:7" ht="13">
      <c r="A2455" s="4" t="s">
        <v>119</v>
      </c>
      <c r="B2455" s="1">
        <v>9</v>
      </c>
      <c r="C2455" s="1">
        <v>1016</v>
      </c>
      <c r="D2455" s="1" t="s">
        <v>11</v>
      </c>
      <c r="E2455" s="1" t="s">
        <v>16</v>
      </c>
      <c r="F2455" s="1">
        <f t="shared" si="84"/>
        <v>900</v>
      </c>
      <c r="G2455" s="12">
        <f t="shared" si="85"/>
        <v>112.88888888888889</v>
      </c>
    </row>
    <row r="2456" spans="1:7" ht="13">
      <c r="A2456" s="4" t="s">
        <v>119</v>
      </c>
      <c r="B2456" s="1">
        <v>8</v>
      </c>
      <c r="C2456" s="1">
        <v>1000</v>
      </c>
      <c r="D2456" s="1" t="s">
        <v>11</v>
      </c>
      <c r="E2456" s="1" t="s">
        <v>20</v>
      </c>
      <c r="F2456" s="1">
        <f t="shared" si="84"/>
        <v>800</v>
      </c>
      <c r="G2456" s="12">
        <f t="shared" si="85"/>
        <v>125</v>
      </c>
    </row>
    <row r="2457" spans="1:7" ht="13">
      <c r="A2457" s="4" t="s">
        <v>119</v>
      </c>
      <c r="B2457" s="1">
        <v>5</v>
      </c>
      <c r="C2457" s="1">
        <v>543</v>
      </c>
      <c r="D2457" s="1" t="s">
        <v>67</v>
      </c>
      <c r="E2457" s="1" t="s">
        <v>8</v>
      </c>
      <c r="F2457" s="1">
        <f t="shared" si="84"/>
        <v>500</v>
      </c>
      <c r="G2457" s="12">
        <f t="shared" si="85"/>
        <v>108.6</v>
      </c>
    </row>
    <row r="2458" spans="1:7" ht="13">
      <c r="A2458" s="4" t="s">
        <v>119</v>
      </c>
      <c r="B2458" s="1">
        <v>6</v>
      </c>
      <c r="C2458" s="1">
        <v>770</v>
      </c>
      <c r="D2458" s="1" t="s">
        <v>11</v>
      </c>
      <c r="E2458" s="1" t="s">
        <v>23</v>
      </c>
      <c r="F2458" s="1">
        <f t="shared" si="84"/>
        <v>600</v>
      </c>
      <c r="G2458" s="12">
        <f t="shared" si="85"/>
        <v>128.33333333333334</v>
      </c>
    </row>
    <row r="2459" spans="1:7" ht="13">
      <c r="A2459" s="4" t="s">
        <v>119</v>
      </c>
      <c r="B2459" s="1">
        <v>6.3</v>
      </c>
      <c r="C2459" s="1">
        <v>694</v>
      </c>
      <c r="D2459" s="1" t="s">
        <v>11</v>
      </c>
      <c r="E2459" s="1" t="s">
        <v>12</v>
      </c>
      <c r="F2459" s="1">
        <f t="shared" si="84"/>
        <v>630</v>
      </c>
      <c r="G2459" s="12">
        <f t="shared" si="85"/>
        <v>110.15873015873017</v>
      </c>
    </row>
    <row r="2460" spans="1:7" ht="13">
      <c r="A2460" s="4" t="s">
        <v>119</v>
      </c>
      <c r="B2460" s="1">
        <v>7.3</v>
      </c>
      <c r="C2460" s="1">
        <v>736</v>
      </c>
      <c r="D2460" s="1" t="s">
        <v>11</v>
      </c>
      <c r="E2460" s="1" t="s">
        <v>17</v>
      </c>
      <c r="F2460" s="1">
        <f t="shared" si="84"/>
        <v>730</v>
      </c>
      <c r="G2460" s="12">
        <f t="shared" si="85"/>
        <v>100.82191780821918</v>
      </c>
    </row>
    <row r="2461" spans="1:7" ht="13">
      <c r="A2461" s="4" t="s">
        <v>119</v>
      </c>
      <c r="B2461" s="1">
        <v>12.04</v>
      </c>
      <c r="C2461" s="1">
        <v>1150</v>
      </c>
      <c r="D2461" s="1" t="s">
        <v>11</v>
      </c>
      <c r="E2461" s="1" t="s">
        <v>8</v>
      </c>
      <c r="F2461" s="1">
        <f t="shared" si="84"/>
        <v>1204</v>
      </c>
      <c r="G2461" s="12">
        <f t="shared" si="85"/>
        <v>95.514950166112968</v>
      </c>
    </row>
    <row r="2462" spans="1:7" ht="13">
      <c r="A2462" s="4" t="s">
        <v>119</v>
      </c>
      <c r="B2462" s="1">
        <v>6.5250000000000004</v>
      </c>
      <c r="C2462" s="1">
        <v>653</v>
      </c>
      <c r="D2462" s="1" t="s">
        <v>43</v>
      </c>
      <c r="E2462" s="1" t="s">
        <v>22</v>
      </c>
      <c r="F2462" s="1">
        <f t="shared" si="84"/>
        <v>652.5</v>
      </c>
      <c r="G2462" s="12">
        <f t="shared" si="85"/>
        <v>100.07662835249042</v>
      </c>
    </row>
    <row r="2463" spans="1:7" ht="13">
      <c r="A2463" s="4" t="s">
        <v>119</v>
      </c>
      <c r="B2463" s="1">
        <v>7.39</v>
      </c>
      <c r="C2463" s="1">
        <v>672</v>
      </c>
      <c r="D2463" s="1" t="s">
        <v>52</v>
      </c>
      <c r="E2463" s="1" t="s">
        <v>25</v>
      </c>
      <c r="F2463" s="1">
        <f t="shared" si="84"/>
        <v>739</v>
      </c>
      <c r="G2463" s="12">
        <f t="shared" si="85"/>
        <v>90.933694181326118</v>
      </c>
    </row>
    <row r="2464" spans="1:7" ht="13">
      <c r="A2464" s="4" t="s">
        <v>119</v>
      </c>
      <c r="B2464" s="1">
        <v>56.4</v>
      </c>
      <c r="C2464" s="1">
        <v>545.70000000000005</v>
      </c>
      <c r="D2464" s="1" t="s">
        <v>35</v>
      </c>
      <c r="E2464" s="1" t="s">
        <v>18</v>
      </c>
      <c r="F2464" s="1">
        <f t="shared" si="84"/>
        <v>5640</v>
      </c>
      <c r="G2464" s="12">
        <f t="shared" si="85"/>
        <v>9.6755319148936181</v>
      </c>
    </row>
    <row r="2465" spans="1:7" ht="13">
      <c r="A2465" s="4" t="s">
        <v>119</v>
      </c>
      <c r="B2465" s="1">
        <v>8.5500000000000007</v>
      </c>
      <c r="C2465" s="1">
        <v>8128</v>
      </c>
      <c r="D2465" s="1" t="s">
        <v>11</v>
      </c>
      <c r="E2465" s="1" t="s">
        <v>8</v>
      </c>
      <c r="F2465" s="1">
        <f t="shared" si="84"/>
        <v>855.00000000000011</v>
      </c>
      <c r="G2465" s="12">
        <f t="shared" si="85"/>
        <v>950.64327485380113</v>
      </c>
    </row>
    <row r="2466" spans="1:7" ht="13">
      <c r="A2466" s="4" t="s">
        <v>119</v>
      </c>
      <c r="B2466" s="1">
        <v>8.4</v>
      </c>
      <c r="C2466" s="1">
        <v>796</v>
      </c>
      <c r="D2466" s="1" t="s">
        <v>33</v>
      </c>
      <c r="E2466" s="1" t="s">
        <v>25</v>
      </c>
      <c r="F2466" s="1">
        <f t="shared" si="84"/>
        <v>840</v>
      </c>
      <c r="G2466" s="12">
        <f t="shared" si="85"/>
        <v>94.761904761904759</v>
      </c>
    </row>
    <row r="2467" spans="1:7" ht="13">
      <c r="A2467" s="4" t="s">
        <v>119</v>
      </c>
      <c r="B2467" s="1">
        <v>4.3499999999999996</v>
      </c>
      <c r="C2467" s="1">
        <v>580</v>
      </c>
      <c r="D2467" s="1" t="s">
        <v>38</v>
      </c>
      <c r="E2467" s="1" t="s">
        <v>9</v>
      </c>
      <c r="F2467" s="1">
        <f t="shared" si="84"/>
        <v>434.99999999999994</v>
      </c>
      <c r="G2467" s="12">
        <f t="shared" si="85"/>
        <v>133.33333333333334</v>
      </c>
    </row>
    <row r="2468" spans="1:7" ht="13">
      <c r="A2468" s="4" t="s">
        <v>119</v>
      </c>
      <c r="B2468" s="1">
        <v>9.4600000000000009</v>
      </c>
      <c r="C2468" s="1">
        <v>738</v>
      </c>
      <c r="D2468" s="1" t="s">
        <v>52</v>
      </c>
      <c r="E2468" s="1" t="s">
        <v>18</v>
      </c>
      <c r="F2468" s="1">
        <f t="shared" si="84"/>
        <v>946.00000000000011</v>
      </c>
      <c r="G2468" s="12">
        <f t="shared" si="85"/>
        <v>78.012684989429175</v>
      </c>
    </row>
    <row r="2469" spans="1:7" ht="13">
      <c r="A2469" s="4" t="s">
        <v>119</v>
      </c>
      <c r="B2469" s="1">
        <v>7.74</v>
      </c>
      <c r="C2469" s="1">
        <v>721</v>
      </c>
      <c r="D2469" s="1" t="s">
        <v>42</v>
      </c>
      <c r="E2469" s="1" t="s">
        <v>49</v>
      </c>
      <c r="F2469" s="1">
        <f t="shared" si="84"/>
        <v>774</v>
      </c>
      <c r="G2469" s="12">
        <f t="shared" si="85"/>
        <v>93.152454780361751</v>
      </c>
    </row>
    <row r="2470" spans="1:7" ht="13">
      <c r="A2470" s="4" t="s">
        <v>119</v>
      </c>
      <c r="B2470" s="1">
        <v>4.5999999999999996</v>
      </c>
      <c r="C2470" s="1">
        <v>503</v>
      </c>
      <c r="D2470" s="1" t="s">
        <v>11</v>
      </c>
      <c r="E2470" s="1" t="s">
        <v>9</v>
      </c>
      <c r="F2470" s="1">
        <f t="shared" si="84"/>
        <v>459.99999999999994</v>
      </c>
      <c r="G2470" s="12">
        <f t="shared" si="85"/>
        <v>109.34782608695653</v>
      </c>
    </row>
    <row r="2471" spans="1:7" ht="13">
      <c r="A2471" s="4" t="s">
        <v>119</v>
      </c>
      <c r="B2471" s="1">
        <v>9</v>
      </c>
      <c r="C2471" s="1">
        <v>840</v>
      </c>
      <c r="D2471" s="1" t="s">
        <v>33</v>
      </c>
      <c r="E2471" s="1" t="s">
        <v>30</v>
      </c>
      <c r="F2471" s="1">
        <f t="shared" si="84"/>
        <v>900</v>
      </c>
      <c r="G2471" s="12">
        <f t="shared" si="85"/>
        <v>93.333333333333329</v>
      </c>
    </row>
    <row r="2472" spans="1:7" ht="13">
      <c r="A2472" s="4" t="s">
        <v>119</v>
      </c>
      <c r="B2472" s="1">
        <v>8.75</v>
      </c>
      <c r="C2472" s="1">
        <v>884</v>
      </c>
      <c r="D2472" s="1" t="s">
        <v>47</v>
      </c>
      <c r="E2472" s="1" t="s">
        <v>31</v>
      </c>
      <c r="F2472" s="1">
        <f t="shared" si="84"/>
        <v>875</v>
      </c>
      <c r="G2472" s="12">
        <f t="shared" si="85"/>
        <v>101.02857142857142</v>
      </c>
    </row>
    <row r="2473" spans="1:7" ht="13">
      <c r="A2473" s="4" t="s">
        <v>119</v>
      </c>
      <c r="B2473" s="1">
        <v>6.88</v>
      </c>
      <c r="C2473" s="1">
        <v>625</v>
      </c>
      <c r="D2473" s="1" t="s">
        <v>45</v>
      </c>
      <c r="E2473" s="1" t="s">
        <v>10</v>
      </c>
      <c r="F2473" s="1">
        <f t="shared" si="84"/>
        <v>688</v>
      </c>
      <c r="G2473" s="12">
        <f t="shared" si="85"/>
        <v>90.843023255813961</v>
      </c>
    </row>
    <row r="2474" spans="1:7" ht="13">
      <c r="A2474" s="4" t="s">
        <v>119</v>
      </c>
      <c r="B2474" s="1">
        <v>5.4</v>
      </c>
      <c r="C2474" s="1">
        <v>500</v>
      </c>
      <c r="D2474" s="1" t="s">
        <v>33</v>
      </c>
      <c r="E2474" s="1" t="s">
        <v>22</v>
      </c>
      <c r="F2474" s="1">
        <f t="shared" si="84"/>
        <v>540</v>
      </c>
      <c r="G2474" s="12">
        <f t="shared" si="85"/>
        <v>92.592592592592581</v>
      </c>
    </row>
    <row r="2475" spans="1:7" ht="13">
      <c r="A2475" s="4" t="s">
        <v>119</v>
      </c>
      <c r="B2475" s="1">
        <v>5.22</v>
      </c>
      <c r="C2475" s="1">
        <v>450</v>
      </c>
      <c r="D2475" s="1" t="s">
        <v>80</v>
      </c>
      <c r="E2475" s="1" t="s">
        <v>8</v>
      </c>
      <c r="F2475" s="1">
        <f t="shared" si="84"/>
        <v>522</v>
      </c>
      <c r="G2475" s="12">
        <f t="shared" si="85"/>
        <v>86.206896551724142</v>
      </c>
    </row>
    <row r="2476" spans="1:7" ht="13">
      <c r="A2476" s="4" t="s">
        <v>119</v>
      </c>
      <c r="B2476" s="1">
        <v>5.4</v>
      </c>
      <c r="C2476" s="1">
        <v>544</v>
      </c>
      <c r="D2476" s="1" t="s">
        <v>35</v>
      </c>
      <c r="E2476" s="1" t="s">
        <v>8</v>
      </c>
      <c r="F2476" s="1">
        <f t="shared" si="84"/>
        <v>540</v>
      </c>
      <c r="G2476" s="12">
        <f t="shared" si="85"/>
        <v>100.74074074074073</v>
      </c>
    </row>
    <row r="2477" spans="1:7" ht="13">
      <c r="A2477" s="4" t="s">
        <v>119</v>
      </c>
      <c r="B2477" s="1">
        <v>4.7300000000000004</v>
      </c>
      <c r="C2477" s="1">
        <v>440</v>
      </c>
      <c r="D2477" s="1" t="s">
        <v>11</v>
      </c>
      <c r="E2477" s="1" t="s">
        <v>22</v>
      </c>
      <c r="F2477" s="1">
        <f t="shared" si="84"/>
        <v>473.00000000000006</v>
      </c>
      <c r="G2477" s="12">
        <f t="shared" si="85"/>
        <v>93.023255813953483</v>
      </c>
    </row>
    <row r="2478" spans="1:7" ht="13">
      <c r="A2478" s="4" t="s">
        <v>119</v>
      </c>
      <c r="B2478" s="1">
        <v>5</v>
      </c>
      <c r="C2478" s="1">
        <v>624</v>
      </c>
      <c r="D2478" s="1" t="s">
        <v>11</v>
      </c>
      <c r="E2478" s="1" t="s">
        <v>15</v>
      </c>
      <c r="F2478" s="1">
        <f t="shared" si="84"/>
        <v>500</v>
      </c>
      <c r="G2478" s="12">
        <f t="shared" si="85"/>
        <v>124.8</v>
      </c>
    </row>
    <row r="2479" spans="1:7" ht="13">
      <c r="A2479" s="4" t="s">
        <v>119</v>
      </c>
      <c r="B2479" s="1">
        <v>4.5</v>
      </c>
      <c r="C2479" s="1">
        <v>417</v>
      </c>
      <c r="D2479" s="1" t="s">
        <v>11</v>
      </c>
      <c r="E2479" s="1" t="s">
        <v>16</v>
      </c>
      <c r="F2479" s="1">
        <f t="shared" si="84"/>
        <v>450</v>
      </c>
      <c r="G2479" s="12">
        <f t="shared" si="85"/>
        <v>92.666666666666671</v>
      </c>
    </row>
    <row r="2480" spans="1:7" ht="13">
      <c r="A2480" s="4" t="s">
        <v>119</v>
      </c>
      <c r="B2480" s="1">
        <v>3.4</v>
      </c>
      <c r="C2480" s="1">
        <v>401.5</v>
      </c>
      <c r="D2480" s="1" t="s">
        <v>43</v>
      </c>
      <c r="E2480" s="1" t="s">
        <v>22</v>
      </c>
      <c r="F2480" s="1">
        <f t="shared" si="84"/>
        <v>340</v>
      </c>
      <c r="G2480" s="12">
        <f t="shared" si="85"/>
        <v>118.08823529411765</v>
      </c>
    </row>
    <row r="2481" spans="1:9" ht="13">
      <c r="A2481" s="4" t="s">
        <v>119</v>
      </c>
      <c r="B2481" s="1">
        <v>4.0999999999999996</v>
      </c>
      <c r="C2481" s="1">
        <v>483</v>
      </c>
      <c r="D2481" s="1" t="s">
        <v>38</v>
      </c>
      <c r="E2481" s="1" t="s">
        <v>16</v>
      </c>
      <c r="F2481" s="1">
        <f t="shared" si="84"/>
        <v>409.99999999999994</v>
      </c>
      <c r="G2481" s="12">
        <f t="shared" si="85"/>
        <v>117.80487804878049</v>
      </c>
    </row>
    <row r="2482" spans="1:9" ht="13">
      <c r="A2482" s="4" t="s">
        <v>119</v>
      </c>
      <c r="B2482" s="1">
        <v>3.68</v>
      </c>
      <c r="C2482" s="1">
        <v>480</v>
      </c>
      <c r="D2482" s="1" t="s">
        <v>11</v>
      </c>
      <c r="E2482" s="1" t="s">
        <v>26</v>
      </c>
      <c r="F2482" s="1">
        <f t="shared" si="84"/>
        <v>368</v>
      </c>
      <c r="G2482" s="12">
        <f t="shared" si="85"/>
        <v>130.43478260869566</v>
      </c>
    </row>
    <row r="2483" spans="1:9" ht="13">
      <c r="A2483" s="4" t="s">
        <v>119</v>
      </c>
      <c r="B2483" s="1">
        <v>7.92</v>
      </c>
      <c r="C2483" s="1">
        <v>774</v>
      </c>
      <c r="D2483" s="1" t="s">
        <v>53</v>
      </c>
      <c r="E2483" s="1" t="s">
        <v>16</v>
      </c>
      <c r="F2483" s="1">
        <f t="shared" si="84"/>
        <v>792</v>
      </c>
      <c r="G2483" s="12">
        <f t="shared" si="85"/>
        <v>97.727272727272734</v>
      </c>
    </row>
    <row r="2484" spans="1:9" ht="13">
      <c r="A2484" s="4" t="s">
        <v>119</v>
      </c>
      <c r="B2484" s="1">
        <v>7.9</v>
      </c>
      <c r="C2484" s="1">
        <v>790</v>
      </c>
      <c r="D2484" s="1" t="s">
        <v>11</v>
      </c>
      <c r="E2484" s="1" t="s">
        <v>27</v>
      </c>
      <c r="F2484" s="1">
        <f t="shared" si="84"/>
        <v>790</v>
      </c>
      <c r="G2484" s="12">
        <f t="shared" si="85"/>
        <v>100</v>
      </c>
    </row>
    <row r="2485" spans="1:9" ht="13">
      <c r="A2485" s="4" t="s">
        <v>119</v>
      </c>
      <c r="B2485" s="1">
        <v>5.16</v>
      </c>
      <c r="C2485" s="1">
        <v>553</v>
      </c>
      <c r="D2485" s="1" t="s">
        <v>48</v>
      </c>
      <c r="E2485" s="1" t="s">
        <v>30</v>
      </c>
      <c r="F2485" s="1">
        <f t="shared" si="84"/>
        <v>516</v>
      </c>
      <c r="G2485" s="12">
        <f t="shared" si="85"/>
        <v>107.17054263565892</v>
      </c>
    </row>
    <row r="2486" spans="1:9" ht="13">
      <c r="A2486" s="4" t="s">
        <v>119</v>
      </c>
      <c r="B2486" s="1">
        <v>4.9000000000000004</v>
      </c>
      <c r="C2486" s="1">
        <v>553</v>
      </c>
      <c r="D2486" s="1" t="s">
        <v>48</v>
      </c>
      <c r="E2486" s="1" t="s">
        <v>15</v>
      </c>
      <c r="F2486" s="1">
        <f t="shared" si="84"/>
        <v>490.00000000000006</v>
      </c>
      <c r="G2486" s="12">
        <f t="shared" si="85"/>
        <v>112.85714285714285</v>
      </c>
    </row>
    <row r="2487" spans="1:9" ht="13">
      <c r="A2487" s="4" t="s">
        <v>119</v>
      </c>
      <c r="B2487" s="1">
        <v>5.9</v>
      </c>
      <c r="C2487" s="1">
        <v>651</v>
      </c>
      <c r="D2487" s="1" t="s">
        <v>11</v>
      </c>
      <c r="E2487" s="1" t="s">
        <v>68</v>
      </c>
      <c r="F2487" s="1">
        <f t="shared" si="84"/>
        <v>590</v>
      </c>
      <c r="G2487" s="12">
        <f t="shared" si="85"/>
        <v>110.33898305084745</v>
      </c>
    </row>
    <row r="2488" spans="1:9" ht="17">
      <c r="A2488" s="4" t="s">
        <v>119</v>
      </c>
      <c r="B2488" s="1">
        <v>4.62</v>
      </c>
      <c r="C2488" s="1">
        <v>495</v>
      </c>
      <c r="D2488" s="1" t="s">
        <v>11</v>
      </c>
      <c r="E2488" s="1" t="s">
        <v>15</v>
      </c>
      <c r="F2488" s="1">
        <f t="shared" si="84"/>
        <v>462</v>
      </c>
      <c r="G2488" s="12">
        <f t="shared" si="85"/>
        <v>107.14285714285714</v>
      </c>
      <c r="I2488" s="6"/>
    </row>
    <row r="2489" spans="1:9" ht="13">
      <c r="A2489" s="4" t="s">
        <v>119</v>
      </c>
      <c r="B2489" s="1">
        <v>6.7</v>
      </c>
      <c r="C2489" s="1">
        <v>720</v>
      </c>
      <c r="D2489" s="1" t="s">
        <v>11</v>
      </c>
      <c r="E2489" s="1" t="s">
        <v>16</v>
      </c>
      <c r="F2489" s="1">
        <f t="shared" si="84"/>
        <v>670</v>
      </c>
      <c r="G2489" s="12">
        <f t="shared" si="85"/>
        <v>107.46268656716417</v>
      </c>
    </row>
    <row r="2490" spans="1:9" ht="13">
      <c r="A2490" s="4" t="s">
        <v>119</v>
      </c>
      <c r="B2490" s="1">
        <v>7.39</v>
      </c>
      <c r="C2490" s="1">
        <v>717</v>
      </c>
      <c r="D2490" s="1" t="s">
        <v>39</v>
      </c>
      <c r="E2490" s="1" t="s">
        <v>21</v>
      </c>
      <c r="F2490" s="1">
        <f t="shared" si="84"/>
        <v>739</v>
      </c>
      <c r="G2490" s="12">
        <f t="shared" si="85"/>
        <v>97.023004059539929</v>
      </c>
    </row>
    <row r="2491" spans="1:9" ht="13">
      <c r="A2491" s="4" t="s">
        <v>119</v>
      </c>
      <c r="B2491" s="1">
        <v>6.6</v>
      </c>
      <c r="C2491" s="1">
        <v>701</v>
      </c>
      <c r="D2491" s="1" t="s">
        <v>53</v>
      </c>
      <c r="E2491" s="1" t="s">
        <v>17</v>
      </c>
      <c r="F2491" s="1">
        <f t="shared" si="84"/>
        <v>660</v>
      </c>
      <c r="G2491" s="12">
        <f t="shared" si="85"/>
        <v>106.21212121212122</v>
      </c>
    </row>
    <row r="2492" spans="1:9" ht="13">
      <c r="A2492" s="4" t="s">
        <v>119</v>
      </c>
      <c r="B2492" s="1">
        <v>4.78</v>
      </c>
      <c r="C2492" s="1">
        <v>526</v>
      </c>
      <c r="D2492" s="1" t="s">
        <v>39</v>
      </c>
      <c r="E2492" s="1" t="s">
        <v>9</v>
      </c>
      <c r="F2492" s="1">
        <f t="shared" si="84"/>
        <v>478</v>
      </c>
      <c r="G2492" s="12">
        <f t="shared" si="85"/>
        <v>110.04184100418409</v>
      </c>
    </row>
    <row r="2493" spans="1:9" ht="13">
      <c r="A2493" s="4" t="s">
        <v>119</v>
      </c>
      <c r="B2493" s="1">
        <v>6.96</v>
      </c>
      <c r="C2493" s="1">
        <v>734</v>
      </c>
      <c r="D2493" s="1" t="s">
        <v>38</v>
      </c>
      <c r="E2493" s="1" t="s">
        <v>16</v>
      </c>
      <c r="F2493" s="1">
        <f t="shared" si="84"/>
        <v>696</v>
      </c>
      <c r="G2493" s="12">
        <f t="shared" si="85"/>
        <v>105.45977011494253</v>
      </c>
    </row>
    <row r="2494" spans="1:9" ht="13">
      <c r="A2494" s="4" t="s">
        <v>119</v>
      </c>
      <c r="B2494" s="1">
        <v>5</v>
      </c>
      <c r="C2494" s="1">
        <v>652</v>
      </c>
      <c r="D2494" s="1" t="s">
        <v>43</v>
      </c>
      <c r="E2494" s="1" t="s">
        <v>15</v>
      </c>
      <c r="F2494" s="1">
        <f t="shared" si="84"/>
        <v>500</v>
      </c>
      <c r="G2494" s="12">
        <f t="shared" si="85"/>
        <v>130.4</v>
      </c>
    </row>
    <row r="2495" spans="1:9" ht="13">
      <c r="A2495" s="4" t="s">
        <v>119</v>
      </c>
      <c r="B2495" s="1">
        <v>5.25</v>
      </c>
      <c r="C2495" s="1">
        <v>595</v>
      </c>
      <c r="D2495" s="1" t="s">
        <v>11</v>
      </c>
      <c r="E2495" s="1" t="s">
        <v>16</v>
      </c>
      <c r="F2495" s="1">
        <f t="shared" si="84"/>
        <v>525</v>
      </c>
      <c r="G2495" s="12">
        <f t="shared" si="85"/>
        <v>113.33333333333333</v>
      </c>
    </row>
    <row r="2496" spans="1:9" ht="13">
      <c r="A2496" s="4" t="s">
        <v>119</v>
      </c>
      <c r="B2496" s="1">
        <v>7.74</v>
      </c>
      <c r="C2496" s="1">
        <v>852</v>
      </c>
      <c r="D2496" s="1" t="s">
        <v>11</v>
      </c>
      <c r="E2496" s="1" t="s">
        <v>29</v>
      </c>
      <c r="F2496" s="1">
        <f t="shared" si="84"/>
        <v>774</v>
      </c>
      <c r="G2496" s="12">
        <f t="shared" si="85"/>
        <v>110.07751937984496</v>
      </c>
    </row>
    <row r="2497" spans="1:7" ht="13">
      <c r="A2497" s="4" t="s">
        <v>119</v>
      </c>
      <c r="B2497" s="1">
        <v>7.3</v>
      </c>
      <c r="C2497" s="1">
        <v>628</v>
      </c>
      <c r="D2497" s="1" t="s">
        <v>55</v>
      </c>
      <c r="E2497" s="1" t="s">
        <v>31</v>
      </c>
      <c r="F2497" s="1">
        <f t="shared" si="84"/>
        <v>730</v>
      </c>
      <c r="G2497" s="12">
        <f t="shared" si="85"/>
        <v>86.027397260273972</v>
      </c>
    </row>
    <row r="2498" spans="1:7" ht="13">
      <c r="A2498" s="4" t="s">
        <v>119</v>
      </c>
      <c r="B2498" s="1">
        <v>6.72</v>
      </c>
      <c r="C2498" s="1">
        <v>789</v>
      </c>
      <c r="D2498" s="1" t="s">
        <v>11</v>
      </c>
      <c r="E2498" s="1" t="s">
        <v>15</v>
      </c>
      <c r="F2498" s="1">
        <f t="shared" si="84"/>
        <v>672</v>
      </c>
      <c r="G2498" s="12">
        <f t="shared" si="85"/>
        <v>117.41071428571429</v>
      </c>
    </row>
    <row r="2499" spans="1:7" ht="13">
      <c r="A2499" s="4" t="s">
        <v>119</v>
      </c>
      <c r="B2499" s="1">
        <v>6.1</v>
      </c>
      <c r="C2499" s="1">
        <v>621</v>
      </c>
      <c r="D2499" s="1" t="s">
        <v>11</v>
      </c>
      <c r="E2499" s="1" t="s">
        <v>17</v>
      </c>
      <c r="F2499" s="1">
        <f t="shared" ref="F2499:F2562" si="86">B2499*100</f>
        <v>610</v>
      </c>
      <c r="G2499" s="12">
        <f t="shared" ref="G2499:G2562" si="87">C2499/B2499</f>
        <v>101.8032786885246</v>
      </c>
    </row>
    <row r="2500" spans="1:7" ht="13">
      <c r="A2500" s="4" t="s">
        <v>119</v>
      </c>
      <c r="B2500" s="1">
        <v>4.5</v>
      </c>
      <c r="C2500" s="1">
        <v>431.5</v>
      </c>
      <c r="D2500" s="1" t="s">
        <v>33</v>
      </c>
      <c r="E2500" s="1" t="s">
        <v>17</v>
      </c>
      <c r="F2500" s="1">
        <f t="shared" si="86"/>
        <v>450</v>
      </c>
      <c r="G2500" s="12">
        <f t="shared" si="87"/>
        <v>95.888888888888886</v>
      </c>
    </row>
    <row r="2501" spans="1:7" ht="13">
      <c r="A2501" s="4" t="s">
        <v>119</v>
      </c>
      <c r="B2501" s="1">
        <v>9.35</v>
      </c>
      <c r="C2501" s="1">
        <v>739</v>
      </c>
      <c r="D2501" s="1" t="s">
        <v>33</v>
      </c>
      <c r="E2501" s="1" t="s">
        <v>18</v>
      </c>
      <c r="F2501" s="1">
        <f t="shared" si="86"/>
        <v>935</v>
      </c>
      <c r="G2501" s="12">
        <f t="shared" si="87"/>
        <v>79.037433155080222</v>
      </c>
    </row>
    <row r="2502" spans="1:7" ht="13">
      <c r="A2502" s="4" t="s">
        <v>119</v>
      </c>
      <c r="B2502" s="1">
        <v>7.56</v>
      </c>
      <c r="C2502" s="1">
        <v>843</v>
      </c>
      <c r="D2502" s="1" t="s">
        <v>11</v>
      </c>
      <c r="E2502" s="1" t="s">
        <v>7</v>
      </c>
      <c r="F2502" s="1">
        <f t="shared" si="86"/>
        <v>756</v>
      </c>
      <c r="G2502" s="12">
        <f t="shared" si="87"/>
        <v>111.50793650793652</v>
      </c>
    </row>
    <row r="2503" spans="1:7" ht="13">
      <c r="A2503" s="4" t="s">
        <v>119</v>
      </c>
      <c r="B2503" s="1">
        <v>6.88</v>
      </c>
      <c r="C2503" s="1">
        <v>668.17</v>
      </c>
      <c r="D2503" s="1" t="s">
        <v>33</v>
      </c>
      <c r="E2503" s="1" t="s">
        <v>20</v>
      </c>
      <c r="F2503" s="1">
        <f t="shared" si="86"/>
        <v>688</v>
      </c>
      <c r="G2503" s="12">
        <f t="shared" si="87"/>
        <v>97.117732558139537</v>
      </c>
    </row>
    <row r="2504" spans="1:7" ht="13">
      <c r="A2504" s="4" t="s">
        <v>119</v>
      </c>
      <c r="B2504" s="1">
        <v>9.6</v>
      </c>
      <c r="C2504" s="1">
        <v>905.29</v>
      </c>
      <c r="D2504" s="1" t="s">
        <v>11</v>
      </c>
      <c r="E2504" s="1" t="s">
        <v>21</v>
      </c>
      <c r="F2504" s="1">
        <f t="shared" si="86"/>
        <v>960</v>
      </c>
      <c r="G2504" s="12">
        <f t="shared" si="87"/>
        <v>94.301041666666663</v>
      </c>
    </row>
    <row r="2505" spans="1:7" ht="13">
      <c r="A2505" s="4" t="s">
        <v>119</v>
      </c>
      <c r="B2505" s="1">
        <v>6.72</v>
      </c>
      <c r="C2505" s="1">
        <v>563</v>
      </c>
      <c r="D2505" s="1" t="s">
        <v>11</v>
      </c>
      <c r="E2505" s="1" t="s">
        <v>25</v>
      </c>
      <c r="F2505" s="1">
        <f t="shared" si="86"/>
        <v>672</v>
      </c>
      <c r="G2505" s="12">
        <f t="shared" si="87"/>
        <v>83.779761904761912</v>
      </c>
    </row>
    <row r="2506" spans="1:7" ht="13">
      <c r="A2506" s="4" t="s">
        <v>119</v>
      </c>
      <c r="B2506" s="1">
        <v>3.44</v>
      </c>
      <c r="C2506" s="1">
        <v>378</v>
      </c>
      <c r="D2506" s="1" t="s">
        <v>11</v>
      </c>
      <c r="E2506" s="1" t="s">
        <v>9</v>
      </c>
      <c r="F2506" s="1">
        <f t="shared" si="86"/>
        <v>344</v>
      </c>
      <c r="G2506" s="12">
        <f t="shared" si="87"/>
        <v>109.88372093023256</v>
      </c>
    </row>
    <row r="2507" spans="1:7" ht="13">
      <c r="A2507" s="4" t="s">
        <v>119</v>
      </c>
      <c r="B2507" s="1">
        <v>7.8</v>
      </c>
      <c r="C2507" s="1">
        <v>801</v>
      </c>
      <c r="D2507" s="1" t="s">
        <v>11</v>
      </c>
      <c r="E2507" s="1" t="s">
        <v>30</v>
      </c>
      <c r="F2507" s="1">
        <f t="shared" si="86"/>
        <v>780</v>
      </c>
      <c r="G2507" s="12">
        <f t="shared" si="87"/>
        <v>102.69230769230769</v>
      </c>
    </row>
    <row r="2508" spans="1:7" ht="13">
      <c r="A2508" s="4" t="s">
        <v>119</v>
      </c>
      <c r="B2508" s="1">
        <v>6.8</v>
      </c>
      <c r="C2508" s="1">
        <v>799</v>
      </c>
      <c r="D2508" s="1" t="s">
        <v>11</v>
      </c>
      <c r="E2508" s="1" t="s">
        <v>23</v>
      </c>
      <c r="F2508" s="1">
        <f t="shared" si="86"/>
        <v>680</v>
      </c>
      <c r="G2508" s="12">
        <f t="shared" si="87"/>
        <v>117.5</v>
      </c>
    </row>
    <row r="2509" spans="1:7" ht="13">
      <c r="A2509" s="4" t="s">
        <v>119</v>
      </c>
      <c r="B2509" s="1">
        <v>5.12</v>
      </c>
      <c r="C2509" s="1">
        <v>546</v>
      </c>
      <c r="D2509" s="1" t="s">
        <v>11</v>
      </c>
      <c r="E2509" s="1" t="s">
        <v>16</v>
      </c>
      <c r="F2509" s="1">
        <f t="shared" si="86"/>
        <v>512</v>
      </c>
      <c r="G2509" s="12">
        <f t="shared" si="87"/>
        <v>106.640625</v>
      </c>
    </row>
    <row r="2510" spans="1:7" ht="13">
      <c r="A2510" s="4" t="s">
        <v>119</v>
      </c>
      <c r="B2510" s="1">
        <v>7.74</v>
      </c>
      <c r="C2510" s="1">
        <v>768</v>
      </c>
      <c r="D2510" s="1" t="s">
        <v>33</v>
      </c>
      <c r="E2510" s="1" t="s">
        <v>16</v>
      </c>
      <c r="F2510" s="1">
        <f t="shared" si="86"/>
        <v>774</v>
      </c>
      <c r="G2510" s="12">
        <f t="shared" si="87"/>
        <v>99.224806201550379</v>
      </c>
    </row>
    <row r="2511" spans="1:7" ht="13">
      <c r="A2511" s="4" t="s">
        <v>119</v>
      </c>
      <c r="B2511" s="1">
        <v>18.3</v>
      </c>
      <c r="C2511" s="1">
        <v>590</v>
      </c>
      <c r="D2511" s="1" t="s">
        <v>44</v>
      </c>
      <c r="E2511" s="1" t="s">
        <v>22</v>
      </c>
      <c r="F2511" s="1">
        <f t="shared" si="86"/>
        <v>1830</v>
      </c>
      <c r="G2511" s="12">
        <f t="shared" si="87"/>
        <v>32.240437158469945</v>
      </c>
    </row>
    <row r="2512" spans="1:7" ht="13">
      <c r="A2512" s="4" t="s">
        <v>119</v>
      </c>
      <c r="B2512" s="1">
        <v>6</v>
      </c>
      <c r="C2512" s="1">
        <v>26</v>
      </c>
      <c r="D2512" s="1" t="s">
        <v>43</v>
      </c>
      <c r="E2512" s="1" t="s">
        <v>49</v>
      </c>
      <c r="F2512" s="1">
        <f t="shared" si="86"/>
        <v>600</v>
      </c>
      <c r="G2512" s="12">
        <f t="shared" si="87"/>
        <v>4.333333333333333</v>
      </c>
    </row>
    <row r="2513" spans="1:7" ht="13">
      <c r="A2513" s="4" t="s">
        <v>119</v>
      </c>
      <c r="B2513" s="1">
        <v>8.6999999999999993</v>
      </c>
      <c r="C2513" s="1">
        <v>874</v>
      </c>
      <c r="D2513" s="1" t="s">
        <v>45</v>
      </c>
      <c r="E2513" s="1" t="s">
        <v>20</v>
      </c>
      <c r="F2513" s="1">
        <f t="shared" si="86"/>
        <v>869.99999999999989</v>
      </c>
      <c r="G2513" s="12">
        <f t="shared" si="87"/>
        <v>100.45977011494254</v>
      </c>
    </row>
    <row r="2514" spans="1:7" ht="13">
      <c r="A2514" s="4" t="s">
        <v>119</v>
      </c>
      <c r="B2514" s="1">
        <v>6.09</v>
      </c>
      <c r="C2514" s="1">
        <v>665</v>
      </c>
      <c r="D2514" s="1" t="s">
        <v>44</v>
      </c>
      <c r="E2514" s="1" t="s">
        <v>20</v>
      </c>
      <c r="F2514" s="1">
        <f t="shared" si="86"/>
        <v>609</v>
      </c>
      <c r="G2514" s="12">
        <f t="shared" si="87"/>
        <v>109.19540229885058</v>
      </c>
    </row>
    <row r="2515" spans="1:7" ht="13">
      <c r="A2515" s="4" t="s">
        <v>119</v>
      </c>
      <c r="B2515" s="1">
        <v>6.5</v>
      </c>
      <c r="C2515" s="1">
        <v>623</v>
      </c>
      <c r="D2515" s="1" t="s">
        <v>45</v>
      </c>
      <c r="E2515" s="1" t="s">
        <v>20</v>
      </c>
      <c r="F2515" s="1">
        <f t="shared" si="86"/>
        <v>650</v>
      </c>
      <c r="G2515" s="12">
        <f t="shared" si="87"/>
        <v>95.84615384615384</v>
      </c>
    </row>
    <row r="2516" spans="1:7" ht="13">
      <c r="A2516" s="4" t="s">
        <v>119</v>
      </c>
      <c r="B2516" s="1">
        <v>20</v>
      </c>
      <c r="C2516" s="1">
        <v>1690</v>
      </c>
      <c r="D2516" s="1" t="s">
        <v>33</v>
      </c>
      <c r="E2516" s="1" t="s">
        <v>20</v>
      </c>
      <c r="F2516" s="1">
        <f t="shared" si="86"/>
        <v>2000</v>
      </c>
      <c r="G2516" s="12">
        <f t="shared" si="87"/>
        <v>84.5</v>
      </c>
    </row>
    <row r="2517" spans="1:7" ht="13">
      <c r="A2517" s="4" t="s">
        <v>119</v>
      </c>
      <c r="B2517" s="1">
        <v>3</v>
      </c>
      <c r="C2517" s="1">
        <v>328</v>
      </c>
      <c r="D2517" s="1" t="s">
        <v>11</v>
      </c>
      <c r="E2517" s="1" t="s">
        <v>15</v>
      </c>
      <c r="F2517" s="1">
        <f t="shared" si="86"/>
        <v>300</v>
      </c>
      <c r="G2517" s="12">
        <f t="shared" si="87"/>
        <v>109.33333333333333</v>
      </c>
    </row>
    <row r="2518" spans="1:7" ht="13">
      <c r="A2518" s="4" t="s">
        <v>119</v>
      </c>
      <c r="B2518" s="1">
        <v>6.1</v>
      </c>
      <c r="C2518" s="1">
        <v>588</v>
      </c>
      <c r="D2518" s="1" t="s">
        <v>48</v>
      </c>
      <c r="E2518" s="1" t="s">
        <v>23</v>
      </c>
      <c r="F2518" s="1">
        <f t="shared" si="86"/>
        <v>610</v>
      </c>
      <c r="G2518" s="12">
        <f t="shared" si="87"/>
        <v>96.393442622950829</v>
      </c>
    </row>
    <row r="2519" spans="1:7" ht="13">
      <c r="A2519" s="4" t="s">
        <v>119</v>
      </c>
      <c r="B2519" s="1">
        <v>6.8</v>
      </c>
      <c r="C2519" s="1">
        <v>776</v>
      </c>
      <c r="D2519" s="1" t="s">
        <v>44</v>
      </c>
      <c r="E2519" s="1" t="s">
        <v>26</v>
      </c>
      <c r="F2519" s="1">
        <f t="shared" si="86"/>
        <v>680</v>
      </c>
      <c r="G2519" s="12">
        <f t="shared" si="87"/>
        <v>114.11764705882354</v>
      </c>
    </row>
    <row r="2520" spans="1:7" ht="13">
      <c r="A2520" s="4" t="s">
        <v>119</v>
      </c>
      <c r="B2520" s="1">
        <v>7.56</v>
      </c>
      <c r="C2520" s="1">
        <v>924</v>
      </c>
      <c r="D2520" s="1" t="s">
        <v>11</v>
      </c>
      <c r="E2520" s="1" t="s">
        <v>9</v>
      </c>
      <c r="F2520" s="1">
        <f t="shared" si="86"/>
        <v>756</v>
      </c>
      <c r="G2520" s="12">
        <f t="shared" si="87"/>
        <v>122.22222222222223</v>
      </c>
    </row>
    <row r="2521" spans="1:7" ht="13">
      <c r="A2521" s="4" t="s">
        <v>119</v>
      </c>
      <c r="B2521" s="1">
        <v>6.88</v>
      </c>
      <c r="C2521" s="1">
        <v>722</v>
      </c>
      <c r="D2521" s="1" t="s">
        <v>11</v>
      </c>
      <c r="E2521" s="1" t="s">
        <v>25</v>
      </c>
      <c r="F2521" s="1">
        <f t="shared" si="86"/>
        <v>688</v>
      </c>
      <c r="G2521" s="12">
        <f t="shared" si="87"/>
        <v>104.94186046511628</v>
      </c>
    </row>
    <row r="2522" spans="1:7" ht="13">
      <c r="A2522" s="4" t="s">
        <v>119</v>
      </c>
      <c r="B2522" s="1">
        <v>5.6</v>
      </c>
      <c r="C2522" s="1">
        <v>874</v>
      </c>
      <c r="D2522" s="1" t="s">
        <v>11</v>
      </c>
      <c r="E2522" s="1" t="s">
        <v>24</v>
      </c>
      <c r="F2522" s="1">
        <f t="shared" si="86"/>
        <v>560</v>
      </c>
      <c r="G2522" s="12">
        <f t="shared" si="87"/>
        <v>156.07142857142858</v>
      </c>
    </row>
    <row r="2523" spans="1:7" ht="13">
      <c r="A2523" s="4" t="s">
        <v>119</v>
      </c>
      <c r="B2523" s="1">
        <v>6</v>
      </c>
      <c r="C2523" s="1">
        <v>640</v>
      </c>
      <c r="D2523" s="1" t="s">
        <v>55</v>
      </c>
      <c r="E2523" s="1" t="s">
        <v>15</v>
      </c>
      <c r="F2523" s="1">
        <f t="shared" si="86"/>
        <v>600</v>
      </c>
      <c r="G2523" s="12">
        <f t="shared" si="87"/>
        <v>106.66666666666667</v>
      </c>
    </row>
    <row r="2524" spans="1:7" ht="13">
      <c r="A2524" s="4" t="s">
        <v>119</v>
      </c>
      <c r="B2524" s="1">
        <v>6.8</v>
      </c>
      <c r="C2524" s="1">
        <v>753</v>
      </c>
      <c r="D2524" s="1" t="s">
        <v>11</v>
      </c>
      <c r="E2524" s="1" t="s">
        <v>26</v>
      </c>
      <c r="F2524" s="1">
        <f t="shared" si="86"/>
        <v>680</v>
      </c>
      <c r="G2524" s="12">
        <f t="shared" si="87"/>
        <v>110.73529411764706</v>
      </c>
    </row>
    <row r="2525" spans="1:7" ht="13">
      <c r="A2525" s="4" t="s">
        <v>119</v>
      </c>
      <c r="B2525" s="1">
        <v>4.3</v>
      </c>
      <c r="C2525" s="1">
        <v>450</v>
      </c>
      <c r="D2525" s="1" t="s">
        <v>11</v>
      </c>
      <c r="E2525" s="1" t="s">
        <v>15</v>
      </c>
      <c r="F2525" s="1">
        <f t="shared" si="86"/>
        <v>430</v>
      </c>
      <c r="G2525" s="12">
        <f t="shared" si="87"/>
        <v>104.65116279069768</v>
      </c>
    </row>
    <row r="2526" spans="1:7" ht="13">
      <c r="A2526" s="4" t="s">
        <v>119</v>
      </c>
      <c r="B2526" s="1">
        <v>7.2</v>
      </c>
      <c r="C2526" s="1">
        <v>736</v>
      </c>
      <c r="D2526" s="1" t="s">
        <v>11</v>
      </c>
      <c r="E2526" s="1" t="s">
        <v>10</v>
      </c>
      <c r="F2526" s="1">
        <f t="shared" si="86"/>
        <v>720</v>
      </c>
      <c r="G2526" s="12">
        <f t="shared" si="87"/>
        <v>102.22222222222221</v>
      </c>
    </row>
    <row r="2527" spans="1:7" ht="13">
      <c r="A2527" s="4" t="s">
        <v>119</v>
      </c>
      <c r="B2527" s="1">
        <v>5.59</v>
      </c>
      <c r="C2527" s="1">
        <v>558</v>
      </c>
      <c r="D2527" s="1" t="s">
        <v>36</v>
      </c>
      <c r="E2527" s="1" t="s">
        <v>9</v>
      </c>
      <c r="F2527" s="1">
        <f t="shared" si="86"/>
        <v>559</v>
      </c>
      <c r="G2527" s="12">
        <f t="shared" si="87"/>
        <v>99.821109123434709</v>
      </c>
    </row>
    <row r="2528" spans="1:7" ht="13">
      <c r="A2528" s="4" t="s">
        <v>119</v>
      </c>
      <c r="B2528" s="1">
        <v>5.5</v>
      </c>
      <c r="C2528" s="1">
        <v>629</v>
      </c>
      <c r="D2528" s="1" t="s">
        <v>43</v>
      </c>
      <c r="E2528" s="1" t="s">
        <v>15</v>
      </c>
      <c r="F2528" s="1">
        <f t="shared" si="86"/>
        <v>550</v>
      </c>
      <c r="G2528" s="12">
        <f t="shared" si="87"/>
        <v>114.36363636363636</v>
      </c>
    </row>
    <row r="2529" spans="1:7" ht="13">
      <c r="A2529" s="4" t="s">
        <v>119</v>
      </c>
      <c r="B2529" s="1">
        <v>6.56</v>
      </c>
      <c r="C2529" s="1">
        <v>653</v>
      </c>
      <c r="D2529" s="1" t="s">
        <v>11</v>
      </c>
      <c r="E2529" s="1" t="s">
        <v>18</v>
      </c>
      <c r="F2529" s="1">
        <f t="shared" si="86"/>
        <v>656</v>
      </c>
      <c r="G2529" s="12">
        <f t="shared" si="87"/>
        <v>99.542682926829272</v>
      </c>
    </row>
    <row r="2530" spans="1:7" ht="13">
      <c r="A2530" s="4" t="s">
        <v>119</v>
      </c>
      <c r="B2530" s="1">
        <v>3.48</v>
      </c>
      <c r="C2530" s="1">
        <v>340</v>
      </c>
      <c r="D2530" s="1" t="s">
        <v>38</v>
      </c>
      <c r="E2530" s="1" t="s">
        <v>7</v>
      </c>
      <c r="F2530" s="1">
        <f t="shared" si="86"/>
        <v>348</v>
      </c>
      <c r="G2530" s="12">
        <f t="shared" si="87"/>
        <v>97.701149425287355</v>
      </c>
    </row>
    <row r="2531" spans="1:7" ht="13">
      <c r="A2531" s="4" t="s">
        <v>119</v>
      </c>
      <c r="B2531" s="1">
        <v>7.3</v>
      </c>
      <c r="C2531" s="1">
        <v>762</v>
      </c>
      <c r="D2531" s="1" t="s">
        <v>38</v>
      </c>
      <c r="E2531" s="1" t="s">
        <v>9</v>
      </c>
      <c r="F2531" s="1">
        <f t="shared" si="86"/>
        <v>730</v>
      </c>
      <c r="G2531" s="12">
        <f t="shared" si="87"/>
        <v>104.38356164383562</v>
      </c>
    </row>
    <row r="2532" spans="1:7" ht="13">
      <c r="A2532" s="4" t="s">
        <v>120</v>
      </c>
      <c r="B2532" s="1">
        <v>4.5</v>
      </c>
      <c r="C2532" s="1">
        <v>314</v>
      </c>
      <c r="D2532" s="1" t="s">
        <v>11</v>
      </c>
      <c r="E2532" s="1" t="s">
        <v>16</v>
      </c>
      <c r="F2532" s="1">
        <f t="shared" si="86"/>
        <v>450</v>
      </c>
      <c r="G2532" s="12">
        <f t="shared" si="87"/>
        <v>69.777777777777771</v>
      </c>
    </row>
    <row r="2533" spans="1:7" ht="13">
      <c r="A2533" s="4" t="s">
        <v>120</v>
      </c>
      <c r="B2533" s="1">
        <v>6</v>
      </c>
      <c r="C2533" s="1">
        <v>386</v>
      </c>
      <c r="D2533" s="1" t="s">
        <v>38</v>
      </c>
      <c r="E2533" s="1" t="s">
        <v>22</v>
      </c>
      <c r="F2533" s="1">
        <f t="shared" si="86"/>
        <v>600</v>
      </c>
      <c r="G2533" s="12">
        <f t="shared" si="87"/>
        <v>64.333333333333329</v>
      </c>
    </row>
    <row r="2534" spans="1:7" ht="13">
      <c r="A2534" s="4" t="s">
        <v>120</v>
      </c>
      <c r="B2534" s="1">
        <v>5.3949999999999996</v>
      </c>
      <c r="C2534" s="1">
        <v>378</v>
      </c>
      <c r="D2534" s="1" t="s">
        <v>44</v>
      </c>
      <c r="E2534" s="1" t="s">
        <v>15</v>
      </c>
      <c r="F2534" s="1">
        <f t="shared" si="86"/>
        <v>539.5</v>
      </c>
      <c r="G2534" s="12">
        <f t="shared" si="87"/>
        <v>70.064874884152005</v>
      </c>
    </row>
    <row r="2535" spans="1:7" ht="13">
      <c r="A2535" s="4" t="s">
        <v>120</v>
      </c>
      <c r="B2535" s="1">
        <v>5.0999999999999996</v>
      </c>
      <c r="C2535" s="1">
        <v>290</v>
      </c>
      <c r="D2535" s="1" t="s">
        <v>33</v>
      </c>
      <c r="E2535" s="1" t="s">
        <v>15</v>
      </c>
      <c r="F2535" s="1">
        <f t="shared" si="86"/>
        <v>509.99999999999994</v>
      </c>
      <c r="G2535" s="12">
        <f t="shared" si="87"/>
        <v>56.86274509803922</v>
      </c>
    </row>
    <row r="2536" spans="1:7" ht="13">
      <c r="A2536" s="4" t="s">
        <v>120</v>
      </c>
      <c r="B2536" s="1">
        <v>652</v>
      </c>
      <c r="C2536" s="1">
        <v>638</v>
      </c>
      <c r="D2536" s="1" t="s">
        <v>11</v>
      </c>
      <c r="E2536" s="1" t="s">
        <v>8</v>
      </c>
      <c r="F2536" s="1">
        <f t="shared" si="86"/>
        <v>65200</v>
      </c>
      <c r="G2536" s="12">
        <f t="shared" si="87"/>
        <v>0.9785276073619632</v>
      </c>
    </row>
    <row r="2537" spans="1:7" ht="13">
      <c r="A2537" s="4" t="s">
        <v>120</v>
      </c>
      <c r="B2537" s="1">
        <v>6.09</v>
      </c>
      <c r="C2537" s="1">
        <v>403</v>
      </c>
      <c r="D2537" s="1" t="s">
        <v>36</v>
      </c>
      <c r="E2537" s="1" t="s">
        <v>15</v>
      </c>
      <c r="F2537" s="1">
        <f t="shared" si="86"/>
        <v>609</v>
      </c>
      <c r="G2537" s="12">
        <f t="shared" si="87"/>
        <v>66.174055829228251</v>
      </c>
    </row>
    <row r="2538" spans="1:7" ht="13">
      <c r="A2538" s="4" t="s">
        <v>120</v>
      </c>
      <c r="B2538" s="1">
        <v>8.6</v>
      </c>
      <c r="C2538" s="1">
        <v>657</v>
      </c>
      <c r="D2538" s="1" t="s">
        <v>38</v>
      </c>
      <c r="E2538" s="1" t="s">
        <v>17</v>
      </c>
      <c r="F2538" s="1">
        <f t="shared" si="86"/>
        <v>860</v>
      </c>
      <c r="G2538" s="12">
        <f t="shared" si="87"/>
        <v>76.395348837209312</v>
      </c>
    </row>
    <row r="2539" spans="1:7" ht="13">
      <c r="A2539" s="4" t="s">
        <v>120</v>
      </c>
      <c r="B2539" s="1">
        <v>5.88</v>
      </c>
      <c r="C2539" s="1">
        <v>430</v>
      </c>
      <c r="D2539" s="1" t="s">
        <v>39</v>
      </c>
      <c r="E2539" s="1" t="s">
        <v>19</v>
      </c>
      <c r="F2539" s="1">
        <f t="shared" si="86"/>
        <v>588</v>
      </c>
      <c r="G2539" s="12">
        <f t="shared" si="87"/>
        <v>73.129251700680271</v>
      </c>
    </row>
    <row r="2540" spans="1:7" ht="13">
      <c r="A2540" s="4" t="s">
        <v>120</v>
      </c>
      <c r="B2540" s="1">
        <v>4</v>
      </c>
      <c r="C2540" s="1">
        <v>269</v>
      </c>
      <c r="D2540" s="1" t="s">
        <v>35</v>
      </c>
      <c r="E2540" s="1" t="s">
        <v>9</v>
      </c>
      <c r="F2540" s="1">
        <f t="shared" si="86"/>
        <v>400</v>
      </c>
      <c r="G2540" s="12">
        <f t="shared" si="87"/>
        <v>67.25</v>
      </c>
    </row>
    <row r="2541" spans="1:7" ht="13">
      <c r="A2541" s="4" t="s">
        <v>120</v>
      </c>
      <c r="B2541" s="1">
        <v>3.65</v>
      </c>
      <c r="C2541" s="1">
        <v>214</v>
      </c>
      <c r="D2541" s="1" t="s">
        <v>55</v>
      </c>
      <c r="E2541" s="1" t="s">
        <v>24</v>
      </c>
      <c r="F2541" s="1">
        <f t="shared" si="86"/>
        <v>365</v>
      </c>
      <c r="G2541" s="12">
        <f t="shared" si="87"/>
        <v>58.630136986301373</v>
      </c>
    </row>
    <row r="2542" spans="1:7" ht="13">
      <c r="A2542" s="4" t="s">
        <v>120</v>
      </c>
      <c r="B2542" s="1">
        <v>7.83</v>
      </c>
      <c r="C2542" s="1">
        <v>613</v>
      </c>
      <c r="D2542" s="1" t="s">
        <v>11</v>
      </c>
      <c r="E2542" s="1" t="s">
        <v>23</v>
      </c>
      <c r="F2542" s="1">
        <f t="shared" si="86"/>
        <v>783</v>
      </c>
      <c r="G2542" s="12">
        <f t="shared" si="87"/>
        <v>78.288633461047255</v>
      </c>
    </row>
    <row r="2543" spans="1:7" ht="13">
      <c r="A2543" s="4" t="s">
        <v>120</v>
      </c>
      <c r="B2543" s="1">
        <v>7.74</v>
      </c>
      <c r="C2543" s="1">
        <v>493</v>
      </c>
      <c r="D2543" s="1" t="s">
        <v>33</v>
      </c>
      <c r="E2543" s="1" t="s">
        <v>16</v>
      </c>
      <c r="F2543" s="1">
        <f t="shared" si="86"/>
        <v>774</v>
      </c>
      <c r="G2543" s="12">
        <f t="shared" si="87"/>
        <v>63.695090439276484</v>
      </c>
    </row>
    <row r="2544" spans="1:7" ht="13">
      <c r="A2544" s="4" t="s">
        <v>120</v>
      </c>
      <c r="B2544" s="1">
        <v>5.2</v>
      </c>
      <c r="C2544" s="1">
        <v>362</v>
      </c>
      <c r="D2544" s="1" t="s">
        <v>47</v>
      </c>
      <c r="E2544" s="1" t="s">
        <v>26</v>
      </c>
      <c r="F2544" s="1">
        <f t="shared" si="86"/>
        <v>520</v>
      </c>
      <c r="G2544" s="12">
        <f t="shared" si="87"/>
        <v>69.615384615384613</v>
      </c>
    </row>
    <row r="2545" spans="1:7" ht="13">
      <c r="A2545" s="4" t="s">
        <v>120</v>
      </c>
      <c r="B2545" s="1">
        <v>6.7</v>
      </c>
      <c r="C2545" s="1">
        <v>370</v>
      </c>
      <c r="D2545" s="1" t="s">
        <v>11</v>
      </c>
      <c r="E2545" s="1" t="s">
        <v>7</v>
      </c>
      <c r="F2545" s="1">
        <f t="shared" si="86"/>
        <v>670</v>
      </c>
      <c r="G2545" s="12">
        <f t="shared" si="87"/>
        <v>55.223880597014926</v>
      </c>
    </row>
    <row r="2546" spans="1:7" ht="13">
      <c r="A2546" s="4" t="s">
        <v>120</v>
      </c>
      <c r="B2546" s="1">
        <v>6</v>
      </c>
      <c r="C2546" s="1">
        <v>470</v>
      </c>
      <c r="D2546" s="1" t="s">
        <v>40</v>
      </c>
      <c r="E2546" s="1" t="s">
        <v>25</v>
      </c>
      <c r="F2546" s="1">
        <f t="shared" si="86"/>
        <v>600</v>
      </c>
      <c r="G2546" s="12">
        <f t="shared" si="87"/>
        <v>78.333333333333329</v>
      </c>
    </row>
    <row r="2547" spans="1:7" ht="13">
      <c r="A2547" s="4" t="s">
        <v>120</v>
      </c>
      <c r="B2547" s="1">
        <v>4.8600000000000003</v>
      </c>
      <c r="C2547" s="1">
        <v>363</v>
      </c>
      <c r="D2547" s="1" t="s">
        <v>38</v>
      </c>
      <c r="E2547" s="1" t="s">
        <v>15</v>
      </c>
      <c r="F2547" s="1">
        <f t="shared" si="86"/>
        <v>486.00000000000006</v>
      </c>
      <c r="G2547" s="12">
        <f t="shared" si="87"/>
        <v>74.691358024691354</v>
      </c>
    </row>
    <row r="2548" spans="1:7" ht="13">
      <c r="A2548" s="4" t="s">
        <v>120</v>
      </c>
      <c r="B2548" s="1">
        <v>9.5</v>
      </c>
      <c r="C2548" s="1">
        <v>846</v>
      </c>
      <c r="D2548" s="1" t="s">
        <v>11</v>
      </c>
      <c r="E2548" s="1" t="s">
        <v>27</v>
      </c>
      <c r="F2548" s="1">
        <f t="shared" si="86"/>
        <v>950</v>
      </c>
      <c r="G2548" s="12">
        <f t="shared" si="87"/>
        <v>89.05263157894737</v>
      </c>
    </row>
    <row r="2549" spans="1:7" ht="13">
      <c r="A2549" s="4" t="s">
        <v>120</v>
      </c>
      <c r="B2549" s="1">
        <v>4.2</v>
      </c>
      <c r="C2549" s="1">
        <v>366.39</v>
      </c>
      <c r="D2549" s="1" t="s">
        <v>39</v>
      </c>
      <c r="E2549" s="1" t="s">
        <v>17</v>
      </c>
      <c r="F2549" s="1">
        <f t="shared" si="86"/>
        <v>420</v>
      </c>
      <c r="G2549" s="12">
        <f t="shared" si="87"/>
        <v>87.23571428571428</v>
      </c>
    </row>
    <row r="2550" spans="1:7" ht="13">
      <c r="A2550" s="4" t="s">
        <v>120</v>
      </c>
      <c r="B2550" s="1">
        <v>5.2</v>
      </c>
      <c r="C2550" s="1">
        <v>353</v>
      </c>
      <c r="D2550" s="1" t="s">
        <v>39</v>
      </c>
      <c r="E2550" s="1" t="s">
        <v>15</v>
      </c>
      <c r="F2550" s="1">
        <f t="shared" si="86"/>
        <v>520</v>
      </c>
      <c r="G2550" s="12">
        <f t="shared" si="87"/>
        <v>67.884615384615387</v>
      </c>
    </row>
    <row r="2551" spans="1:7" ht="13">
      <c r="A2551" s="4" t="s">
        <v>120</v>
      </c>
      <c r="B2551" s="1">
        <v>6.88</v>
      </c>
      <c r="C2551" s="1">
        <v>437</v>
      </c>
      <c r="D2551" s="1" t="s">
        <v>45</v>
      </c>
      <c r="E2551" s="1" t="s">
        <v>10</v>
      </c>
      <c r="F2551" s="1">
        <f t="shared" si="86"/>
        <v>688</v>
      </c>
      <c r="G2551" s="12">
        <f t="shared" si="87"/>
        <v>63.517441860465119</v>
      </c>
    </row>
    <row r="2552" spans="1:7" ht="13">
      <c r="A2552" s="4" t="s">
        <v>120</v>
      </c>
      <c r="B2552" s="1">
        <v>5</v>
      </c>
      <c r="C2552" s="1">
        <v>426</v>
      </c>
      <c r="D2552" s="1" t="s">
        <v>42</v>
      </c>
      <c r="E2552" s="1" t="s">
        <v>30</v>
      </c>
      <c r="F2552" s="1">
        <f t="shared" si="86"/>
        <v>500</v>
      </c>
      <c r="G2552" s="12">
        <f t="shared" si="87"/>
        <v>85.2</v>
      </c>
    </row>
    <row r="2553" spans="1:7" ht="13">
      <c r="A2553" s="4" t="s">
        <v>120</v>
      </c>
      <c r="B2553" s="1">
        <v>7.2</v>
      </c>
      <c r="C2553" s="1">
        <v>668</v>
      </c>
      <c r="D2553" s="1" t="s">
        <v>39</v>
      </c>
      <c r="E2553" s="1" t="s">
        <v>9</v>
      </c>
      <c r="F2553" s="1">
        <f t="shared" si="86"/>
        <v>720</v>
      </c>
      <c r="G2553" s="12">
        <f t="shared" si="87"/>
        <v>92.777777777777771</v>
      </c>
    </row>
    <row r="2554" spans="1:7" ht="13">
      <c r="A2554" s="4" t="s">
        <v>120</v>
      </c>
      <c r="B2554" s="1">
        <v>6.32</v>
      </c>
      <c r="C2554" s="1">
        <v>526</v>
      </c>
      <c r="D2554" s="1" t="s">
        <v>67</v>
      </c>
      <c r="E2554" s="1" t="s">
        <v>62</v>
      </c>
      <c r="F2554" s="1">
        <f t="shared" si="86"/>
        <v>632</v>
      </c>
      <c r="G2554" s="12">
        <f t="shared" si="87"/>
        <v>83.22784810126582</v>
      </c>
    </row>
    <row r="2555" spans="1:7" ht="13">
      <c r="A2555" s="4" t="s">
        <v>120</v>
      </c>
      <c r="B2555" s="1">
        <v>7.48</v>
      </c>
      <c r="C2555" s="1">
        <v>377</v>
      </c>
      <c r="D2555" s="1" t="s">
        <v>45</v>
      </c>
      <c r="E2555" s="1" t="s">
        <v>15</v>
      </c>
      <c r="F2555" s="1">
        <f t="shared" si="86"/>
        <v>748</v>
      </c>
      <c r="G2555" s="12">
        <f t="shared" si="87"/>
        <v>50.401069518716575</v>
      </c>
    </row>
    <row r="2556" spans="1:7" ht="13">
      <c r="A2556" s="4" t="s">
        <v>120</v>
      </c>
      <c r="B2556" s="1">
        <v>4.1500000000000004</v>
      </c>
      <c r="C2556" s="1">
        <v>390</v>
      </c>
      <c r="D2556" s="1" t="s">
        <v>38</v>
      </c>
      <c r="E2556" s="1" t="s">
        <v>8</v>
      </c>
      <c r="F2556" s="1">
        <f t="shared" si="86"/>
        <v>415.00000000000006</v>
      </c>
      <c r="G2556" s="12">
        <f t="shared" si="87"/>
        <v>93.97590361445782</v>
      </c>
    </row>
    <row r="2557" spans="1:7" ht="13">
      <c r="A2557" s="4" t="s">
        <v>120</v>
      </c>
      <c r="B2557" s="1">
        <v>5.2</v>
      </c>
      <c r="C2557" s="1">
        <v>303</v>
      </c>
      <c r="D2557" s="1" t="s">
        <v>50</v>
      </c>
      <c r="E2557" s="1" t="s">
        <v>15</v>
      </c>
      <c r="F2557" s="1">
        <f t="shared" si="86"/>
        <v>520</v>
      </c>
      <c r="G2557" s="12">
        <f t="shared" si="87"/>
        <v>58.269230769230766</v>
      </c>
    </row>
    <row r="2558" spans="1:7" ht="13">
      <c r="A2558" s="4" t="s">
        <v>120</v>
      </c>
      <c r="B2558" s="1">
        <v>5.0999999999999996</v>
      </c>
      <c r="C2558" s="1">
        <v>433</v>
      </c>
      <c r="D2558" s="1" t="s">
        <v>59</v>
      </c>
      <c r="E2558" s="1" t="s">
        <v>18</v>
      </c>
      <c r="F2558" s="1">
        <f t="shared" si="86"/>
        <v>509.99999999999994</v>
      </c>
      <c r="G2558" s="12">
        <f t="shared" si="87"/>
        <v>84.901960784313729</v>
      </c>
    </row>
    <row r="2559" spans="1:7" ht="13">
      <c r="A2559" s="4" t="s">
        <v>120</v>
      </c>
      <c r="B2559" s="1">
        <v>4.0999999999999996</v>
      </c>
      <c r="C2559" s="1">
        <v>331</v>
      </c>
      <c r="D2559" s="1" t="s">
        <v>38</v>
      </c>
      <c r="E2559" s="1" t="s">
        <v>16</v>
      </c>
      <c r="F2559" s="1">
        <f t="shared" si="86"/>
        <v>409.99999999999994</v>
      </c>
      <c r="G2559" s="12">
        <f t="shared" si="87"/>
        <v>80.731707317073173</v>
      </c>
    </row>
    <row r="2560" spans="1:7" ht="13">
      <c r="A2560" s="4" t="s">
        <v>120</v>
      </c>
      <c r="B2560" s="1">
        <v>6.88</v>
      </c>
      <c r="C2560" s="1">
        <v>420</v>
      </c>
      <c r="D2560" s="1" t="s">
        <v>33</v>
      </c>
      <c r="E2560" s="1" t="s">
        <v>10</v>
      </c>
      <c r="F2560" s="1">
        <f t="shared" si="86"/>
        <v>688</v>
      </c>
      <c r="G2560" s="12">
        <f t="shared" si="87"/>
        <v>61.04651162790698</v>
      </c>
    </row>
    <row r="2561" spans="1:7" ht="13">
      <c r="A2561" s="4" t="s">
        <v>120</v>
      </c>
      <c r="B2561" s="1">
        <v>5.6</v>
      </c>
      <c r="C2561" s="1">
        <v>492.61</v>
      </c>
      <c r="D2561" s="1" t="s">
        <v>11</v>
      </c>
      <c r="E2561" s="1" t="s">
        <v>8</v>
      </c>
      <c r="F2561" s="1">
        <f t="shared" si="86"/>
        <v>560</v>
      </c>
      <c r="G2561" s="12">
        <f t="shared" si="87"/>
        <v>87.966071428571439</v>
      </c>
    </row>
    <row r="2562" spans="1:7" ht="13">
      <c r="A2562" s="4" t="s">
        <v>120</v>
      </c>
      <c r="B2562" s="1">
        <v>5.4</v>
      </c>
      <c r="C2562" s="1">
        <v>300</v>
      </c>
      <c r="D2562" s="1" t="s">
        <v>59</v>
      </c>
      <c r="E2562" s="1" t="s">
        <v>16</v>
      </c>
      <c r="F2562" s="1">
        <f t="shared" si="86"/>
        <v>540</v>
      </c>
      <c r="G2562" s="12">
        <f t="shared" si="87"/>
        <v>55.55555555555555</v>
      </c>
    </row>
    <row r="2563" spans="1:7" ht="13">
      <c r="A2563" s="4" t="s">
        <v>120</v>
      </c>
      <c r="B2563" s="1">
        <v>5.39</v>
      </c>
      <c r="C2563" s="1">
        <v>469</v>
      </c>
      <c r="D2563" s="1" t="s">
        <v>11</v>
      </c>
      <c r="E2563" s="1" t="s">
        <v>26</v>
      </c>
      <c r="F2563" s="1">
        <f t="shared" ref="F2563:F2626" si="88">B2563*100</f>
        <v>539</v>
      </c>
      <c r="G2563" s="12">
        <f t="shared" ref="G2563:G2626" si="89">C2563/B2563</f>
        <v>87.012987012987011</v>
      </c>
    </row>
    <row r="2564" spans="1:7" ht="13">
      <c r="A2564" s="4" t="s">
        <v>120</v>
      </c>
      <c r="B2564" s="1">
        <v>7.74</v>
      </c>
      <c r="C2564" s="1">
        <v>580</v>
      </c>
      <c r="D2564" s="1" t="s">
        <v>35</v>
      </c>
      <c r="E2564" s="1" t="s">
        <v>8</v>
      </c>
      <c r="F2564" s="1">
        <f t="shared" si="88"/>
        <v>774</v>
      </c>
      <c r="G2564" s="12">
        <f t="shared" si="89"/>
        <v>74.935400516795866</v>
      </c>
    </row>
    <row r="2565" spans="1:7" ht="13">
      <c r="A2565" s="4" t="s">
        <v>120</v>
      </c>
      <c r="B2565" s="1">
        <v>8.6</v>
      </c>
      <c r="C2565" s="1">
        <v>770</v>
      </c>
      <c r="D2565" s="1" t="s">
        <v>42</v>
      </c>
      <c r="E2565" s="1" t="s">
        <v>8</v>
      </c>
      <c r="F2565" s="1">
        <f t="shared" si="88"/>
        <v>860</v>
      </c>
      <c r="G2565" s="12">
        <f t="shared" si="89"/>
        <v>89.534883720930239</v>
      </c>
    </row>
    <row r="2566" spans="1:7" ht="13">
      <c r="A2566" s="4" t="s">
        <v>120</v>
      </c>
      <c r="B2566" s="1">
        <v>4.3</v>
      </c>
      <c r="C2566" s="1">
        <v>297</v>
      </c>
      <c r="D2566" s="1" t="s">
        <v>33</v>
      </c>
      <c r="E2566" s="1" t="s">
        <v>19</v>
      </c>
      <c r="F2566" s="1">
        <f t="shared" si="88"/>
        <v>430</v>
      </c>
      <c r="G2566" s="12">
        <f t="shared" si="89"/>
        <v>69.069767441860463</v>
      </c>
    </row>
    <row r="2567" spans="1:7" ht="13">
      <c r="A2567" s="4" t="s">
        <v>120</v>
      </c>
      <c r="B2567" s="1">
        <v>9.1999999999999993</v>
      </c>
      <c r="C2567" s="1">
        <v>673</v>
      </c>
      <c r="D2567" s="1" t="s">
        <v>37</v>
      </c>
      <c r="E2567" s="1" t="s">
        <v>18</v>
      </c>
      <c r="F2567" s="1">
        <f t="shared" si="88"/>
        <v>919.99999999999989</v>
      </c>
      <c r="G2567" s="12">
        <f t="shared" si="89"/>
        <v>73.152173913043484</v>
      </c>
    </row>
    <row r="2568" spans="1:7" ht="13">
      <c r="A2568" s="4" t="s">
        <v>120</v>
      </c>
      <c r="B2568" s="1">
        <v>6.3</v>
      </c>
      <c r="C2568" s="1">
        <v>578</v>
      </c>
      <c r="D2568" s="1" t="s">
        <v>11</v>
      </c>
      <c r="E2568" s="1" t="s">
        <v>8</v>
      </c>
      <c r="F2568" s="1">
        <f t="shared" si="88"/>
        <v>630</v>
      </c>
      <c r="G2568" s="12">
        <f t="shared" si="89"/>
        <v>91.746031746031747</v>
      </c>
    </row>
    <row r="2569" spans="1:7" ht="13">
      <c r="A2569" s="4" t="s">
        <v>120</v>
      </c>
      <c r="B2569" s="1">
        <v>6.32</v>
      </c>
      <c r="C2569" s="1">
        <v>564</v>
      </c>
      <c r="D2569" s="1" t="s">
        <v>11</v>
      </c>
      <c r="E2569" s="1" t="s">
        <v>49</v>
      </c>
      <c r="F2569" s="1">
        <f t="shared" si="88"/>
        <v>632</v>
      </c>
      <c r="G2569" s="12">
        <f t="shared" si="89"/>
        <v>89.240506329113927</v>
      </c>
    </row>
    <row r="2570" spans="1:7" ht="13">
      <c r="A2570" s="4" t="s">
        <v>120</v>
      </c>
      <c r="B2570" s="1">
        <v>9.68</v>
      </c>
      <c r="C2570" s="1">
        <v>617</v>
      </c>
      <c r="D2570" s="1" t="s">
        <v>36</v>
      </c>
      <c r="E2570" s="1" t="s">
        <v>7</v>
      </c>
      <c r="F2570" s="1">
        <f t="shared" si="88"/>
        <v>968</v>
      </c>
      <c r="G2570" s="12">
        <f t="shared" si="89"/>
        <v>63.739669421487605</v>
      </c>
    </row>
    <row r="2571" spans="1:7" ht="13">
      <c r="A2571" s="4" t="s">
        <v>120</v>
      </c>
      <c r="B2571" s="1">
        <v>6.88</v>
      </c>
      <c r="C2571" s="1">
        <v>486</v>
      </c>
      <c r="D2571" s="1" t="s">
        <v>33</v>
      </c>
      <c r="E2571" s="1" t="s">
        <v>8</v>
      </c>
      <c r="F2571" s="1">
        <f t="shared" si="88"/>
        <v>688</v>
      </c>
      <c r="G2571" s="12">
        <f t="shared" si="89"/>
        <v>70.639534883720927</v>
      </c>
    </row>
    <row r="2572" spans="1:7" ht="13">
      <c r="A2572" s="4" t="s">
        <v>120</v>
      </c>
      <c r="B2572" s="1">
        <v>6.9</v>
      </c>
      <c r="C2572" s="1">
        <v>479</v>
      </c>
      <c r="D2572" s="1" t="s">
        <v>11</v>
      </c>
      <c r="E2572" s="1" t="s">
        <v>26</v>
      </c>
      <c r="F2572" s="1">
        <f t="shared" si="88"/>
        <v>690</v>
      </c>
      <c r="G2572" s="12">
        <f t="shared" si="89"/>
        <v>69.420289855072454</v>
      </c>
    </row>
    <row r="2573" spans="1:7" ht="13">
      <c r="A2573" s="4" t="s">
        <v>120</v>
      </c>
      <c r="B2573" s="1">
        <v>8.6999999999999993</v>
      </c>
      <c r="C2573" s="1">
        <v>844.5</v>
      </c>
      <c r="D2573" s="1" t="s">
        <v>47</v>
      </c>
      <c r="E2573" s="1" t="s">
        <v>12</v>
      </c>
      <c r="F2573" s="1">
        <f t="shared" si="88"/>
        <v>869.99999999999989</v>
      </c>
      <c r="G2573" s="12">
        <f t="shared" si="89"/>
        <v>97.068965517241381</v>
      </c>
    </row>
    <row r="2574" spans="1:7" ht="13">
      <c r="A2574" s="4" t="s">
        <v>120</v>
      </c>
      <c r="B2574" s="1">
        <v>9</v>
      </c>
      <c r="C2574" s="1">
        <v>566</v>
      </c>
      <c r="D2574" s="1" t="s">
        <v>33</v>
      </c>
      <c r="E2574" s="1" t="s">
        <v>23</v>
      </c>
      <c r="F2574" s="1">
        <f t="shared" si="88"/>
        <v>900</v>
      </c>
      <c r="G2574" s="12">
        <f t="shared" si="89"/>
        <v>62.888888888888886</v>
      </c>
    </row>
    <row r="2575" spans="1:7" ht="13">
      <c r="A2575" s="4" t="s">
        <v>120</v>
      </c>
      <c r="B2575" s="1">
        <v>7.7</v>
      </c>
      <c r="C2575" s="1">
        <v>456</v>
      </c>
      <c r="D2575" s="1" t="s">
        <v>107</v>
      </c>
      <c r="E2575" s="1" t="s">
        <v>27</v>
      </c>
      <c r="F2575" s="1">
        <f t="shared" si="88"/>
        <v>770</v>
      </c>
      <c r="G2575" s="12">
        <f t="shared" si="89"/>
        <v>59.220779220779221</v>
      </c>
    </row>
    <row r="2576" spans="1:7" ht="13">
      <c r="A2576" s="4" t="s">
        <v>120</v>
      </c>
      <c r="B2576" s="1">
        <v>5.16</v>
      </c>
      <c r="C2576" s="1">
        <v>422</v>
      </c>
      <c r="D2576" s="1" t="s">
        <v>38</v>
      </c>
      <c r="E2576" s="1" t="s">
        <v>26</v>
      </c>
      <c r="F2576" s="1">
        <f t="shared" si="88"/>
        <v>516</v>
      </c>
      <c r="G2576" s="12">
        <f t="shared" si="89"/>
        <v>81.782945736434101</v>
      </c>
    </row>
    <row r="2577" spans="1:7" ht="13">
      <c r="A2577" s="4" t="s">
        <v>120</v>
      </c>
      <c r="B2577" s="1">
        <v>6.09</v>
      </c>
      <c r="C2577" s="1">
        <v>537</v>
      </c>
      <c r="D2577" s="1" t="s">
        <v>11</v>
      </c>
      <c r="E2577" s="1" t="s">
        <v>15</v>
      </c>
      <c r="F2577" s="1">
        <f t="shared" si="88"/>
        <v>609</v>
      </c>
      <c r="G2577" s="12">
        <f t="shared" si="89"/>
        <v>88.177339901477836</v>
      </c>
    </row>
    <row r="2578" spans="1:7" ht="13">
      <c r="A2578" s="4" t="s">
        <v>120</v>
      </c>
      <c r="B2578" s="1">
        <v>10.56</v>
      </c>
      <c r="C2578" s="1">
        <v>695</v>
      </c>
      <c r="D2578" s="1" t="s">
        <v>11</v>
      </c>
      <c r="E2578" s="1" t="s">
        <v>17</v>
      </c>
      <c r="F2578" s="1">
        <f t="shared" si="88"/>
        <v>1056</v>
      </c>
      <c r="G2578" s="12">
        <f t="shared" si="89"/>
        <v>65.814393939393938</v>
      </c>
    </row>
    <row r="2579" spans="1:7" ht="13">
      <c r="A2579" s="4" t="s">
        <v>120</v>
      </c>
      <c r="B2579" s="1">
        <v>5.28</v>
      </c>
      <c r="C2579" s="1">
        <v>332</v>
      </c>
      <c r="D2579" s="1" t="s">
        <v>33</v>
      </c>
      <c r="E2579" s="1" t="s">
        <v>21</v>
      </c>
      <c r="F2579" s="1">
        <f t="shared" si="88"/>
        <v>528</v>
      </c>
      <c r="G2579" s="12">
        <f t="shared" si="89"/>
        <v>62.878787878787875</v>
      </c>
    </row>
    <row r="2580" spans="1:7" ht="13">
      <c r="A2580" s="4" t="s">
        <v>120</v>
      </c>
      <c r="B2580" s="1">
        <v>7.92</v>
      </c>
      <c r="C2580" s="1">
        <v>650</v>
      </c>
      <c r="D2580" s="1" t="s">
        <v>11</v>
      </c>
      <c r="E2580" s="1" t="s">
        <v>8</v>
      </c>
      <c r="F2580" s="1">
        <f t="shared" si="88"/>
        <v>792</v>
      </c>
      <c r="G2580" s="12">
        <f t="shared" si="89"/>
        <v>82.070707070707073</v>
      </c>
    </row>
    <row r="2581" spans="1:7" ht="13">
      <c r="A2581" s="4" t="s">
        <v>120</v>
      </c>
      <c r="B2581" s="1">
        <v>6.96</v>
      </c>
      <c r="C2581" s="1">
        <v>570</v>
      </c>
      <c r="D2581" s="1" t="s">
        <v>67</v>
      </c>
      <c r="E2581" s="1" t="s">
        <v>16</v>
      </c>
      <c r="F2581" s="1">
        <f t="shared" si="88"/>
        <v>696</v>
      </c>
      <c r="G2581" s="12">
        <f t="shared" si="89"/>
        <v>81.896551724137936</v>
      </c>
    </row>
    <row r="2582" spans="1:7" ht="13">
      <c r="A2582" s="4" t="s">
        <v>120</v>
      </c>
      <c r="B2582" s="1">
        <v>5.2</v>
      </c>
      <c r="C2582" s="1">
        <v>455</v>
      </c>
      <c r="D2582" s="1" t="s">
        <v>11</v>
      </c>
      <c r="E2582" s="1" t="s">
        <v>26</v>
      </c>
      <c r="F2582" s="1">
        <f t="shared" si="88"/>
        <v>520</v>
      </c>
      <c r="G2582" s="12">
        <f t="shared" si="89"/>
        <v>87.5</v>
      </c>
    </row>
    <row r="2583" spans="1:7" ht="13">
      <c r="A2583" s="4" t="s">
        <v>120</v>
      </c>
      <c r="B2583" s="1">
        <v>8.4</v>
      </c>
      <c r="C2583" s="1">
        <v>530</v>
      </c>
      <c r="D2583" s="1" t="s">
        <v>33</v>
      </c>
      <c r="E2583" s="1" t="s">
        <v>15</v>
      </c>
      <c r="F2583" s="1">
        <f t="shared" si="88"/>
        <v>840</v>
      </c>
      <c r="G2583" s="12">
        <f t="shared" si="89"/>
        <v>63.095238095238095</v>
      </c>
    </row>
    <row r="2584" spans="1:7" ht="13">
      <c r="A2584" s="4" t="s">
        <v>120</v>
      </c>
      <c r="B2584" s="1">
        <v>6.09</v>
      </c>
      <c r="C2584" s="1">
        <v>511</v>
      </c>
      <c r="D2584" s="1" t="s">
        <v>11</v>
      </c>
      <c r="E2584" s="1" t="s">
        <v>26</v>
      </c>
      <c r="F2584" s="1">
        <f t="shared" si="88"/>
        <v>609</v>
      </c>
      <c r="G2584" s="12">
        <f t="shared" si="89"/>
        <v>83.908045977011497</v>
      </c>
    </row>
    <row r="2585" spans="1:7" ht="13">
      <c r="A2585" s="4" t="s">
        <v>120</v>
      </c>
      <c r="B2585" s="1">
        <v>4.9000000000000004</v>
      </c>
      <c r="C2585" s="1">
        <v>332</v>
      </c>
      <c r="D2585" s="1" t="s">
        <v>44</v>
      </c>
      <c r="E2585" s="1" t="s">
        <v>15</v>
      </c>
      <c r="F2585" s="1">
        <f t="shared" si="88"/>
        <v>490.00000000000006</v>
      </c>
      <c r="G2585" s="12">
        <f t="shared" si="89"/>
        <v>67.755102040816325</v>
      </c>
    </row>
    <row r="2586" spans="1:7" ht="13">
      <c r="A2586" s="4" t="s">
        <v>120</v>
      </c>
      <c r="B2586" s="1">
        <v>8.1</v>
      </c>
      <c r="C2586" s="1">
        <v>561</v>
      </c>
      <c r="D2586" s="1" t="s">
        <v>35</v>
      </c>
      <c r="E2586" s="1" t="s">
        <v>7</v>
      </c>
      <c r="F2586" s="1">
        <f t="shared" si="88"/>
        <v>810</v>
      </c>
      <c r="G2586" s="12">
        <f t="shared" si="89"/>
        <v>69.259259259259267</v>
      </c>
    </row>
    <row r="2587" spans="1:7" ht="13">
      <c r="A2587" s="4" t="s">
        <v>120</v>
      </c>
      <c r="B2587" s="1">
        <v>9.1</v>
      </c>
      <c r="C2587" s="1">
        <v>680</v>
      </c>
      <c r="D2587" s="1" t="s">
        <v>35</v>
      </c>
      <c r="E2587" s="1" t="s">
        <v>10</v>
      </c>
      <c r="F2587" s="1">
        <f t="shared" si="88"/>
        <v>910</v>
      </c>
      <c r="G2587" s="12">
        <f t="shared" si="89"/>
        <v>74.72527472527473</v>
      </c>
    </row>
    <row r="2588" spans="1:7" ht="13">
      <c r="A2588" s="4" t="s">
        <v>120</v>
      </c>
      <c r="B2588" s="1">
        <v>6.45</v>
      </c>
      <c r="C2588" s="1">
        <v>538</v>
      </c>
      <c r="D2588" s="1" t="s">
        <v>42</v>
      </c>
      <c r="E2588" s="1" t="s">
        <v>18</v>
      </c>
      <c r="F2588" s="1">
        <f t="shared" si="88"/>
        <v>645</v>
      </c>
      <c r="G2588" s="12">
        <f t="shared" si="89"/>
        <v>83.410852713178286</v>
      </c>
    </row>
    <row r="2589" spans="1:7" ht="13">
      <c r="A2589" s="4" t="s">
        <v>120</v>
      </c>
      <c r="B2589" s="1">
        <v>7.83</v>
      </c>
      <c r="C2589" s="1">
        <v>557</v>
      </c>
      <c r="D2589" s="1" t="s">
        <v>11</v>
      </c>
      <c r="E2589" s="1" t="s">
        <v>20</v>
      </c>
      <c r="F2589" s="1">
        <f t="shared" si="88"/>
        <v>783</v>
      </c>
      <c r="G2589" s="12">
        <f t="shared" si="89"/>
        <v>71.136653895274591</v>
      </c>
    </row>
    <row r="2590" spans="1:7" ht="13">
      <c r="A2590" s="4" t="s">
        <v>120</v>
      </c>
      <c r="B2590" s="1">
        <v>12.04</v>
      </c>
      <c r="C2590" s="1">
        <v>875</v>
      </c>
      <c r="D2590" s="1" t="s">
        <v>11</v>
      </c>
      <c r="E2590" s="1" t="s">
        <v>8</v>
      </c>
      <c r="F2590" s="1">
        <f t="shared" si="88"/>
        <v>1204</v>
      </c>
      <c r="G2590" s="12">
        <f t="shared" si="89"/>
        <v>72.674418604651166</v>
      </c>
    </row>
    <row r="2591" spans="1:7" ht="13">
      <c r="A2591" s="4" t="s">
        <v>120</v>
      </c>
      <c r="B2591" s="1">
        <v>8.8000000000000007</v>
      </c>
      <c r="C2591" s="1">
        <v>535</v>
      </c>
      <c r="D2591" s="1" t="s">
        <v>33</v>
      </c>
      <c r="E2591" s="1" t="s">
        <v>8</v>
      </c>
      <c r="F2591" s="1">
        <f t="shared" si="88"/>
        <v>880.00000000000011</v>
      </c>
      <c r="G2591" s="12">
        <f t="shared" si="89"/>
        <v>60.79545454545454</v>
      </c>
    </row>
    <row r="2592" spans="1:7" ht="13">
      <c r="A2592" s="4" t="s">
        <v>120</v>
      </c>
      <c r="B2592" s="1">
        <v>8.6</v>
      </c>
      <c r="C2592" s="1">
        <v>594</v>
      </c>
      <c r="D2592" s="1" t="s">
        <v>33</v>
      </c>
      <c r="E2592" s="1" t="s">
        <v>8</v>
      </c>
      <c r="F2592" s="1">
        <f t="shared" si="88"/>
        <v>860</v>
      </c>
      <c r="G2592" s="12">
        <f t="shared" si="89"/>
        <v>69.069767441860463</v>
      </c>
    </row>
    <row r="2593" spans="1:7" ht="13">
      <c r="A2593" s="4" t="s">
        <v>120</v>
      </c>
      <c r="B2593" s="1">
        <v>6</v>
      </c>
      <c r="C2593" s="1">
        <v>417</v>
      </c>
      <c r="D2593" s="1" t="s">
        <v>33</v>
      </c>
      <c r="E2593" s="1" t="s">
        <v>16</v>
      </c>
      <c r="F2593" s="1">
        <f t="shared" si="88"/>
        <v>600</v>
      </c>
      <c r="G2593" s="12">
        <f t="shared" si="89"/>
        <v>69.5</v>
      </c>
    </row>
    <row r="2594" spans="1:7" ht="13">
      <c r="A2594" s="4" t="s">
        <v>120</v>
      </c>
      <c r="B2594" s="1">
        <v>5</v>
      </c>
      <c r="C2594" s="1">
        <v>420</v>
      </c>
      <c r="D2594" s="1" t="s">
        <v>11</v>
      </c>
      <c r="E2594" s="1" t="s">
        <v>23</v>
      </c>
      <c r="F2594" s="1">
        <f t="shared" si="88"/>
        <v>500</v>
      </c>
      <c r="G2594" s="12">
        <f t="shared" si="89"/>
        <v>84</v>
      </c>
    </row>
    <row r="2595" spans="1:7" ht="13">
      <c r="A2595" s="4" t="s">
        <v>120</v>
      </c>
      <c r="B2595" s="1">
        <v>8</v>
      </c>
      <c r="C2595" s="1">
        <v>560</v>
      </c>
      <c r="D2595" s="1" t="s">
        <v>43</v>
      </c>
      <c r="E2595" s="1" t="s">
        <v>22</v>
      </c>
      <c r="F2595" s="1">
        <f t="shared" si="88"/>
        <v>800</v>
      </c>
      <c r="G2595" s="12">
        <f t="shared" si="89"/>
        <v>70</v>
      </c>
    </row>
    <row r="2596" spans="1:7" ht="13">
      <c r="A2596" s="4" t="s">
        <v>120</v>
      </c>
      <c r="B2596" s="1">
        <v>7</v>
      </c>
      <c r="C2596" s="1">
        <v>437</v>
      </c>
      <c r="D2596" s="1" t="s">
        <v>33</v>
      </c>
      <c r="E2596" s="1" t="s">
        <v>9</v>
      </c>
      <c r="F2596" s="1">
        <f t="shared" si="88"/>
        <v>700</v>
      </c>
      <c r="G2596" s="12">
        <f t="shared" si="89"/>
        <v>62.428571428571431</v>
      </c>
    </row>
    <row r="2597" spans="1:7" ht="13">
      <c r="A2597" s="4" t="s">
        <v>120</v>
      </c>
      <c r="B2597" s="1">
        <v>7.56</v>
      </c>
      <c r="C2597" s="1">
        <v>595</v>
      </c>
      <c r="D2597" s="1" t="s">
        <v>11</v>
      </c>
      <c r="E2597" s="1" t="s">
        <v>25</v>
      </c>
      <c r="F2597" s="1">
        <f t="shared" si="88"/>
        <v>756</v>
      </c>
      <c r="G2597" s="12">
        <f t="shared" si="89"/>
        <v>78.703703703703709</v>
      </c>
    </row>
    <row r="2598" spans="1:7" ht="13">
      <c r="A2598" s="4" t="s">
        <v>120</v>
      </c>
      <c r="B2598" s="1">
        <v>6.4</v>
      </c>
      <c r="C2598" s="1">
        <v>393</v>
      </c>
      <c r="D2598" s="1" t="s">
        <v>33</v>
      </c>
      <c r="E2598" s="1" t="s">
        <v>15</v>
      </c>
      <c r="F2598" s="1">
        <f t="shared" si="88"/>
        <v>640</v>
      </c>
      <c r="G2598" s="12">
        <f t="shared" si="89"/>
        <v>61.40625</v>
      </c>
    </row>
    <row r="2599" spans="1:7" ht="13">
      <c r="A2599" s="4" t="s">
        <v>120</v>
      </c>
      <c r="B2599" s="1">
        <v>4.0999999999999996</v>
      </c>
      <c r="C2599" s="1">
        <v>413</v>
      </c>
      <c r="D2599" s="1" t="s">
        <v>11</v>
      </c>
      <c r="E2599" s="1" t="s">
        <v>18</v>
      </c>
      <c r="F2599" s="1">
        <f t="shared" si="88"/>
        <v>409.99999999999994</v>
      </c>
      <c r="G2599" s="12">
        <f t="shared" si="89"/>
        <v>100.73170731707317</v>
      </c>
    </row>
    <row r="2600" spans="1:7" ht="13">
      <c r="A2600" s="4" t="s">
        <v>120</v>
      </c>
      <c r="B2600" s="1">
        <v>6.88</v>
      </c>
      <c r="C2600" s="1">
        <v>490</v>
      </c>
      <c r="D2600" s="1" t="s">
        <v>38</v>
      </c>
      <c r="E2600" s="1" t="s">
        <v>7</v>
      </c>
      <c r="F2600" s="1">
        <f t="shared" si="88"/>
        <v>688</v>
      </c>
      <c r="G2600" s="12">
        <f t="shared" si="89"/>
        <v>71.220930232558146</v>
      </c>
    </row>
    <row r="2601" spans="1:7" ht="13">
      <c r="A2601" s="4" t="s">
        <v>120</v>
      </c>
      <c r="B2601" s="1">
        <v>7.2</v>
      </c>
      <c r="C2601" s="1">
        <v>592</v>
      </c>
      <c r="D2601" s="1" t="s">
        <v>43</v>
      </c>
      <c r="E2601" s="1" t="s">
        <v>17</v>
      </c>
      <c r="F2601" s="1">
        <f t="shared" si="88"/>
        <v>720</v>
      </c>
      <c r="G2601" s="12">
        <f t="shared" si="89"/>
        <v>82.222222222222214</v>
      </c>
    </row>
    <row r="2602" spans="1:7" ht="13">
      <c r="A2602" s="4" t="s">
        <v>120</v>
      </c>
      <c r="B2602" s="1">
        <v>5.625</v>
      </c>
      <c r="C2602" s="1">
        <v>403</v>
      </c>
      <c r="D2602" s="1" t="s">
        <v>11</v>
      </c>
      <c r="E2602" s="1" t="s">
        <v>15</v>
      </c>
      <c r="F2602" s="1">
        <f t="shared" si="88"/>
        <v>562.5</v>
      </c>
      <c r="G2602" s="12">
        <f t="shared" si="89"/>
        <v>71.644444444444446</v>
      </c>
    </row>
    <row r="2603" spans="1:7" ht="13">
      <c r="A2603" s="4" t="s">
        <v>120</v>
      </c>
      <c r="B2603" s="1">
        <v>6.8</v>
      </c>
      <c r="C2603" s="1">
        <v>425</v>
      </c>
      <c r="D2603" s="1" t="s">
        <v>33</v>
      </c>
      <c r="E2603" s="1" t="s">
        <v>20</v>
      </c>
      <c r="F2603" s="1">
        <f t="shared" si="88"/>
        <v>680</v>
      </c>
      <c r="G2603" s="12">
        <f t="shared" si="89"/>
        <v>62.5</v>
      </c>
    </row>
    <row r="2604" spans="1:7" ht="13">
      <c r="A2604" s="4" t="s">
        <v>120</v>
      </c>
      <c r="B2604" s="1">
        <v>6</v>
      </c>
      <c r="C2604" s="1">
        <v>542</v>
      </c>
      <c r="D2604" s="1" t="s">
        <v>42</v>
      </c>
      <c r="E2604" s="1" t="s">
        <v>17</v>
      </c>
      <c r="F2604" s="1">
        <f t="shared" si="88"/>
        <v>600</v>
      </c>
      <c r="G2604" s="12">
        <f t="shared" si="89"/>
        <v>90.333333333333329</v>
      </c>
    </row>
    <row r="2605" spans="1:7" ht="13">
      <c r="A2605" s="4" t="s">
        <v>120</v>
      </c>
      <c r="B2605" s="1">
        <v>4.03</v>
      </c>
      <c r="C2605" s="1">
        <v>314</v>
      </c>
      <c r="D2605" s="1" t="s">
        <v>11</v>
      </c>
      <c r="E2605" s="1" t="s">
        <v>9</v>
      </c>
      <c r="F2605" s="1">
        <f t="shared" si="88"/>
        <v>403</v>
      </c>
      <c r="G2605" s="12">
        <f t="shared" si="89"/>
        <v>77.915632754342425</v>
      </c>
    </row>
    <row r="2606" spans="1:7" ht="13">
      <c r="A2606" s="4" t="s">
        <v>120</v>
      </c>
      <c r="B2606" s="1">
        <v>5.5</v>
      </c>
      <c r="C2606" s="1">
        <v>454</v>
      </c>
      <c r="D2606" s="1" t="s">
        <v>35</v>
      </c>
      <c r="E2606" s="1" t="s">
        <v>8</v>
      </c>
      <c r="F2606" s="1">
        <f t="shared" si="88"/>
        <v>550</v>
      </c>
      <c r="G2606" s="12">
        <f t="shared" si="89"/>
        <v>82.545454545454547</v>
      </c>
    </row>
    <row r="2607" spans="1:7" ht="13">
      <c r="A2607" s="4" t="s">
        <v>120</v>
      </c>
      <c r="B2607" s="1">
        <v>8.6999999999999993</v>
      </c>
      <c r="C2607" s="1">
        <v>725</v>
      </c>
      <c r="D2607" s="1" t="s">
        <v>11</v>
      </c>
      <c r="E2607" s="1" t="s">
        <v>24</v>
      </c>
      <c r="F2607" s="1">
        <f t="shared" si="88"/>
        <v>869.99999999999989</v>
      </c>
      <c r="G2607" s="12">
        <f t="shared" si="89"/>
        <v>83.333333333333343</v>
      </c>
    </row>
    <row r="2608" spans="1:7" ht="13">
      <c r="A2608" s="4" t="s">
        <v>120</v>
      </c>
      <c r="B2608" s="1">
        <v>8.6</v>
      </c>
      <c r="C2608" s="1">
        <v>740</v>
      </c>
      <c r="D2608" s="1" t="s">
        <v>11</v>
      </c>
      <c r="E2608" s="1" t="s">
        <v>12</v>
      </c>
      <c r="F2608" s="1">
        <f t="shared" si="88"/>
        <v>860</v>
      </c>
      <c r="G2608" s="12">
        <f t="shared" si="89"/>
        <v>86.04651162790698</v>
      </c>
    </row>
    <row r="2609" spans="1:7" ht="13">
      <c r="A2609" s="4" t="s">
        <v>120</v>
      </c>
      <c r="B2609" s="1">
        <v>8.6</v>
      </c>
      <c r="C2609" s="1">
        <v>594</v>
      </c>
      <c r="D2609" s="1" t="s">
        <v>33</v>
      </c>
      <c r="E2609" s="1" t="s">
        <v>26</v>
      </c>
      <c r="F2609" s="1">
        <f t="shared" si="88"/>
        <v>860</v>
      </c>
      <c r="G2609" s="12">
        <f t="shared" si="89"/>
        <v>69.069767441860463</v>
      </c>
    </row>
    <row r="2610" spans="1:7" ht="13">
      <c r="A2610" s="4" t="s">
        <v>120</v>
      </c>
      <c r="B2610" s="1">
        <v>6.5</v>
      </c>
      <c r="C2610" s="1">
        <v>484</v>
      </c>
      <c r="D2610" s="1" t="s">
        <v>39</v>
      </c>
      <c r="E2610" s="1" t="s">
        <v>16</v>
      </c>
      <c r="F2610" s="1">
        <f t="shared" si="88"/>
        <v>650</v>
      </c>
      <c r="G2610" s="12">
        <f t="shared" si="89"/>
        <v>74.461538461538467</v>
      </c>
    </row>
    <row r="2611" spans="1:7" ht="13">
      <c r="A2611" s="4" t="s">
        <v>120</v>
      </c>
      <c r="B2611" s="1">
        <v>6.96</v>
      </c>
      <c r="C2611" s="1">
        <v>609</v>
      </c>
      <c r="D2611" s="1" t="s">
        <v>11</v>
      </c>
      <c r="E2611" s="1" t="s">
        <v>18</v>
      </c>
      <c r="F2611" s="1">
        <f t="shared" si="88"/>
        <v>696</v>
      </c>
      <c r="G2611" s="12">
        <f t="shared" si="89"/>
        <v>87.5</v>
      </c>
    </row>
    <row r="2612" spans="1:7" ht="13">
      <c r="A2612" s="4" t="s">
        <v>120</v>
      </c>
      <c r="B2612" s="1">
        <v>5</v>
      </c>
      <c r="C2612" s="1">
        <v>374</v>
      </c>
      <c r="D2612" s="1" t="s">
        <v>43</v>
      </c>
      <c r="E2612" s="1" t="s">
        <v>22</v>
      </c>
      <c r="F2612" s="1">
        <f t="shared" si="88"/>
        <v>500</v>
      </c>
      <c r="G2612" s="12">
        <f t="shared" si="89"/>
        <v>74.8</v>
      </c>
    </row>
    <row r="2613" spans="1:7" ht="13">
      <c r="A2613" s="4" t="s">
        <v>120</v>
      </c>
      <c r="B2613" s="1">
        <v>3.5</v>
      </c>
      <c r="C2613" s="1">
        <v>192</v>
      </c>
      <c r="D2613" s="1" t="s">
        <v>42</v>
      </c>
      <c r="E2613" s="1" t="s">
        <v>10</v>
      </c>
      <c r="F2613" s="1">
        <f t="shared" si="88"/>
        <v>350</v>
      </c>
      <c r="G2613" s="12">
        <f t="shared" si="89"/>
        <v>54.857142857142854</v>
      </c>
    </row>
    <row r="2614" spans="1:7" ht="13">
      <c r="A2614" s="4" t="s">
        <v>120</v>
      </c>
      <c r="B2614" s="1">
        <v>7.3949999999999996</v>
      </c>
      <c r="C2614" s="1">
        <v>590</v>
      </c>
      <c r="D2614" s="1" t="s">
        <v>42</v>
      </c>
      <c r="E2614" s="1" t="s">
        <v>25</v>
      </c>
      <c r="F2614" s="1">
        <f t="shared" si="88"/>
        <v>739.5</v>
      </c>
      <c r="G2614" s="12">
        <f t="shared" si="89"/>
        <v>79.783637592968233</v>
      </c>
    </row>
    <row r="2615" spans="1:7" ht="13">
      <c r="A2615" s="4" t="s">
        <v>120</v>
      </c>
      <c r="B2615" s="1">
        <v>10.199999999999999</v>
      </c>
      <c r="C2615" s="1">
        <v>630</v>
      </c>
      <c r="D2615" s="1" t="s">
        <v>47</v>
      </c>
      <c r="E2615" s="1" t="s">
        <v>7</v>
      </c>
      <c r="F2615" s="1">
        <f t="shared" si="88"/>
        <v>1019.9999999999999</v>
      </c>
      <c r="G2615" s="12">
        <f t="shared" si="89"/>
        <v>61.764705882352942</v>
      </c>
    </row>
    <row r="2616" spans="1:7" ht="13">
      <c r="A2616" s="4" t="s">
        <v>120</v>
      </c>
      <c r="B2616" s="1">
        <v>6.75</v>
      </c>
      <c r="C2616" s="1">
        <v>421</v>
      </c>
      <c r="D2616" s="1" t="s">
        <v>33</v>
      </c>
      <c r="E2616" s="1" t="s">
        <v>15</v>
      </c>
      <c r="F2616" s="1">
        <f t="shared" si="88"/>
        <v>675</v>
      </c>
      <c r="G2616" s="12">
        <f t="shared" si="89"/>
        <v>62.370370370370374</v>
      </c>
    </row>
    <row r="2617" spans="1:7" ht="13">
      <c r="A2617" s="4" t="s">
        <v>120</v>
      </c>
      <c r="B2617" s="1">
        <v>3.91</v>
      </c>
      <c r="C2617" s="1">
        <v>203</v>
      </c>
      <c r="D2617" s="1" t="s">
        <v>40</v>
      </c>
      <c r="E2617" s="1" t="s">
        <v>30</v>
      </c>
      <c r="F2617" s="1">
        <f t="shared" si="88"/>
        <v>391</v>
      </c>
      <c r="G2617" s="12">
        <f t="shared" si="89"/>
        <v>51.918158567774931</v>
      </c>
    </row>
    <row r="2618" spans="1:7" ht="13">
      <c r="A2618" s="4" t="s">
        <v>120</v>
      </c>
      <c r="B2618" s="1">
        <v>9.4600000000000009</v>
      </c>
      <c r="C2618" s="1">
        <v>740</v>
      </c>
      <c r="D2618" s="1" t="s">
        <v>52</v>
      </c>
      <c r="E2618" s="1" t="s">
        <v>18</v>
      </c>
      <c r="F2618" s="1">
        <f t="shared" si="88"/>
        <v>946.00000000000011</v>
      </c>
      <c r="G2618" s="12">
        <f t="shared" si="89"/>
        <v>78.224101479915433</v>
      </c>
    </row>
    <row r="2619" spans="1:7" ht="13">
      <c r="A2619" s="4" t="s">
        <v>120</v>
      </c>
      <c r="B2619" s="1">
        <v>6.02</v>
      </c>
      <c r="C2619" s="1">
        <v>523</v>
      </c>
      <c r="D2619" s="1" t="s">
        <v>38</v>
      </c>
      <c r="E2619" s="1" t="s">
        <v>8</v>
      </c>
      <c r="F2619" s="1">
        <f t="shared" si="88"/>
        <v>602</v>
      </c>
      <c r="G2619" s="12">
        <f t="shared" si="89"/>
        <v>86.877076411960132</v>
      </c>
    </row>
    <row r="2620" spans="1:7" ht="13">
      <c r="A2620" s="4" t="s">
        <v>120</v>
      </c>
      <c r="B2620" s="1">
        <v>7.2</v>
      </c>
      <c r="C2620" s="1">
        <v>445</v>
      </c>
      <c r="D2620" s="1" t="s">
        <v>43</v>
      </c>
      <c r="E2620" s="1" t="s">
        <v>25</v>
      </c>
      <c r="F2620" s="1">
        <f t="shared" si="88"/>
        <v>720</v>
      </c>
      <c r="G2620" s="12">
        <f t="shared" si="89"/>
        <v>61.805555555555557</v>
      </c>
    </row>
    <row r="2621" spans="1:7" ht="13">
      <c r="A2621" s="4" t="s">
        <v>120</v>
      </c>
      <c r="B2621" s="1">
        <v>6.09</v>
      </c>
      <c r="C2621" s="1">
        <v>451</v>
      </c>
      <c r="D2621" s="1" t="s">
        <v>42</v>
      </c>
      <c r="E2621" s="1" t="s">
        <v>8</v>
      </c>
      <c r="F2621" s="1">
        <f t="shared" si="88"/>
        <v>609</v>
      </c>
      <c r="G2621" s="12">
        <f t="shared" si="89"/>
        <v>74.055829228243027</v>
      </c>
    </row>
    <row r="2622" spans="1:7" ht="13">
      <c r="A2622" s="4" t="s">
        <v>120</v>
      </c>
      <c r="B2622" s="1">
        <v>4.0999999999999996</v>
      </c>
      <c r="C2622" s="1">
        <v>405</v>
      </c>
      <c r="D2622" s="1" t="s">
        <v>11</v>
      </c>
      <c r="E2622" s="1" t="s">
        <v>12</v>
      </c>
      <c r="F2622" s="1">
        <f t="shared" si="88"/>
        <v>409.99999999999994</v>
      </c>
      <c r="G2622" s="12">
        <f t="shared" si="89"/>
        <v>98.780487804878064</v>
      </c>
    </row>
    <row r="2623" spans="1:7" ht="13">
      <c r="A2623" s="4" t="s">
        <v>120</v>
      </c>
      <c r="B2623" s="1">
        <v>7.74</v>
      </c>
      <c r="C2623" s="1">
        <v>472</v>
      </c>
      <c r="D2623" s="1" t="s">
        <v>43</v>
      </c>
      <c r="E2623" s="1" t="s">
        <v>16</v>
      </c>
      <c r="F2623" s="1">
        <f t="shared" si="88"/>
        <v>774</v>
      </c>
      <c r="G2623" s="12">
        <f t="shared" si="89"/>
        <v>60.981912144702839</v>
      </c>
    </row>
    <row r="2624" spans="1:7" ht="13">
      <c r="A2624" s="4" t="s">
        <v>120</v>
      </c>
      <c r="B2624" s="1">
        <v>6.88</v>
      </c>
      <c r="C2624" s="1">
        <v>623</v>
      </c>
      <c r="D2624" s="1" t="s">
        <v>11</v>
      </c>
      <c r="E2624" s="1" t="s">
        <v>8</v>
      </c>
      <c r="F2624" s="1">
        <f t="shared" si="88"/>
        <v>688</v>
      </c>
      <c r="G2624" s="12">
        <f t="shared" si="89"/>
        <v>90.552325581395351</v>
      </c>
    </row>
    <row r="2625" spans="1:7" ht="13">
      <c r="A2625" s="4" t="s">
        <v>120</v>
      </c>
      <c r="B2625" s="1">
        <v>6.96</v>
      </c>
      <c r="C2625" s="1">
        <v>533</v>
      </c>
      <c r="D2625" s="1" t="s">
        <v>11</v>
      </c>
      <c r="E2625" s="1" t="s">
        <v>31</v>
      </c>
      <c r="F2625" s="1">
        <f t="shared" si="88"/>
        <v>696</v>
      </c>
      <c r="G2625" s="12">
        <f t="shared" si="89"/>
        <v>76.580459770114942</v>
      </c>
    </row>
    <row r="2626" spans="1:7" ht="13">
      <c r="A2626" s="4" t="s">
        <v>120</v>
      </c>
      <c r="B2626" s="1">
        <v>7</v>
      </c>
      <c r="C2626" s="1">
        <v>546</v>
      </c>
      <c r="D2626" s="1" t="s">
        <v>11</v>
      </c>
      <c r="E2626" s="1" t="s">
        <v>7</v>
      </c>
      <c r="F2626" s="1">
        <f t="shared" si="88"/>
        <v>700</v>
      </c>
      <c r="G2626" s="12">
        <f t="shared" si="89"/>
        <v>78</v>
      </c>
    </row>
    <row r="2627" spans="1:7" ht="13">
      <c r="A2627" s="4" t="s">
        <v>120</v>
      </c>
      <c r="B2627" s="1">
        <v>6</v>
      </c>
      <c r="C2627" s="1">
        <v>509</v>
      </c>
      <c r="D2627" s="1" t="s">
        <v>11</v>
      </c>
      <c r="E2627" s="1" t="s">
        <v>10</v>
      </c>
      <c r="F2627" s="1">
        <f t="shared" ref="F2627:F2690" si="90">B2627*100</f>
        <v>600</v>
      </c>
      <c r="G2627" s="12">
        <f t="shared" ref="G2627:G2690" si="91">C2627/B2627</f>
        <v>84.833333333333329</v>
      </c>
    </row>
    <row r="2628" spans="1:7" ht="13">
      <c r="A2628" s="4" t="s">
        <v>120</v>
      </c>
      <c r="B2628" s="1">
        <v>6</v>
      </c>
      <c r="C2628" s="1">
        <v>551</v>
      </c>
      <c r="D2628" s="1" t="s">
        <v>11</v>
      </c>
      <c r="E2628" s="1" t="s">
        <v>19</v>
      </c>
      <c r="F2628" s="1">
        <f t="shared" si="90"/>
        <v>600</v>
      </c>
      <c r="G2628" s="12">
        <f t="shared" si="91"/>
        <v>91.833333333333329</v>
      </c>
    </row>
    <row r="2629" spans="1:7" ht="13">
      <c r="A2629" s="4" t="s">
        <v>120</v>
      </c>
      <c r="B2629" s="1">
        <v>5.2</v>
      </c>
      <c r="C2629" s="1">
        <v>342</v>
      </c>
      <c r="D2629" s="1" t="s">
        <v>11</v>
      </c>
      <c r="E2629" s="1" t="s">
        <v>27</v>
      </c>
      <c r="F2629" s="1">
        <f t="shared" si="90"/>
        <v>520</v>
      </c>
      <c r="G2629" s="12">
        <f t="shared" si="91"/>
        <v>65.769230769230774</v>
      </c>
    </row>
    <row r="2630" spans="1:7" ht="13">
      <c r="A2630" s="4" t="s">
        <v>120</v>
      </c>
      <c r="B2630" s="1">
        <v>8.6999999999999993</v>
      </c>
      <c r="C2630" s="1">
        <v>718</v>
      </c>
      <c r="D2630" s="1" t="s">
        <v>35</v>
      </c>
      <c r="E2630" s="1" t="s">
        <v>27</v>
      </c>
      <c r="F2630" s="1">
        <f t="shared" si="90"/>
        <v>869.99999999999989</v>
      </c>
      <c r="G2630" s="12">
        <f t="shared" si="91"/>
        <v>82.52873563218391</v>
      </c>
    </row>
    <row r="2631" spans="1:7" ht="13">
      <c r="A2631" s="4" t="s">
        <v>120</v>
      </c>
      <c r="B2631" s="1">
        <v>5.65</v>
      </c>
      <c r="C2631" s="1">
        <v>314</v>
      </c>
      <c r="D2631" s="1" t="s">
        <v>33</v>
      </c>
      <c r="E2631" s="1" t="s">
        <v>15</v>
      </c>
      <c r="F2631" s="1">
        <f t="shared" si="90"/>
        <v>565</v>
      </c>
      <c r="G2631" s="12">
        <f t="shared" si="91"/>
        <v>55.575221238938049</v>
      </c>
    </row>
    <row r="2632" spans="1:7" ht="13">
      <c r="A2632" s="4" t="s">
        <v>120</v>
      </c>
      <c r="B2632" s="1">
        <v>9.1999999999999993</v>
      </c>
      <c r="C2632" s="1">
        <v>536</v>
      </c>
      <c r="D2632" s="1" t="s">
        <v>33</v>
      </c>
      <c r="E2632" s="1" t="s">
        <v>20</v>
      </c>
      <c r="F2632" s="1">
        <f t="shared" si="90"/>
        <v>919.99999999999989</v>
      </c>
      <c r="G2632" s="12">
        <f t="shared" si="91"/>
        <v>58.260869565217398</v>
      </c>
    </row>
    <row r="2633" spans="1:7" ht="13">
      <c r="A2633" s="4" t="s">
        <v>120</v>
      </c>
      <c r="B2633" s="1">
        <v>6.49</v>
      </c>
      <c r="C2633" s="1">
        <v>442</v>
      </c>
      <c r="D2633" s="1" t="s">
        <v>54</v>
      </c>
      <c r="E2633" s="1" t="s">
        <v>25</v>
      </c>
      <c r="F2633" s="1">
        <f t="shared" si="90"/>
        <v>649</v>
      </c>
      <c r="G2633" s="12">
        <f t="shared" si="91"/>
        <v>68.104776579352844</v>
      </c>
    </row>
    <row r="2634" spans="1:7" ht="13">
      <c r="A2634" s="4" t="s">
        <v>120</v>
      </c>
      <c r="B2634" s="1">
        <v>8.6</v>
      </c>
      <c r="C2634" s="1">
        <v>731</v>
      </c>
      <c r="D2634" s="1" t="s">
        <v>11</v>
      </c>
      <c r="E2634" s="1" t="s">
        <v>19</v>
      </c>
      <c r="F2634" s="1">
        <f t="shared" si="90"/>
        <v>860</v>
      </c>
      <c r="G2634" s="12">
        <f t="shared" si="91"/>
        <v>85</v>
      </c>
    </row>
    <row r="2635" spans="1:7" ht="13">
      <c r="A2635" s="4" t="s">
        <v>120</v>
      </c>
      <c r="B2635" s="1">
        <v>6.8</v>
      </c>
      <c r="C2635" s="1">
        <v>339.5</v>
      </c>
      <c r="D2635" s="1" t="s">
        <v>33</v>
      </c>
      <c r="E2635" s="1" t="s">
        <v>19</v>
      </c>
      <c r="F2635" s="1">
        <f t="shared" si="90"/>
        <v>680</v>
      </c>
      <c r="G2635" s="12">
        <f t="shared" si="91"/>
        <v>49.926470588235297</v>
      </c>
    </row>
    <row r="2636" spans="1:7" ht="13">
      <c r="A2636" s="4" t="s">
        <v>120</v>
      </c>
      <c r="B2636" s="1">
        <v>5.4</v>
      </c>
      <c r="C2636" s="1">
        <v>528</v>
      </c>
      <c r="D2636" s="1" t="s">
        <v>39</v>
      </c>
      <c r="E2636" s="1" t="s">
        <v>8</v>
      </c>
      <c r="F2636" s="1">
        <f t="shared" si="90"/>
        <v>540</v>
      </c>
      <c r="G2636" s="12">
        <f t="shared" si="91"/>
        <v>97.777777777777771</v>
      </c>
    </row>
    <row r="2637" spans="1:7" ht="13">
      <c r="A2637" s="4" t="s">
        <v>120</v>
      </c>
      <c r="B2637" s="1">
        <v>6.1</v>
      </c>
      <c r="C2637" s="1">
        <v>506</v>
      </c>
      <c r="D2637" s="1" t="s">
        <v>11</v>
      </c>
      <c r="E2637" s="1" t="s">
        <v>17</v>
      </c>
      <c r="F2637" s="1">
        <f t="shared" si="90"/>
        <v>610</v>
      </c>
      <c r="G2637" s="12">
        <f t="shared" si="91"/>
        <v>82.950819672131146</v>
      </c>
    </row>
    <row r="2638" spans="1:7" ht="13">
      <c r="A2638" s="4" t="s">
        <v>120</v>
      </c>
      <c r="B2638" s="1">
        <v>8.8000000000000007</v>
      </c>
      <c r="C2638" s="1">
        <v>580</v>
      </c>
      <c r="D2638" s="1" t="s">
        <v>47</v>
      </c>
      <c r="E2638" s="1" t="s">
        <v>30</v>
      </c>
      <c r="F2638" s="1">
        <f t="shared" si="90"/>
        <v>880.00000000000011</v>
      </c>
      <c r="G2638" s="12">
        <f t="shared" si="91"/>
        <v>65.909090909090907</v>
      </c>
    </row>
    <row r="2639" spans="1:7" ht="13">
      <c r="A2639" s="4" t="s">
        <v>120</v>
      </c>
      <c r="B2639" s="1">
        <v>7.7</v>
      </c>
      <c r="C2639" s="1">
        <v>575</v>
      </c>
      <c r="D2639" s="1" t="s">
        <v>39</v>
      </c>
      <c r="E2639" s="1" t="s">
        <v>16</v>
      </c>
      <c r="F2639" s="1">
        <f t="shared" si="90"/>
        <v>770</v>
      </c>
      <c r="G2639" s="12">
        <f t="shared" si="91"/>
        <v>74.675324675324674</v>
      </c>
    </row>
    <row r="2640" spans="1:7" ht="13">
      <c r="A2640" s="4" t="s">
        <v>120</v>
      </c>
      <c r="B2640" s="1">
        <v>6.64</v>
      </c>
      <c r="C2640" s="1">
        <v>534</v>
      </c>
      <c r="D2640" s="1" t="s">
        <v>11</v>
      </c>
      <c r="E2640" s="1" t="s">
        <v>25</v>
      </c>
      <c r="F2640" s="1">
        <f t="shared" si="90"/>
        <v>664</v>
      </c>
      <c r="G2640" s="12">
        <f t="shared" si="91"/>
        <v>80.421686746987959</v>
      </c>
    </row>
    <row r="2641" spans="1:7" ht="13">
      <c r="A2641" s="4" t="s">
        <v>120</v>
      </c>
      <c r="B2641" s="1">
        <v>4.3499999999999996</v>
      </c>
      <c r="C2641" s="1">
        <v>361</v>
      </c>
      <c r="D2641" s="1" t="s">
        <v>11</v>
      </c>
      <c r="E2641" s="1" t="s">
        <v>8</v>
      </c>
      <c r="F2641" s="1">
        <f t="shared" si="90"/>
        <v>434.99999999999994</v>
      </c>
      <c r="G2641" s="12">
        <f t="shared" si="91"/>
        <v>82.988505747126439</v>
      </c>
    </row>
    <row r="2642" spans="1:7" ht="13">
      <c r="A2642" s="4" t="s">
        <v>120</v>
      </c>
      <c r="B2642" s="1">
        <v>6</v>
      </c>
      <c r="C2642" s="1">
        <v>410</v>
      </c>
      <c r="D2642" s="1" t="s">
        <v>33</v>
      </c>
      <c r="E2642" s="1" t="s">
        <v>15</v>
      </c>
      <c r="F2642" s="1">
        <f t="shared" si="90"/>
        <v>600</v>
      </c>
      <c r="G2642" s="12">
        <f t="shared" si="91"/>
        <v>68.333333333333329</v>
      </c>
    </row>
    <row r="2643" spans="1:7" ht="13">
      <c r="A2643" s="4" t="s">
        <v>120</v>
      </c>
      <c r="B2643" s="1">
        <v>7.4</v>
      </c>
      <c r="C2643" s="1">
        <v>555</v>
      </c>
      <c r="D2643" s="1" t="s">
        <v>11</v>
      </c>
      <c r="E2643" s="1" t="s">
        <v>10</v>
      </c>
      <c r="F2643" s="1">
        <f t="shared" si="90"/>
        <v>740</v>
      </c>
      <c r="G2643" s="12">
        <f t="shared" si="91"/>
        <v>75</v>
      </c>
    </row>
    <row r="2644" spans="1:7" ht="13">
      <c r="A2644" s="4" t="s">
        <v>120</v>
      </c>
      <c r="B2644" s="1">
        <v>5.2</v>
      </c>
      <c r="C2644" s="1">
        <v>564</v>
      </c>
      <c r="D2644" s="1" t="s">
        <v>11</v>
      </c>
      <c r="E2644" s="1" t="s">
        <v>19</v>
      </c>
      <c r="F2644" s="1">
        <f t="shared" si="90"/>
        <v>520</v>
      </c>
      <c r="G2644" s="12">
        <f t="shared" si="91"/>
        <v>108.46153846153845</v>
      </c>
    </row>
    <row r="2645" spans="1:7" ht="13">
      <c r="A2645" s="4" t="s">
        <v>120</v>
      </c>
      <c r="B2645" s="1">
        <v>6.1</v>
      </c>
      <c r="C2645" s="1">
        <v>545</v>
      </c>
      <c r="D2645" s="1" t="s">
        <v>38</v>
      </c>
      <c r="E2645" s="1" t="s">
        <v>8</v>
      </c>
      <c r="F2645" s="1">
        <f t="shared" si="90"/>
        <v>610</v>
      </c>
      <c r="G2645" s="12">
        <f t="shared" si="91"/>
        <v>89.344262295081975</v>
      </c>
    </row>
    <row r="2646" spans="1:7" ht="13">
      <c r="A2646" s="4" t="s">
        <v>120</v>
      </c>
      <c r="B2646" s="1">
        <v>5.12</v>
      </c>
      <c r="C2646" s="1">
        <v>440</v>
      </c>
      <c r="D2646" s="1" t="s">
        <v>11</v>
      </c>
      <c r="E2646" s="1" t="s">
        <v>16</v>
      </c>
      <c r="F2646" s="1">
        <f t="shared" si="90"/>
        <v>512</v>
      </c>
      <c r="G2646" s="12">
        <f t="shared" si="91"/>
        <v>85.9375</v>
      </c>
    </row>
    <row r="2647" spans="1:7" ht="13">
      <c r="A2647" s="4" t="s">
        <v>120</v>
      </c>
      <c r="B2647" s="1">
        <v>9.24</v>
      </c>
      <c r="C2647" s="1">
        <v>704</v>
      </c>
      <c r="D2647" s="1" t="s">
        <v>42</v>
      </c>
      <c r="E2647" s="1" t="s">
        <v>12</v>
      </c>
      <c r="F2647" s="1">
        <f t="shared" si="90"/>
        <v>924</v>
      </c>
      <c r="G2647" s="12">
        <f t="shared" si="91"/>
        <v>76.19047619047619</v>
      </c>
    </row>
    <row r="2648" spans="1:7" ht="13">
      <c r="A2648" s="4" t="s">
        <v>120</v>
      </c>
      <c r="B2648" s="1">
        <v>4.5</v>
      </c>
      <c r="C2648" s="1">
        <v>373</v>
      </c>
      <c r="D2648" s="1" t="s">
        <v>11</v>
      </c>
      <c r="E2648" s="1" t="s">
        <v>15</v>
      </c>
      <c r="F2648" s="1">
        <f t="shared" si="90"/>
        <v>450</v>
      </c>
      <c r="G2648" s="12">
        <f t="shared" si="91"/>
        <v>82.888888888888886</v>
      </c>
    </row>
    <row r="2649" spans="1:7" ht="13">
      <c r="A2649" s="4" t="s">
        <v>120</v>
      </c>
      <c r="B2649" s="1">
        <v>5.6</v>
      </c>
      <c r="C2649" s="1">
        <v>286</v>
      </c>
      <c r="D2649" s="1" t="s">
        <v>102</v>
      </c>
      <c r="E2649" s="1" t="s">
        <v>26</v>
      </c>
      <c r="F2649" s="1">
        <f t="shared" si="90"/>
        <v>560</v>
      </c>
      <c r="G2649" s="12">
        <f t="shared" si="91"/>
        <v>51.071428571428577</v>
      </c>
    </row>
    <row r="2650" spans="1:7" ht="13">
      <c r="A2650" s="4" t="s">
        <v>120</v>
      </c>
      <c r="B2650" s="1">
        <v>6.1</v>
      </c>
      <c r="C2650" s="1">
        <v>496.6</v>
      </c>
      <c r="D2650" s="1" t="s">
        <v>11</v>
      </c>
      <c r="E2650" s="1" t="s">
        <v>15</v>
      </c>
      <c r="F2650" s="1">
        <f t="shared" si="90"/>
        <v>610</v>
      </c>
      <c r="G2650" s="12">
        <f t="shared" si="91"/>
        <v>81.409836065573785</v>
      </c>
    </row>
    <row r="2651" spans="1:7" ht="13">
      <c r="A2651" s="4" t="s">
        <v>120</v>
      </c>
      <c r="B2651" s="1">
        <v>4</v>
      </c>
      <c r="C2651" s="1">
        <v>360.3</v>
      </c>
      <c r="D2651" s="1" t="s">
        <v>11</v>
      </c>
      <c r="E2651" s="1" t="s">
        <v>15</v>
      </c>
      <c r="F2651" s="1">
        <f t="shared" si="90"/>
        <v>400</v>
      </c>
      <c r="G2651" s="12">
        <f t="shared" si="91"/>
        <v>90.075000000000003</v>
      </c>
    </row>
    <row r="2652" spans="1:7" ht="13">
      <c r="A2652" s="4" t="s">
        <v>120</v>
      </c>
      <c r="B2652" s="1">
        <v>7.7</v>
      </c>
      <c r="C2652" s="1">
        <v>438</v>
      </c>
      <c r="D2652" s="1" t="s">
        <v>33</v>
      </c>
      <c r="E2652" s="1" t="s">
        <v>16</v>
      </c>
      <c r="F2652" s="1">
        <f t="shared" si="90"/>
        <v>770</v>
      </c>
      <c r="G2652" s="12">
        <f t="shared" si="91"/>
        <v>56.883116883116884</v>
      </c>
    </row>
    <row r="2653" spans="1:7" ht="13">
      <c r="A2653" s="4" t="s">
        <v>120</v>
      </c>
      <c r="B2653" s="1">
        <v>6.1</v>
      </c>
      <c r="C2653" s="1">
        <v>420</v>
      </c>
      <c r="D2653" s="1" t="s">
        <v>63</v>
      </c>
      <c r="E2653" s="1" t="s">
        <v>23</v>
      </c>
      <c r="F2653" s="1">
        <f t="shared" si="90"/>
        <v>610</v>
      </c>
      <c r="G2653" s="12">
        <f t="shared" si="91"/>
        <v>68.852459016393453</v>
      </c>
    </row>
    <row r="2654" spans="1:7" ht="13">
      <c r="A2654" s="4" t="s">
        <v>120</v>
      </c>
      <c r="B2654" s="1">
        <v>6.24</v>
      </c>
      <c r="C2654" s="1">
        <v>689</v>
      </c>
      <c r="D2654" s="1" t="s">
        <v>11</v>
      </c>
      <c r="E2654" s="1" t="s">
        <v>17</v>
      </c>
      <c r="F2654" s="1">
        <f t="shared" si="90"/>
        <v>624</v>
      </c>
      <c r="G2654" s="12">
        <f t="shared" si="91"/>
        <v>110.41666666666666</v>
      </c>
    </row>
    <row r="2655" spans="1:7" ht="13">
      <c r="A2655" s="4" t="s">
        <v>120</v>
      </c>
      <c r="B2655" s="1">
        <v>7.2</v>
      </c>
      <c r="C2655" s="1">
        <v>622</v>
      </c>
      <c r="D2655" s="1" t="s">
        <v>47</v>
      </c>
      <c r="E2655" s="1" t="s">
        <v>17</v>
      </c>
      <c r="F2655" s="1">
        <f t="shared" si="90"/>
        <v>720</v>
      </c>
      <c r="G2655" s="12">
        <f t="shared" si="91"/>
        <v>86.388888888888886</v>
      </c>
    </row>
    <row r="2656" spans="1:7" ht="13">
      <c r="A2656" s="4" t="s">
        <v>120</v>
      </c>
      <c r="B2656" s="1">
        <v>7.7</v>
      </c>
      <c r="C2656" s="1">
        <v>493</v>
      </c>
      <c r="D2656" s="1" t="s">
        <v>33</v>
      </c>
      <c r="E2656" s="1" t="s">
        <v>8</v>
      </c>
      <c r="F2656" s="1">
        <f t="shared" si="90"/>
        <v>770</v>
      </c>
      <c r="G2656" s="12">
        <f t="shared" si="91"/>
        <v>64.025974025974023</v>
      </c>
    </row>
    <row r="2657" spans="1:7" ht="13">
      <c r="A2657" s="4" t="s">
        <v>120</v>
      </c>
      <c r="B2657" s="1">
        <v>7.74</v>
      </c>
      <c r="C2657" s="1">
        <v>589</v>
      </c>
      <c r="D2657" s="1" t="s">
        <v>42</v>
      </c>
      <c r="E2657" s="1" t="s">
        <v>49</v>
      </c>
      <c r="F2657" s="1">
        <f t="shared" si="90"/>
        <v>774</v>
      </c>
      <c r="G2657" s="12">
        <f t="shared" si="91"/>
        <v>76.098191214470276</v>
      </c>
    </row>
    <row r="2658" spans="1:7" ht="13">
      <c r="A2658" s="4" t="s">
        <v>120</v>
      </c>
      <c r="B2658" s="1">
        <v>6.1</v>
      </c>
      <c r="C2658" s="1">
        <v>476</v>
      </c>
      <c r="D2658" s="1" t="s">
        <v>11</v>
      </c>
      <c r="E2658" s="1" t="s">
        <v>20</v>
      </c>
      <c r="F2658" s="1">
        <f t="shared" si="90"/>
        <v>610</v>
      </c>
      <c r="G2658" s="12">
        <f t="shared" si="91"/>
        <v>78.032786885245912</v>
      </c>
    </row>
    <row r="2659" spans="1:7" ht="13">
      <c r="A2659" s="4" t="s">
        <v>120</v>
      </c>
      <c r="B2659" s="1">
        <v>4.9800000000000004</v>
      </c>
      <c r="C2659" s="1">
        <v>349</v>
      </c>
      <c r="D2659" s="1" t="s">
        <v>11</v>
      </c>
      <c r="E2659" s="1" t="s">
        <v>25</v>
      </c>
      <c r="F2659" s="1">
        <f t="shared" si="90"/>
        <v>498.00000000000006</v>
      </c>
      <c r="G2659" s="12">
        <f t="shared" si="91"/>
        <v>70.080321285140556</v>
      </c>
    </row>
    <row r="2660" spans="1:7" ht="13">
      <c r="A2660" s="4" t="s">
        <v>120</v>
      </c>
      <c r="B2660" s="1">
        <v>7.56</v>
      </c>
      <c r="C2660" s="1">
        <v>469</v>
      </c>
      <c r="D2660" s="1" t="s">
        <v>53</v>
      </c>
      <c r="E2660" s="1" t="s">
        <v>31</v>
      </c>
      <c r="F2660" s="1">
        <f t="shared" si="90"/>
        <v>756</v>
      </c>
      <c r="G2660" s="12">
        <f t="shared" si="91"/>
        <v>62.037037037037038</v>
      </c>
    </row>
    <row r="2661" spans="1:7" ht="13">
      <c r="A2661" s="4" t="s">
        <v>120</v>
      </c>
      <c r="B2661" s="1">
        <v>6.88</v>
      </c>
      <c r="C2661" s="1">
        <v>603</v>
      </c>
      <c r="D2661" s="1" t="s">
        <v>11</v>
      </c>
      <c r="E2661" s="1" t="s">
        <v>15</v>
      </c>
      <c r="F2661" s="1">
        <f t="shared" si="90"/>
        <v>688</v>
      </c>
      <c r="G2661" s="12">
        <f t="shared" si="91"/>
        <v>87.645348837209298</v>
      </c>
    </row>
    <row r="2662" spans="1:7" ht="13">
      <c r="A2662" s="4" t="s">
        <v>120</v>
      </c>
      <c r="B2662" s="1">
        <v>4.4000000000000004</v>
      </c>
      <c r="C2662" s="1">
        <v>279</v>
      </c>
      <c r="D2662" s="1" t="s">
        <v>33</v>
      </c>
      <c r="E2662" s="1" t="s">
        <v>8</v>
      </c>
      <c r="F2662" s="1">
        <f t="shared" si="90"/>
        <v>440.00000000000006</v>
      </c>
      <c r="G2662" s="12">
        <f t="shared" si="91"/>
        <v>63.409090909090907</v>
      </c>
    </row>
    <row r="2663" spans="1:7" ht="13">
      <c r="A2663" s="4" t="s">
        <v>120</v>
      </c>
      <c r="B2663" s="1">
        <v>7.8</v>
      </c>
      <c r="C2663" s="1">
        <v>625</v>
      </c>
      <c r="D2663" s="1" t="s">
        <v>11</v>
      </c>
      <c r="E2663" s="1" t="s">
        <v>8</v>
      </c>
      <c r="F2663" s="1">
        <f t="shared" si="90"/>
        <v>780</v>
      </c>
      <c r="G2663" s="12">
        <f t="shared" si="91"/>
        <v>80.128205128205124</v>
      </c>
    </row>
    <row r="2664" spans="1:7" ht="13">
      <c r="A2664" s="4" t="s">
        <v>120</v>
      </c>
      <c r="B2664" s="1">
        <v>6.4</v>
      </c>
      <c r="C2664" s="1">
        <v>628</v>
      </c>
      <c r="D2664" s="1" t="s">
        <v>11</v>
      </c>
      <c r="E2664" s="1" t="s">
        <v>32</v>
      </c>
      <c r="F2664" s="1">
        <f t="shared" si="90"/>
        <v>640</v>
      </c>
      <c r="G2664" s="12">
        <f t="shared" si="91"/>
        <v>98.125</v>
      </c>
    </row>
    <row r="2665" spans="1:7" ht="13">
      <c r="A2665" s="4" t="s">
        <v>120</v>
      </c>
      <c r="B2665" s="1">
        <v>8.9</v>
      </c>
      <c r="C2665" s="1">
        <v>667.2</v>
      </c>
      <c r="D2665" s="1" t="s">
        <v>47</v>
      </c>
      <c r="E2665" s="1" t="s">
        <v>17</v>
      </c>
      <c r="F2665" s="1">
        <f t="shared" si="90"/>
        <v>890</v>
      </c>
      <c r="G2665" s="12">
        <f t="shared" si="91"/>
        <v>74.966292134831463</v>
      </c>
    </row>
    <row r="2666" spans="1:7" ht="13">
      <c r="A2666" s="4" t="s">
        <v>120</v>
      </c>
      <c r="B2666" s="1">
        <v>6</v>
      </c>
      <c r="C2666" s="1">
        <v>502</v>
      </c>
      <c r="D2666" s="1" t="s">
        <v>38</v>
      </c>
      <c r="E2666" s="1" t="s">
        <v>15</v>
      </c>
      <c r="F2666" s="1">
        <f t="shared" si="90"/>
        <v>600</v>
      </c>
      <c r="G2666" s="12">
        <f t="shared" si="91"/>
        <v>83.666666666666671</v>
      </c>
    </row>
    <row r="2667" spans="1:7" ht="13">
      <c r="A2667" s="4" t="s">
        <v>120</v>
      </c>
      <c r="B2667" s="1">
        <v>6.02</v>
      </c>
      <c r="C2667" s="1">
        <v>444.24</v>
      </c>
      <c r="D2667" s="1" t="s">
        <v>11</v>
      </c>
      <c r="E2667" s="1" t="s">
        <v>22</v>
      </c>
      <c r="F2667" s="1">
        <f t="shared" si="90"/>
        <v>602</v>
      </c>
      <c r="G2667" s="12">
        <f t="shared" si="91"/>
        <v>73.794019933554821</v>
      </c>
    </row>
    <row r="2668" spans="1:7" ht="13">
      <c r="A2668" s="4" t="s">
        <v>120</v>
      </c>
      <c r="B2668" s="1">
        <v>8.6999999999999993</v>
      </c>
      <c r="C2668" s="1">
        <v>585</v>
      </c>
      <c r="D2668" s="1" t="s">
        <v>45</v>
      </c>
      <c r="E2668" s="1" t="s">
        <v>20</v>
      </c>
      <c r="F2668" s="1">
        <f t="shared" si="90"/>
        <v>869.99999999999989</v>
      </c>
      <c r="G2668" s="12">
        <f t="shared" si="91"/>
        <v>67.24137931034484</v>
      </c>
    </row>
    <row r="2669" spans="1:7" ht="13">
      <c r="A2669" s="4" t="s">
        <v>120</v>
      </c>
      <c r="B2669" s="1">
        <v>6.09</v>
      </c>
      <c r="C2669" s="1">
        <v>465</v>
      </c>
      <c r="D2669" s="1" t="s">
        <v>44</v>
      </c>
      <c r="E2669" s="1" t="s">
        <v>20</v>
      </c>
      <c r="F2669" s="1">
        <f t="shared" si="90"/>
        <v>609</v>
      </c>
      <c r="G2669" s="12">
        <f t="shared" si="91"/>
        <v>76.354679802955673</v>
      </c>
    </row>
    <row r="2670" spans="1:7" ht="13">
      <c r="A2670" s="4" t="s">
        <v>120</v>
      </c>
      <c r="B2670" s="1">
        <v>6.5</v>
      </c>
      <c r="C2670" s="1">
        <v>420</v>
      </c>
      <c r="D2670" s="1" t="s">
        <v>45</v>
      </c>
      <c r="E2670" s="1" t="s">
        <v>20</v>
      </c>
      <c r="F2670" s="1">
        <f t="shared" si="90"/>
        <v>650</v>
      </c>
      <c r="G2670" s="12">
        <f t="shared" si="91"/>
        <v>64.615384615384613</v>
      </c>
    </row>
    <row r="2671" spans="1:7" ht="13">
      <c r="A2671" s="4" t="s">
        <v>120</v>
      </c>
      <c r="B2671" s="1">
        <v>20</v>
      </c>
      <c r="C2671" s="1">
        <v>1080</v>
      </c>
      <c r="D2671" s="1" t="s">
        <v>33</v>
      </c>
      <c r="E2671" s="1" t="s">
        <v>20</v>
      </c>
      <c r="F2671" s="1">
        <f t="shared" si="90"/>
        <v>2000</v>
      </c>
      <c r="G2671" s="12">
        <f t="shared" si="91"/>
        <v>54</v>
      </c>
    </row>
    <row r="2672" spans="1:7" ht="13">
      <c r="A2672" s="4" t="s">
        <v>120</v>
      </c>
      <c r="B2672" s="1">
        <v>8.5</v>
      </c>
      <c r="C2672" s="1">
        <v>569</v>
      </c>
      <c r="D2672" s="1" t="s">
        <v>33</v>
      </c>
      <c r="E2672" s="1" t="s">
        <v>46</v>
      </c>
      <c r="F2672" s="1">
        <f t="shared" si="90"/>
        <v>850</v>
      </c>
      <c r="G2672" s="12">
        <f t="shared" si="91"/>
        <v>66.941176470588232</v>
      </c>
    </row>
    <row r="2673" spans="1:7" ht="13">
      <c r="A2673" s="4" t="s">
        <v>120</v>
      </c>
      <c r="B2673" s="1">
        <v>7.74</v>
      </c>
      <c r="C2673" s="1">
        <v>705.5</v>
      </c>
      <c r="D2673" s="1" t="s">
        <v>11</v>
      </c>
      <c r="E2673" s="1" t="s">
        <v>17</v>
      </c>
      <c r="F2673" s="1">
        <f t="shared" si="90"/>
        <v>774</v>
      </c>
      <c r="G2673" s="12">
        <f t="shared" si="91"/>
        <v>91.149870801033586</v>
      </c>
    </row>
    <row r="2674" spans="1:7" ht="13">
      <c r="A2674" s="4" t="s">
        <v>120</v>
      </c>
      <c r="B2674" s="1">
        <v>4.3499999999999996</v>
      </c>
      <c r="C2674" s="1">
        <v>424</v>
      </c>
      <c r="D2674" s="1" t="s">
        <v>38</v>
      </c>
      <c r="E2674" s="1" t="s">
        <v>9</v>
      </c>
      <c r="F2674" s="1">
        <f t="shared" si="90"/>
        <v>434.99999999999994</v>
      </c>
      <c r="G2674" s="12">
        <f t="shared" si="91"/>
        <v>97.471264367816104</v>
      </c>
    </row>
    <row r="2675" spans="1:7" ht="13">
      <c r="A2675" s="4" t="s">
        <v>120</v>
      </c>
      <c r="B2675" s="1">
        <v>6</v>
      </c>
      <c r="C2675" s="1">
        <v>398</v>
      </c>
      <c r="D2675" s="1" t="s">
        <v>108</v>
      </c>
      <c r="E2675" s="1" t="s">
        <v>9</v>
      </c>
      <c r="F2675" s="1">
        <f t="shared" si="90"/>
        <v>600</v>
      </c>
      <c r="G2675" s="12">
        <f t="shared" si="91"/>
        <v>66.333333333333329</v>
      </c>
    </row>
    <row r="2676" spans="1:7" ht="13">
      <c r="A2676" s="4" t="s">
        <v>120</v>
      </c>
      <c r="B2676" s="1">
        <v>7.5</v>
      </c>
      <c r="C2676" s="1">
        <v>493</v>
      </c>
      <c r="D2676" s="1" t="s">
        <v>11</v>
      </c>
      <c r="E2676" s="1" t="s">
        <v>16</v>
      </c>
      <c r="F2676" s="1">
        <f t="shared" si="90"/>
        <v>750</v>
      </c>
      <c r="G2676" s="12">
        <f t="shared" si="91"/>
        <v>65.733333333333334</v>
      </c>
    </row>
    <row r="2677" spans="1:7" ht="13">
      <c r="A2677" s="4" t="s">
        <v>120</v>
      </c>
      <c r="B2677" s="1">
        <v>6</v>
      </c>
      <c r="C2677" s="1">
        <v>526</v>
      </c>
      <c r="D2677" s="1" t="s">
        <v>11</v>
      </c>
      <c r="E2677" s="1" t="s">
        <v>17</v>
      </c>
      <c r="F2677" s="1">
        <f t="shared" si="90"/>
        <v>600</v>
      </c>
      <c r="G2677" s="12">
        <f t="shared" si="91"/>
        <v>87.666666666666671</v>
      </c>
    </row>
    <row r="2678" spans="1:7" ht="13">
      <c r="A2678" s="4" t="s">
        <v>120</v>
      </c>
      <c r="B2678" s="1">
        <v>7</v>
      </c>
      <c r="C2678" s="1">
        <v>438</v>
      </c>
      <c r="D2678" s="1" t="s">
        <v>33</v>
      </c>
      <c r="E2678" s="1" t="s">
        <v>20</v>
      </c>
      <c r="F2678" s="1">
        <f t="shared" si="90"/>
        <v>700</v>
      </c>
      <c r="G2678" s="12">
        <f t="shared" si="91"/>
        <v>62.571428571428569</v>
      </c>
    </row>
    <row r="2679" spans="1:7" ht="13">
      <c r="A2679" s="4" t="s">
        <v>120</v>
      </c>
      <c r="B2679" s="1">
        <v>7.6</v>
      </c>
      <c r="C2679" s="1">
        <v>544</v>
      </c>
      <c r="D2679" s="1" t="s">
        <v>33</v>
      </c>
      <c r="E2679" s="1" t="s">
        <v>27</v>
      </c>
      <c r="F2679" s="1">
        <f t="shared" si="90"/>
        <v>760</v>
      </c>
      <c r="G2679" s="12">
        <f t="shared" si="91"/>
        <v>71.578947368421055</v>
      </c>
    </row>
    <row r="2680" spans="1:7" ht="13">
      <c r="A2680" s="4" t="s">
        <v>120</v>
      </c>
      <c r="B2680" s="1">
        <v>9.1999999999999993</v>
      </c>
      <c r="C2680" s="1">
        <v>746</v>
      </c>
      <c r="D2680" s="1" t="s">
        <v>43</v>
      </c>
      <c r="E2680" s="1" t="s">
        <v>14</v>
      </c>
      <c r="F2680" s="1">
        <f t="shared" si="90"/>
        <v>919.99999999999989</v>
      </c>
      <c r="G2680" s="12">
        <f t="shared" si="91"/>
        <v>81.08695652173914</v>
      </c>
    </row>
    <row r="2681" spans="1:7" ht="13">
      <c r="A2681" s="4" t="s">
        <v>120</v>
      </c>
      <c r="B2681" s="1">
        <v>6.88</v>
      </c>
      <c r="C2681" s="1">
        <v>468</v>
      </c>
      <c r="D2681" s="1" t="s">
        <v>58</v>
      </c>
      <c r="E2681" s="1" t="s">
        <v>22</v>
      </c>
      <c r="F2681" s="1">
        <f t="shared" si="90"/>
        <v>688</v>
      </c>
      <c r="G2681" s="12">
        <f t="shared" si="91"/>
        <v>68.023255813953483</v>
      </c>
    </row>
    <row r="2682" spans="1:7" ht="13">
      <c r="A2682" s="4" t="s">
        <v>120</v>
      </c>
      <c r="B2682" s="1">
        <v>8.6999999999999993</v>
      </c>
      <c r="C2682" s="1">
        <v>655</v>
      </c>
      <c r="D2682" s="1" t="s">
        <v>11</v>
      </c>
      <c r="E2682" s="1" t="s">
        <v>10</v>
      </c>
      <c r="F2682" s="1">
        <f t="shared" si="90"/>
        <v>869.99999999999989</v>
      </c>
      <c r="G2682" s="12">
        <f t="shared" si="91"/>
        <v>75.287356321839084</v>
      </c>
    </row>
    <row r="2683" spans="1:7" ht="13">
      <c r="A2683" s="4" t="s">
        <v>120</v>
      </c>
      <c r="B2683" s="1">
        <v>8.6999999999999993</v>
      </c>
      <c r="C2683" s="1">
        <v>548</v>
      </c>
      <c r="D2683" s="1" t="s">
        <v>33</v>
      </c>
      <c r="E2683" s="1" t="s">
        <v>26</v>
      </c>
      <c r="F2683" s="1">
        <f t="shared" si="90"/>
        <v>869.99999999999989</v>
      </c>
      <c r="G2683" s="12">
        <f t="shared" si="91"/>
        <v>62.988505747126439</v>
      </c>
    </row>
    <row r="2684" spans="1:7" ht="13">
      <c r="A2684" s="4" t="s">
        <v>120</v>
      </c>
      <c r="B2684" s="1">
        <v>7.82</v>
      </c>
      <c r="C2684" s="1">
        <v>597</v>
      </c>
      <c r="D2684" s="1" t="s">
        <v>11</v>
      </c>
      <c r="E2684" s="1" t="s">
        <v>16</v>
      </c>
      <c r="F2684" s="1">
        <f t="shared" si="90"/>
        <v>782</v>
      </c>
      <c r="G2684" s="12">
        <f t="shared" si="91"/>
        <v>76.342710997442452</v>
      </c>
    </row>
    <row r="2685" spans="1:7" ht="13">
      <c r="A2685" s="4" t="s">
        <v>120</v>
      </c>
      <c r="B2685" s="1">
        <v>6.7</v>
      </c>
      <c r="C2685" s="1">
        <v>566</v>
      </c>
      <c r="D2685" s="1" t="s">
        <v>11</v>
      </c>
      <c r="E2685" s="1" t="s">
        <v>16</v>
      </c>
      <c r="F2685" s="1">
        <f t="shared" si="90"/>
        <v>670</v>
      </c>
      <c r="G2685" s="12">
        <f t="shared" si="91"/>
        <v>84.477611940298502</v>
      </c>
    </row>
    <row r="2686" spans="1:7" ht="13">
      <c r="A2686" s="4" t="s">
        <v>120</v>
      </c>
      <c r="B2686" s="1">
        <v>4.7</v>
      </c>
      <c r="C2686" s="1">
        <v>3.65</v>
      </c>
      <c r="D2686" s="1" t="s">
        <v>35</v>
      </c>
      <c r="E2686" s="1" t="s">
        <v>16</v>
      </c>
      <c r="F2686" s="1">
        <f t="shared" si="90"/>
        <v>470</v>
      </c>
      <c r="G2686" s="12">
        <f t="shared" si="91"/>
        <v>0.77659574468085102</v>
      </c>
    </row>
    <row r="2687" spans="1:7" ht="13">
      <c r="A2687" s="4" t="s">
        <v>120</v>
      </c>
      <c r="B2687" s="1">
        <v>6.09</v>
      </c>
      <c r="C2687" s="1">
        <v>346</v>
      </c>
      <c r="D2687" s="1" t="s">
        <v>42</v>
      </c>
      <c r="E2687" s="1" t="s">
        <v>15</v>
      </c>
      <c r="F2687" s="1">
        <f t="shared" si="90"/>
        <v>609</v>
      </c>
      <c r="G2687" s="12">
        <f t="shared" si="91"/>
        <v>56.814449917898195</v>
      </c>
    </row>
    <row r="2688" spans="1:7" ht="13">
      <c r="A2688" s="4" t="s">
        <v>120</v>
      </c>
      <c r="B2688" s="1">
        <v>9</v>
      </c>
      <c r="C2688" s="1">
        <v>677</v>
      </c>
      <c r="D2688" s="1" t="s">
        <v>11</v>
      </c>
      <c r="E2688" s="1" t="s">
        <v>7</v>
      </c>
      <c r="F2688" s="1">
        <f t="shared" si="90"/>
        <v>900</v>
      </c>
      <c r="G2688" s="12">
        <f t="shared" si="91"/>
        <v>75.222222222222229</v>
      </c>
    </row>
    <row r="2689" spans="1:7" ht="13">
      <c r="A2689" s="4" t="s">
        <v>120</v>
      </c>
      <c r="B2689" s="1">
        <v>6.88</v>
      </c>
      <c r="C2689" s="1">
        <v>530</v>
      </c>
      <c r="D2689" s="1" t="s">
        <v>58</v>
      </c>
      <c r="E2689" s="1" t="s">
        <v>16</v>
      </c>
      <c r="F2689" s="1">
        <f t="shared" si="90"/>
        <v>688</v>
      </c>
      <c r="G2689" s="12">
        <f t="shared" si="91"/>
        <v>77.034883720930239</v>
      </c>
    </row>
    <row r="2690" spans="1:7" ht="13">
      <c r="A2690" s="4" t="s">
        <v>120</v>
      </c>
      <c r="B2690" s="1">
        <v>5.2</v>
      </c>
      <c r="C2690" s="1">
        <v>460</v>
      </c>
      <c r="D2690" s="1" t="s">
        <v>11</v>
      </c>
      <c r="E2690" s="1" t="s">
        <v>16</v>
      </c>
      <c r="F2690" s="1">
        <f t="shared" si="90"/>
        <v>520</v>
      </c>
      <c r="G2690" s="12">
        <f t="shared" si="91"/>
        <v>88.461538461538453</v>
      </c>
    </row>
    <row r="2691" spans="1:7" ht="13">
      <c r="A2691" s="4" t="s">
        <v>120</v>
      </c>
      <c r="B2691" s="1">
        <v>3.48</v>
      </c>
      <c r="C2691" s="1">
        <v>276</v>
      </c>
      <c r="D2691" s="1" t="s">
        <v>11</v>
      </c>
      <c r="E2691" s="1" t="s">
        <v>7</v>
      </c>
      <c r="F2691" s="1">
        <f t="shared" ref="F2691:F2754" si="92">B2691*100</f>
        <v>348</v>
      </c>
      <c r="G2691" s="12">
        <f t="shared" ref="G2691:G2754" si="93">C2691/B2691</f>
        <v>79.310344827586206</v>
      </c>
    </row>
    <row r="2692" spans="1:7" ht="13">
      <c r="A2692" s="4" t="s">
        <v>120</v>
      </c>
      <c r="B2692" s="1">
        <v>6.7</v>
      </c>
      <c r="C2692" s="1">
        <v>449</v>
      </c>
      <c r="D2692" s="1" t="s">
        <v>33</v>
      </c>
      <c r="E2692" s="1" t="s">
        <v>21</v>
      </c>
      <c r="F2692" s="1">
        <f t="shared" si="92"/>
        <v>670</v>
      </c>
      <c r="G2692" s="12">
        <f t="shared" si="93"/>
        <v>67.014925373134332</v>
      </c>
    </row>
    <row r="2693" spans="1:7" ht="13">
      <c r="A2693" s="4" t="s">
        <v>120</v>
      </c>
      <c r="B2693" s="1">
        <v>8.6999999999999993</v>
      </c>
      <c r="C2693" s="1">
        <v>620</v>
      </c>
      <c r="D2693" s="1" t="s">
        <v>11</v>
      </c>
      <c r="E2693" s="1" t="s">
        <v>20</v>
      </c>
      <c r="F2693" s="1">
        <f t="shared" si="92"/>
        <v>869.99999999999989</v>
      </c>
      <c r="G2693" s="12">
        <f t="shared" si="93"/>
        <v>71.264367816091962</v>
      </c>
    </row>
    <row r="2694" spans="1:7" ht="13">
      <c r="A2694" s="4" t="s">
        <v>120</v>
      </c>
      <c r="B2694" s="1">
        <v>3.4</v>
      </c>
      <c r="C2694" s="1">
        <v>353</v>
      </c>
      <c r="D2694" s="1" t="s">
        <v>40</v>
      </c>
      <c r="E2694" s="1" t="s">
        <v>19</v>
      </c>
      <c r="F2694" s="1">
        <f t="shared" si="92"/>
        <v>340</v>
      </c>
      <c r="G2694" s="12">
        <f t="shared" si="93"/>
        <v>103.82352941176471</v>
      </c>
    </row>
    <row r="2695" spans="1:7" ht="13">
      <c r="A2695" s="4" t="s">
        <v>120</v>
      </c>
      <c r="B2695" s="1">
        <v>6.56</v>
      </c>
      <c r="C2695" s="1">
        <v>605</v>
      </c>
      <c r="D2695" s="1" t="s">
        <v>11</v>
      </c>
      <c r="E2695" s="1" t="s">
        <v>18</v>
      </c>
      <c r="F2695" s="1">
        <f t="shared" si="92"/>
        <v>656</v>
      </c>
      <c r="G2695" s="12">
        <f t="shared" si="93"/>
        <v>92.225609756097569</v>
      </c>
    </row>
    <row r="2696" spans="1:7" ht="13">
      <c r="A2696" s="4" t="s">
        <v>120</v>
      </c>
      <c r="B2696" s="1">
        <v>4.9000000000000004</v>
      </c>
      <c r="C2696" s="1">
        <v>407</v>
      </c>
      <c r="D2696" s="1" t="s">
        <v>43</v>
      </c>
      <c r="E2696" s="1" t="s">
        <v>8</v>
      </c>
      <c r="F2696" s="1">
        <f t="shared" si="92"/>
        <v>490.00000000000006</v>
      </c>
      <c r="G2696" s="12">
        <f t="shared" si="93"/>
        <v>83.061224489795919</v>
      </c>
    </row>
    <row r="2697" spans="1:7" ht="13">
      <c r="A2697" s="4" t="s">
        <v>120</v>
      </c>
      <c r="B2697" s="1">
        <v>8.58</v>
      </c>
      <c r="C2697" s="1">
        <v>545</v>
      </c>
      <c r="D2697" s="1" t="s">
        <v>33</v>
      </c>
      <c r="E2697" s="1" t="s">
        <v>17</v>
      </c>
      <c r="F2697" s="1">
        <f t="shared" si="92"/>
        <v>858</v>
      </c>
      <c r="G2697" s="12">
        <f t="shared" si="93"/>
        <v>63.519813519813518</v>
      </c>
    </row>
    <row r="2698" spans="1:7" ht="13">
      <c r="A2698" s="4" t="s">
        <v>120</v>
      </c>
      <c r="B2698" s="1">
        <v>5.52</v>
      </c>
      <c r="C2698" s="1">
        <v>448</v>
      </c>
      <c r="D2698" s="1" t="s">
        <v>11</v>
      </c>
      <c r="E2698" s="1" t="s">
        <v>26</v>
      </c>
      <c r="F2698" s="1">
        <f t="shared" si="92"/>
        <v>552</v>
      </c>
      <c r="G2698" s="12">
        <f t="shared" si="93"/>
        <v>81.159420289855078</v>
      </c>
    </row>
    <row r="2699" spans="1:7" ht="13">
      <c r="A2699" s="4" t="s">
        <v>120</v>
      </c>
      <c r="B2699" s="1">
        <v>5.5</v>
      </c>
      <c r="C2699" s="1">
        <v>436</v>
      </c>
      <c r="D2699" s="1" t="s">
        <v>11</v>
      </c>
      <c r="E2699" s="1" t="s">
        <v>15</v>
      </c>
      <c r="F2699" s="1">
        <f t="shared" si="92"/>
        <v>550</v>
      </c>
      <c r="G2699" s="12">
        <f t="shared" si="93"/>
        <v>79.272727272727266</v>
      </c>
    </row>
    <row r="2700" spans="1:7" ht="13">
      <c r="A2700" s="4" t="s">
        <v>120</v>
      </c>
      <c r="B2700" s="1">
        <v>4</v>
      </c>
      <c r="C2700" s="1">
        <v>109</v>
      </c>
      <c r="D2700" s="1" t="s">
        <v>58</v>
      </c>
      <c r="E2700" s="1" t="s">
        <v>68</v>
      </c>
      <c r="F2700" s="1">
        <f t="shared" si="92"/>
        <v>400</v>
      </c>
      <c r="G2700" s="12">
        <f t="shared" si="93"/>
        <v>27.25</v>
      </c>
    </row>
    <row r="2701" spans="1:7" ht="13">
      <c r="A2701" s="4" t="s">
        <v>120</v>
      </c>
      <c r="B2701" s="1">
        <v>5.2</v>
      </c>
      <c r="C2701" s="1">
        <v>468</v>
      </c>
      <c r="D2701" s="1" t="s">
        <v>11</v>
      </c>
      <c r="E2701" s="1" t="s">
        <v>16</v>
      </c>
      <c r="F2701" s="1">
        <f t="shared" si="92"/>
        <v>520</v>
      </c>
      <c r="G2701" s="12">
        <f t="shared" si="93"/>
        <v>90</v>
      </c>
    </row>
    <row r="2702" spans="1:7" ht="13">
      <c r="A2702" s="4" t="s">
        <v>120</v>
      </c>
      <c r="B2702" s="1">
        <v>7.8</v>
      </c>
      <c r="C2702" s="1">
        <v>655</v>
      </c>
      <c r="D2702" s="1" t="s">
        <v>11</v>
      </c>
      <c r="E2702" s="1" t="s">
        <v>12</v>
      </c>
      <c r="F2702" s="1">
        <f t="shared" si="92"/>
        <v>780</v>
      </c>
      <c r="G2702" s="12">
        <f t="shared" si="93"/>
        <v>83.974358974358978</v>
      </c>
    </row>
    <row r="2703" spans="1:7" ht="13">
      <c r="A2703" s="4" t="s">
        <v>120</v>
      </c>
      <c r="B2703" s="1">
        <v>8.5</v>
      </c>
      <c r="C2703" s="1">
        <v>678</v>
      </c>
      <c r="D2703" s="1" t="s">
        <v>11</v>
      </c>
      <c r="E2703" s="1" t="s">
        <v>68</v>
      </c>
      <c r="F2703" s="1">
        <f t="shared" si="92"/>
        <v>850</v>
      </c>
      <c r="G2703" s="12">
        <f t="shared" si="93"/>
        <v>79.764705882352942</v>
      </c>
    </row>
    <row r="2704" spans="1:7" ht="13">
      <c r="A2704" s="4" t="s">
        <v>120</v>
      </c>
      <c r="B2704" s="1">
        <v>11.25</v>
      </c>
      <c r="C2704" s="1">
        <v>806</v>
      </c>
      <c r="D2704" s="1" t="s">
        <v>45</v>
      </c>
      <c r="E2704" s="1" t="s">
        <v>8</v>
      </c>
      <c r="F2704" s="1">
        <f t="shared" si="92"/>
        <v>1125</v>
      </c>
      <c r="G2704" s="12">
        <f t="shared" si="93"/>
        <v>71.644444444444446</v>
      </c>
    </row>
    <row r="2705" spans="1:7" ht="13">
      <c r="A2705" s="4" t="s">
        <v>120</v>
      </c>
      <c r="B2705" s="1">
        <v>6.9</v>
      </c>
      <c r="C2705" s="1">
        <v>490</v>
      </c>
      <c r="D2705" s="1" t="s">
        <v>33</v>
      </c>
      <c r="E2705" s="1" t="s">
        <v>8</v>
      </c>
      <c r="F2705" s="1">
        <f t="shared" si="92"/>
        <v>690</v>
      </c>
      <c r="G2705" s="12">
        <f t="shared" si="93"/>
        <v>71.014492753623188</v>
      </c>
    </row>
    <row r="2706" spans="1:7" ht="13">
      <c r="A2706" s="4" t="s">
        <v>120</v>
      </c>
      <c r="B2706" s="1">
        <v>7.83</v>
      </c>
      <c r="C2706" s="1">
        <v>539</v>
      </c>
      <c r="D2706" s="1" t="s">
        <v>33</v>
      </c>
      <c r="E2706" s="1" t="s">
        <v>21</v>
      </c>
      <c r="F2706" s="1">
        <f t="shared" si="92"/>
        <v>783</v>
      </c>
      <c r="G2706" s="12">
        <f t="shared" si="93"/>
        <v>68.837803320561946</v>
      </c>
    </row>
    <row r="2707" spans="1:7" ht="13">
      <c r="A2707" s="4" t="s">
        <v>120</v>
      </c>
      <c r="B2707" s="1">
        <v>9.5</v>
      </c>
      <c r="C2707" s="1">
        <v>982</v>
      </c>
      <c r="D2707" s="1" t="s">
        <v>43</v>
      </c>
      <c r="E2707" s="1" t="s">
        <v>18</v>
      </c>
      <c r="F2707" s="1">
        <f t="shared" si="92"/>
        <v>950</v>
      </c>
      <c r="G2707" s="12">
        <f t="shared" si="93"/>
        <v>103.36842105263158</v>
      </c>
    </row>
    <row r="2708" spans="1:7" ht="13">
      <c r="A2708" s="4" t="s">
        <v>120</v>
      </c>
      <c r="B2708" s="1">
        <v>4.3</v>
      </c>
      <c r="C2708" s="1">
        <v>232</v>
      </c>
      <c r="D2708" s="1" t="s">
        <v>33</v>
      </c>
      <c r="E2708" s="1" t="s">
        <v>30</v>
      </c>
      <c r="F2708" s="1">
        <f t="shared" si="92"/>
        <v>430</v>
      </c>
      <c r="G2708" s="12">
        <f t="shared" si="93"/>
        <v>53.953488372093027</v>
      </c>
    </row>
    <row r="2709" spans="1:7" ht="13">
      <c r="A2709" s="4" t="s">
        <v>120</v>
      </c>
      <c r="B2709" s="1">
        <v>5</v>
      </c>
      <c r="C2709" s="1">
        <v>407</v>
      </c>
      <c r="D2709" s="1" t="s">
        <v>38</v>
      </c>
      <c r="E2709" s="1" t="s">
        <v>8</v>
      </c>
      <c r="F2709" s="1">
        <f t="shared" si="92"/>
        <v>500</v>
      </c>
      <c r="G2709" s="12">
        <f t="shared" si="93"/>
        <v>81.400000000000006</v>
      </c>
    </row>
    <row r="2710" spans="1:7" ht="13">
      <c r="A2710" s="4" t="s">
        <v>120</v>
      </c>
      <c r="B2710" s="1">
        <v>5.6</v>
      </c>
      <c r="C2710" s="1">
        <v>367</v>
      </c>
      <c r="D2710" s="1" t="s">
        <v>33</v>
      </c>
      <c r="E2710" s="1" t="s">
        <v>9</v>
      </c>
      <c r="F2710" s="1">
        <f t="shared" si="92"/>
        <v>560</v>
      </c>
      <c r="G2710" s="12">
        <f t="shared" si="93"/>
        <v>65.535714285714292</v>
      </c>
    </row>
    <row r="2711" spans="1:7" ht="13">
      <c r="A2711" s="4" t="s">
        <v>120</v>
      </c>
      <c r="B2711" s="1">
        <v>9.4600000000000009</v>
      </c>
      <c r="C2711" s="1">
        <v>677</v>
      </c>
      <c r="D2711" s="1" t="s">
        <v>11</v>
      </c>
      <c r="E2711" s="1" t="s">
        <v>31</v>
      </c>
      <c r="F2711" s="1">
        <f t="shared" si="92"/>
        <v>946.00000000000011</v>
      </c>
      <c r="G2711" s="12">
        <f t="shared" si="93"/>
        <v>71.564482029598295</v>
      </c>
    </row>
    <row r="2712" spans="1:7" ht="13">
      <c r="A2712" s="4" t="s">
        <v>120</v>
      </c>
      <c r="B2712" s="1">
        <v>12</v>
      </c>
      <c r="C2712" s="1">
        <v>625</v>
      </c>
      <c r="D2712" s="1" t="s">
        <v>33</v>
      </c>
      <c r="E2712" s="1" t="s">
        <v>20</v>
      </c>
      <c r="F2712" s="1">
        <f t="shared" si="92"/>
        <v>1200</v>
      </c>
      <c r="G2712" s="12">
        <f t="shared" si="93"/>
        <v>52.083333333333336</v>
      </c>
    </row>
    <row r="2713" spans="1:7" ht="13">
      <c r="A2713" s="4" t="s">
        <v>120</v>
      </c>
      <c r="B2713" s="1">
        <v>6.3</v>
      </c>
      <c r="C2713" s="1">
        <v>489</v>
      </c>
      <c r="D2713" s="1" t="s">
        <v>43</v>
      </c>
      <c r="E2713" s="1" t="s">
        <v>29</v>
      </c>
      <c r="F2713" s="1">
        <f t="shared" si="92"/>
        <v>630</v>
      </c>
      <c r="G2713" s="12">
        <f t="shared" si="93"/>
        <v>77.61904761904762</v>
      </c>
    </row>
    <row r="2714" spans="1:7" ht="13">
      <c r="A2714" s="4" t="s">
        <v>120</v>
      </c>
      <c r="B2714" s="1">
        <v>3.44</v>
      </c>
      <c r="C2714" s="1">
        <v>323</v>
      </c>
      <c r="D2714" s="1" t="s">
        <v>43</v>
      </c>
      <c r="E2714" s="1" t="s">
        <v>8</v>
      </c>
      <c r="F2714" s="1">
        <f t="shared" si="92"/>
        <v>344</v>
      </c>
      <c r="G2714" s="12">
        <f t="shared" si="93"/>
        <v>93.895348837209298</v>
      </c>
    </row>
    <row r="2715" spans="1:7" ht="13">
      <c r="A2715" s="4" t="s">
        <v>120</v>
      </c>
      <c r="B2715" s="1">
        <v>6.4</v>
      </c>
      <c r="C2715" s="1">
        <v>566</v>
      </c>
      <c r="D2715" s="1" t="s">
        <v>11</v>
      </c>
      <c r="E2715" s="1" t="s">
        <v>26</v>
      </c>
      <c r="F2715" s="1">
        <f t="shared" si="92"/>
        <v>640</v>
      </c>
      <c r="G2715" s="12">
        <f t="shared" si="93"/>
        <v>88.4375</v>
      </c>
    </row>
    <row r="2716" spans="1:7" ht="13">
      <c r="A2716" s="4" t="s">
        <v>120</v>
      </c>
      <c r="B2716" s="1">
        <v>3.44</v>
      </c>
      <c r="C2716" s="1">
        <v>282</v>
      </c>
      <c r="D2716" s="1" t="s">
        <v>11</v>
      </c>
      <c r="E2716" s="1" t="s">
        <v>9</v>
      </c>
      <c r="F2716" s="1">
        <f t="shared" si="92"/>
        <v>344</v>
      </c>
      <c r="G2716" s="12">
        <f t="shared" si="93"/>
        <v>81.976744186046517</v>
      </c>
    </row>
    <row r="2717" spans="1:7" ht="13">
      <c r="A2717" s="4" t="s">
        <v>120</v>
      </c>
      <c r="B2717" s="1">
        <v>7.5</v>
      </c>
      <c r="C2717" s="1">
        <v>609</v>
      </c>
      <c r="D2717" s="1" t="s">
        <v>43</v>
      </c>
      <c r="E2717" s="1" t="s">
        <v>24</v>
      </c>
      <c r="F2717" s="1">
        <f t="shared" si="92"/>
        <v>750</v>
      </c>
      <c r="G2717" s="12">
        <f t="shared" si="93"/>
        <v>81.2</v>
      </c>
    </row>
    <row r="2718" spans="1:7" ht="13">
      <c r="A2718" s="4" t="s">
        <v>120</v>
      </c>
      <c r="B2718" s="1">
        <v>7.7</v>
      </c>
      <c r="C2718" s="1">
        <v>669</v>
      </c>
      <c r="D2718" s="1" t="s">
        <v>11</v>
      </c>
      <c r="E2718" s="1" t="s">
        <v>22</v>
      </c>
      <c r="F2718" s="1">
        <f t="shared" si="92"/>
        <v>770</v>
      </c>
      <c r="G2718" s="12">
        <f t="shared" si="93"/>
        <v>86.883116883116884</v>
      </c>
    </row>
    <row r="2719" spans="1:7" ht="13">
      <c r="A2719" s="4" t="s">
        <v>120</v>
      </c>
      <c r="B2719" s="1">
        <v>5.81</v>
      </c>
      <c r="C2719" s="1">
        <v>509</v>
      </c>
      <c r="D2719" s="1" t="s">
        <v>38</v>
      </c>
      <c r="E2719" s="1" t="s">
        <v>8</v>
      </c>
      <c r="F2719" s="1">
        <f t="shared" si="92"/>
        <v>581</v>
      </c>
      <c r="G2719" s="12">
        <f t="shared" si="93"/>
        <v>87.607573149741825</v>
      </c>
    </row>
    <row r="2720" spans="1:7" ht="13">
      <c r="A2720" s="4" t="s">
        <v>120</v>
      </c>
      <c r="B2720" s="1">
        <v>5.4</v>
      </c>
      <c r="C2720" s="1">
        <v>406</v>
      </c>
      <c r="D2720" s="1" t="s">
        <v>35</v>
      </c>
      <c r="E2720" s="1" t="s">
        <v>8</v>
      </c>
      <c r="F2720" s="1">
        <f t="shared" si="92"/>
        <v>540</v>
      </c>
      <c r="G2720" s="12">
        <f t="shared" si="93"/>
        <v>75.185185185185176</v>
      </c>
    </row>
    <row r="2721" spans="1:7" ht="13">
      <c r="A2721" s="4" t="s">
        <v>120</v>
      </c>
      <c r="B2721" s="1">
        <v>6.02</v>
      </c>
      <c r="C2721" s="1">
        <v>512</v>
      </c>
      <c r="D2721" s="1" t="s">
        <v>33</v>
      </c>
      <c r="E2721" s="1" t="s">
        <v>10</v>
      </c>
      <c r="F2721" s="1">
        <f t="shared" si="92"/>
        <v>602</v>
      </c>
      <c r="G2721" s="12">
        <f t="shared" si="93"/>
        <v>85.049833887043192</v>
      </c>
    </row>
    <row r="2722" spans="1:7" ht="13">
      <c r="A2722" s="4" t="s">
        <v>120</v>
      </c>
      <c r="B2722" s="1">
        <v>7.9</v>
      </c>
      <c r="C2722" s="1">
        <v>672</v>
      </c>
      <c r="D2722" s="1" t="s">
        <v>11</v>
      </c>
      <c r="E2722" s="1" t="s">
        <v>27</v>
      </c>
      <c r="F2722" s="1">
        <f t="shared" si="92"/>
        <v>790</v>
      </c>
      <c r="G2722" s="12">
        <f t="shared" si="93"/>
        <v>85.063291139240505</v>
      </c>
    </row>
    <row r="2723" spans="1:7" ht="13">
      <c r="A2723" s="4" t="s">
        <v>120</v>
      </c>
      <c r="B2723" s="1">
        <v>7.74</v>
      </c>
      <c r="C2723" s="1">
        <v>735</v>
      </c>
      <c r="D2723" s="1" t="s">
        <v>11</v>
      </c>
      <c r="E2723" s="1" t="s">
        <v>29</v>
      </c>
      <c r="F2723" s="1">
        <f t="shared" si="92"/>
        <v>774</v>
      </c>
      <c r="G2723" s="12">
        <f t="shared" si="93"/>
        <v>94.961240310077514</v>
      </c>
    </row>
    <row r="2724" spans="1:7" ht="13">
      <c r="A2724" s="4" t="s">
        <v>120</v>
      </c>
      <c r="B2724" s="1">
        <v>6.8</v>
      </c>
      <c r="C2724" s="1">
        <v>463</v>
      </c>
      <c r="D2724" s="1" t="s">
        <v>100</v>
      </c>
      <c r="E2724" s="1" t="s">
        <v>29</v>
      </c>
      <c r="F2724" s="1">
        <f t="shared" si="92"/>
        <v>680</v>
      </c>
      <c r="G2724" s="12">
        <f t="shared" si="93"/>
        <v>68.088235294117652</v>
      </c>
    </row>
    <row r="2725" spans="1:7" ht="13">
      <c r="A2725" s="4" t="s">
        <v>120</v>
      </c>
      <c r="B2725" s="1">
        <v>5.16</v>
      </c>
      <c r="C2725" s="1">
        <v>374</v>
      </c>
      <c r="D2725" s="1" t="s">
        <v>48</v>
      </c>
      <c r="E2725" s="1" t="s">
        <v>30</v>
      </c>
      <c r="F2725" s="1">
        <f t="shared" si="92"/>
        <v>516</v>
      </c>
      <c r="G2725" s="12">
        <f t="shared" si="93"/>
        <v>72.480620155038764</v>
      </c>
    </row>
    <row r="2726" spans="1:7" ht="13">
      <c r="A2726" s="4" t="s">
        <v>120</v>
      </c>
      <c r="B2726" s="1">
        <v>8.375</v>
      </c>
      <c r="C2726" s="1">
        <v>563</v>
      </c>
      <c r="D2726" s="1" t="s">
        <v>11</v>
      </c>
      <c r="E2726" s="1" t="s">
        <v>15</v>
      </c>
      <c r="F2726" s="1">
        <f t="shared" si="92"/>
        <v>837.5</v>
      </c>
      <c r="G2726" s="12">
        <f t="shared" si="93"/>
        <v>67.223880597014926</v>
      </c>
    </row>
    <row r="2727" spans="1:7" ht="13">
      <c r="A2727" s="4" t="s">
        <v>120</v>
      </c>
      <c r="B2727" s="1">
        <v>6.4</v>
      </c>
      <c r="C2727" s="1">
        <v>514.9</v>
      </c>
      <c r="D2727" s="1" t="s">
        <v>35</v>
      </c>
      <c r="E2727" s="1" t="s">
        <v>18</v>
      </c>
      <c r="F2727" s="1">
        <f t="shared" si="92"/>
        <v>640</v>
      </c>
      <c r="G2727" s="12">
        <f t="shared" si="93"/>
        <v>80.453124999999986</v>
      </c>
    </row>
    <row r="2728" spans="1:7" ht="13">
      <c r="A2728" s="4" t="s">
        <v>120</v>
      </c>
      <c r="B2728" s="1">
        <v>6.5250000000000004</v>
      </c>
      <c r="C2728" s="1">
        <v>528</v>
      </c>
      <c r="D2728" s="1" t="s">
        <v>11</v>
      </c>
      <c r="E2728" s="1" t="s">
        <v>16</v>
      </c>
      <c r="F2728" s="1">
        <f t="shared" si="92"/>
        <v>652.5</v>
      </c>
      <c r="G2728" s="12">
        <f t="shared" si="93"/>
        <v>80.919540229885058</v>
      </c>
    </row>
    <row r="2729" spans="1:7" ht="13">
      <c r="A2729" s="4" t="s">
        <v>120</v>
      </c>
      <c r="B2729" s="1">
        <v>6</v>
      </c>
      <c r="C2729" s="1">
        <v>696</v>
      </c>
      <c r="D2729" s="1" t="s">
        <v>38</v>
      </c>
      <c r="E2729" s="1" t="s">
        <v>8</v>
      </c>
      <c r="F2729" s="1">
        <f t="shared" si="92"/>
        <v>600</v>
      </c>
      <c r="G2729" s="12">
        <f t="shared" si="93"/>
        <v>116</v>
      </c>
    </row>
    <row r="2730" spans="1:7" ht="13">
      <c r="A2730" s="4" t="s">
        <v>120</v>
      </c>
      <c r="B2730" s="1">
        <v>8.33</v>
      </c>
      <c r="C2730" s="1">
        <v>603</v>
      </c>
      <c r="D2730" s="1" t="s">
        <v>47</v>
      </c>
      <c r="E2730" s="1" t="s">
        <v>7</v>
      </c>
      <c r="F2730" s="1">
        <f t="shared" si="92"/>
        <v>833</v>
      </c>
      <c r="G2730" s="12">
        <f t="shared" si="93"/>
        <v>72.388955582232896</v>
      </c>
    </row>
    <row r="2731" spans="1:7" ht="13">
      <c r="A2731" s="4" t="s">
        <v>120</v>
      </c>
      <c r="B2731" s="1">
        <v>9.57</v>
      </c>
      <c r="C2731" s="1">
        <v>752</v>
      </c>
      <c r="D2731" s="1" t="s">
        <v>35</v>
      </c>
      <c r="E2731" s="1" t="s">
        <v>18</v>
      </c>
      <c r="F2731" s="1">
        <f t="shared" si="92"/>
        <v>957</v>
      </c>
      <c r="G2731" s="12">
        <f t="shared" si="93"/>
        <v>78.578892371995821</v>
      </c>
    </row>
    <row r="2732" spans="1:7" ht="13">
      <c r="A2732" s="4" t="s">
        <v>120</v>
      </c>
      <c r="B2732" s="1">
        <v>5.1100000000000003</v>
      </c>
      <c r="C2732" s="1">
        <v>397</v>
      </c>
      <c r="D2732" s="1" t="s">
        <v>39</v>
      </c>
      <c r="E2732" s="1" t="s">
        <v>8</v>
      </c>
      <c r="F2732" s="1">
        <f t="shared" si="92"/>
        <v>511.00000000000006</v>
      </c>
      <c r="G2732" s="12">
        <f t="shared" si="93"/>
        <v>77.690802348336589</v>
      </c>
    </row>
    <row r="2733" spans="1:7" ht="13">
      <c r="A2733" s="4" t="s">
        <v>120</v>
      </c>
      <c r="B2733" s="1">
        <v>4.4000000000000004</v>
      </c>
      <c r="C2733" s="1">
        <v>363</v>
      </c>
      <c r="D2733" s="1" t="s">
        <v>11</v>
      </c>
      <c r="E2733" s="1" t="s">
        <v>15</v>
      </c>
      <c r="F2733" s="1">
        <f t="shared" si="92"/>
        <v>440.00000000000006</v>
      </c>
      <c r="G2733" s="12">
        <f t="shared" si="93"/>
        <v>82.5</v>
      </c>
    </row>
    <row r="2734" spans="1:7" ht="13">
      <c r="A2734" s="4" t="s">
        <v>120</v>
      </c>
      <c r="B2734" s="1">
        <v>7</v>
      </c>
      <c r="C2734" s="1">
        <v>492</v>
      </c>
      <c r="D2734" s="1" t="s">
        <v>36</v>
      </c>
      <c r="E2734" s="1" t="s">
        <v>15</v>
      </c>
      <c r="F2734" s="1">
        <f t="shared" si="92"/>
        <v>700</v>
      </c>
      <c r="G2734" s="12">
        <f t="shared" si="93"/>
        <v>70.285714285714292</v>
      </c>
    </row>
    <row r="2735" spans="1:7" ht="13">
      <c r="A2735" s="4" t="s">
        <v>120</v>
      </c>
      <c r="B2735" s="1">
        <v>8.1999999999999993</v>
      </c>
      <c r="C2735" s="1">
        <v>654</v>
      </c>
      <c r="D2735" s="1" t="s">
        <v>39</v>
      </c>
      <c r="E2735" s="1" t="s">
        <v>16</v>
      </c>
      <c r="F2735" s="1">
        <f t="shared" si="92"/>
        <v>819.99999999999989</v>
      </c>
      <c r="G2735" s="12">
        <f t="shared" si="93"/>
        <v>79.756097560975618</v>
      </c>
    </row>
    <row r="2736" spans="1:7" ht="13">
      <c r="A2736" s="4" t="s">
        <v>120</v>
      </c>
      <c r="B2736" s="1">
        <v>8.5</v>
      </c>
      <c r="C2736" s="1">
        <v>655</v>
      </c>
      <c r="D2736" s="1" t="s">
        <v>39</v>
      </c>
      <c r="E2736" s="1" t="s">
        <v>20</v>
      </c>
      <c r="F2736" s="1">
        <f t="shared" si="92"/>
        <v>850</v>
      </c>
      <c r="G2736" s="12">
        <f t="shared" si="93"/>
        <v>77.058823529411768</v>
      </c>
    </row>
    <row r="2737" spans="1:7" ht="13">
      <c r="A2737" s="4" t="s">
        <v>120</v>
      </c>
      <c r="B2737" s="1">
        <v>5.59</v>
      </c>
      <c r="C2737" s="1">
        <v>373</v>
      </c>
      <c r="D2737" s="1" t="s">
        <v>36</v>
      </c>
      <c r="E2737" s="1" t="s">
        <v>9</v>
      </c>
      <c r="F2737" s="1">
        <f t="shared" si="92"/>
        <v>559</v>
      </c>
      <c r="G2737" s="12">
        <f t="shared" si="93"/>
        <v>66.726296958855102</v>
      </c>
    </row>
    <row r="2738" spans="1:7" ht="13">
      <c r="A2738" s="4" t="s">
        <v>120</v>
      </c>
      <c r="B2738" s="1">
        <v>7.4</v>
      </c>
      <c r="C2738" s="1">
        <v>503.07</v>
      </c>
      <c r="D2738" s="1" t="s">
        <v>33</v>
      </c>
      <c r="E2738" s="1" t="s">
        <v>17</v>
      </c>
      <c r="F2738" s="1">
        <f t="shared" si="92"/>
        <v>740</v>
      </c>
      <c r="G2738" s="12">
        <f t="shared" si="93"/>
        <v>67.982432432432432</v>
      </c>
    </row>
    <row r="2739" spans="1:7" ht="13">
      <c r="A2739" s="4" t="s">
        <v>120</v>
      </c>
      <c r="B2739" s="1">
        <v>5.0999999999999996</v>
      </c>
      <c r="C2739" s="1">
        <v>339</v>
      </c>
      <c r="D2739" s="1" t="s">
        <v>40</v>
      </c>
      <c r="E2739" s="1" t="s">
        <v>15</v>
      </c>
      <c r="F2739" s="1">
        <f t="shared" si="92"/>
        <v>509.99999999999994</v>
      </c>
      <c r="G2739" s="12">
        <f t="shared" si="93"/>
        <v>66.470588235294116</v>
      </c>
    </row>
    <row r="2740" spans="1:7" ht="13">
      <c r="A2740" s="4" t="s">
        <v>120</v>
      </c>
      <c r="B2740" s="1">
        <v>4</v>
      </c>
      <c r="C2740" s="1">
        <v>324.10000000000002</v>
      </c>
      <c r="D2740" s="1" t="s">
        <v>43</v>
      </c>
      <c r="E2740" s="1" t="s">
        <v>22</v>
      </c>
      <c r="F2740" s="1">
        <f t="shared" si="92"/>
        <v>400</v>
      </c>
      <c r="G2740" s="12">
        <f t="shared" si="93"/>
        <v>81.025000000000006</v>
      </c>
    </row>
    <row r="2741" spans="1:7" ht="13">
      <c r="A2741" s="4" t="s">
        <v>120</v>
      </c>
      <c r="B2741" s="1">
        <v>9.1999999999999993</v>
      </c>
      <c r="C2741" s="1">
        <v>571</v>
      </c>
      <c r="D2741" s="1" t="s">
        <v>33</v>
      </c>
      <c r="E2741" s="1" t="s">
        <v>15</v>
      </c>
      <c r="F2741" s="1">
        <f t="shared" si="92"/>
        <v>919.99999999999989</v>
      </c>
      <c r="G2741" s="12">
        <f t="shared" si="93"/>
        <v>62.065217391304351</v>
      </c>
    </row>
    <row r="2742" spans="1:7" ht="13">
      <c r="A2742" s="4" t="s">
        <v>120</v>
      </c>
      <c r="B2742" s="1">
        <v>8.2650000000000006</v>
      </c>
      <c r="C2742" s="1">
        <v>743</v>
      </c>
      <c r="D2742" s="1" t="s">
        <v>43</v>
      </c>
      <c r="E2742" s="1" t="s">
        <v>18</v>
      </c>
      <c r="F2742" s="1">
        <f t="shared" si="92"/>
        <v>826.5</v>
      </c>
      <c r="G2742" s="12">
        <f t="shared" si="93"/>
        <v>89.897156684815485</v>
      </c>
    </row>
    <row r="2743" spans="1:7" ht="13">
      <c r="A2743" s="4" t="s">
        <v>120</v>
      </c>
      <c r="B2743" s="1">
        <v>5.16</v>
      </c>
      <c r="C2743" s="1">
        <v>354</v>
      </c>
      <c r="D2743" s="1" t="s">
        <v>42</v>
      </c>
      <c r="E2743" s="1" t="s">
        <v>22</v>
      </c>
      <c r="F2743" s="1">
        <f t="shared" si="92"/>
        <v>516</v>
      </c>
      <c r="G2743" s="12">
        <f t="shared" si="93"/>
        <v>68.604651162790702</v>
      </c>
    </row>
    <row r="2744" spans="1:7" ht="13">
      <c r="A2744" s="4" t="s">
        <v>120</v>
      </c>
      <c r="B2744" s="1">
        <v>4</v>
      </c>
      <c r="C2744" s="1">
        <v>360</v>
      </c>
      <c r="D2744" s="1" t="s">
        <v>43</v>
      </c>
      <c r="E2744" s="1" t="s">
        <v>17</v>
      </c>
      <c r="F2744" s="1">
        <f t="shared" si="92"/>
        <v>400</v>
      </c>
      <c r="G2744" s="12">
        <f t="shared" si="93"/>
        <v>90</v>
      </c>
    </row>
    <row r="2745" spans="1:7" ht="13">
      <c r="A2745" s="4" t="s">
        <v>120</v>
      </c>
      <c r="B2745" s="1">
        <v>8.1999999999999993</v>
      </c>
      <c r="C2745" s="1">
        <v>730</v>
      </c>
      <c r="D2745" s="1" t="s">
        <v>11</v>
      </c>
      <c r="E2745" s="1" t="s">
        <v>12</v>
      </c>
      <c r="F2745" s="1">
        <f t="shared" si="92"/>
        <v>819.99999999999989</v>
      </c>
      <c r="G2745" s="12">
        <f t="shared" si="93"/>
        <v>89.024390243902445</v>
      </c>
    </row>
    <row r="2746" spans="1:7" ht="13">
      <c r="A2746" s="4" t="s">
        <v>120</v>
      </c>
      <c r="B2746" s="1">
        <v>6.9</v>
      </c>
      <c r="C2746" s="1">
        <v>535</v>
      </c>
      <c r="D2746" s="1" t="s">
        <v>38</v>
      </c>
      <c r="E2746" s="1" t="s">
        <v>8</v>
      </c>
      <c r="F2746" s="1">
        <f t="shared" si="92"/>
        <v>690</v>
      </c>
      <c r="G2746" s="12">
        <f t="shared" si="93"/>
        <v>77.536231884057969</v>
      </c>
    </row>
    <row r="2747" spans="1:7" ht="13">
      <c r="A2747" s="4" t="s">
        <v>120</v>
      </c>
      <c r="B2747" s="1">
        <v>4.8</v>
      </c>
      <c r="C2747" s="1">
        <v>380</v>
      </c>
      <c r="D2747" s="1" t="s">
        <v>11</v>
      </c>
      <c r="E2747" s="1" t="s">
        <v>15</v>
      </c>
      <c r="F2747" s="1">
        <f t="shared" si="92"/>
        <v>480</v>
      </c>
      <c r="G2747" s="12">
        <f t="shared" si="93"/>
        <v>79.166666666666671</v>
      </c>
    </row>
    <row r="2748" spans="1:7" ht="13">
      <c r="A2748" s="4" t="s">
        <v>120</v>
      </c>
      <c r="B2748" s="1">
        <v>5.46</v>
      </c>
      <c r="C2748" s="1">
        <v>447</v>
      </c>
      <c r="D2748" s="1" t="s">
        <v>43</v>
      </c>
      <c r="E2748" s="1" t="s">
        <v>15</v>
      </c>
      <c r="F2748" s="1">
        <f t="shared" si="92"/>
        <v>546</v>
      </c>
      <c r="G2748" s="12">
        <f t="shared" si="93"/>
        <v>81.868131868131869</v>
      </c>
    </row>
    <row r="2749" spans="1:7" ht="13">
      <c r="A2749" s="4" t="s">
        <v>120</v>
      </c>
      <c r="B2749" s="1">
        <v>4.05</v>
      </c>
      <c r="C2749" s="1">
        <v>272</v>
      </c>
      <c r="D2749" s="1" t="s">
        <v>61</v>
      </c>
      <c r="E2749" s="1" t="s">
        <v>30</v>
      </c>
      <c r="F2749" s="1">
        <f t="shared" si="92"/>
        <v>405</v>
      </c>
      <c r="G2749" s="12">
        <f t="shared" si="93"/>
        <v>67.160493827160494</v>
      </c>
    </row>
    <row r="2750" spans="1:7" ht="13">
      <c r="A2750" s="4" t="s">
        <v>120</v>
      </c>
      <c r="B2750" s="1">
        <v>6.4</v>
      </c>
      <c r="C2750" s="1">
        <v>361</v>
      </c>
      <c r="D2750" s="1" t="s">
        <v>33</v>
      </c>
      <c r="E2750" s="1" t="s">
        <v>15</v>
      </c>
      <c r="F2750" s="1">
        <f t="shared" si="92"/>
        <v>640</v>
      </c>
      <c r="G2750" s="12">
        <f t="shared" si="93"/>
        <v>56.40625</v>
      </c>
    </row>
    <row r="2751" spans="1:7" ht="13">
      <c r="A2751" s="4" t="s">
        <v>120</v>
      </c>
      <c r="B2751" s="1">
        <v>6.8</v>
      </c>
      <c r="C2751" s="1">
        <v>589</v>
      </c>
      <c r="D2751" s="1" t="s">
        <v>11</v>
      </c>
      <c r="E2751" s="1" t="s">
        <v>23</v>
      </c>
      <c r="F2751" s="1">
        <f t="shared" si="92"/>
        <v>680</v>
      </c>
      <c r="G2751" s="12">
        <f t="shared" si="93"/>
        <v>86.617647058823536</v>
      </c>
    </row>
    <row r="2752" spans="1:7" ht="13">
      <c r="A2752" s="4" t="s">
        <v>120</v>
      </c>
      <c r="B2752" s="1">
        <v>5.88</v>
      </c>
      <c r="C2752" s="1">
        <v>438</v>
      </c>
      <c r="D2752" s="1" t="s">
        <v>11</v>
      </c>
      <c r="E2752" s="1" t="s">
        <v>15</v>
      </c>
      <c r="F2752" s="1">
        <f t="shared" si="92"/>
        <v>588</v>
      </c>
      <c r="G2752" s="12">
        <f t="shared" si="93"/>
        <v>74.489795918367349</v>
      </c>
    </row>
    <row r="2753" spans="1:7" ht="13">
      <c r="A2753" s="4" t="s">
        <v>120</v>
      </c>
      <c r="B2753" s="1">
        <v>7.3</v>
      </c>
      <c r="C2753" s="1">
        <v>562</v>
      </c>
      <c r="D2753" s="1" t="s">
        <v>47</v>
      </c>
      <c r="E2753" s="1" t="s">
        <v>28</v>
      </c>
      <c r="F2753" s="1">
        <f t="shared" si="92"/>
        <v>730</v>
      </c>
      <c r="G2753" s="12">
        <f t="shared" si="93"/>
        <v>76.986301369863014</v>
      </c>
    </row>
    <row r="2754" spans="1:7" ht="13">
      <c r="A2754" s="4" t="s">
        <v>120</v>
      </c>
      <c r="B2754" s="1">
        <v>6.96</v>
      </c>
      <c r="C2754" s="1">
        <v>371</v>
      </c>
      <c r="D2754" s="1" t="s">
        <v>43</v>
      </c>
      <c r="E2754" s="1" t="s">
        <v>8</v>
      </c>
      <c r="F2754" s="1">
        <f t="shared" si="92"/>
        <v>696</v>
      </c>
      <c r="G2754" s="12">
        <f t="shared" si="93"/>
        <v>53.304597701149426</v>
      </c>
    </row>
    <row r="2755" spans="1:7" ht="13">
      <c r="A2755" s="4" t="s">
        <v>120</v>
      </c>
      <c r="B2755" s="1">
        <v>5.6</v>
      </c>
      <c r="C2755" s="1">
        <v>429</v>
      </c>
      <c r="D2755" s="1" t="s">
        <v>94</v>
      </c>
      <c r="E2755" s="1" t="s">
        <v>22</v>
      </c>
      <c r="F2755" s="1">
        <f t="shared" ref="F2755:F2818" si="94">B2755*100</f>
        <v>560</v>
      </c>
      <c r="G2755" s="12">
        <f t="shared" ref="G2755:G2818" si="95">C2755/B2755</f>
        <v>76.607142857142861</v>
      </c>
    </row>
    <row r="2756" spans="1:7" ht="13">
      <c r="A2756" s="4" t="s">
        <v>120</v>
      </c>
      <c r="B2756" s="1">
        <v>6.25</v>
      </c>
      <c r="C2756" s="1">
        <v>590</v>
      </c>
      <c r="D2756" s="1" t="s">
        <v>11</v>
      </c>
      <c r="E2756" s="1" t="s">
        <v>32</v>
      </c>
      <c r="F2756" s="1">
        <f t="shared" si="94"/>
        <v>625</v>
      </c>
      <c r="G2756" s="12">
        <f t="shared" si="95"/>
        <v>94.4</v>
      </c>
    </row>
    <row r="2757" spans="1:7" ht="13">
      <c r="A2757" s="4" t="s">
        <v>120</v>
      </c>
      <c r="B2757" s="1">
        <v>4</v>
      </c>
      <c r="C2757" s="1">
        <v>301</v>
      </c>
      <c r="D2757" s="1" t="s">
        <v>11</v>
      </c>
      <c r="E2757" s="1" t="s">
        <v>28</v>
      </c>
      <c r="F2757" s="1">
        <f t="shared" si="94"/>
        <v>400</v>
      </c>
      <c r="G2757" s="12">
        <f t="shared" si="95"/>
        <v>75.25</v>
      </c>
    </row>
    <row r="2758" spans="1:7" ht="13">
      <c r="A2758" s="4" t="s">
        <v>120</v>
      </c>
      <c r="B2758" s="1">
        <v>6.72</v>
      </c>
      <c r="C2758" s="1">
        <v>407</v>
      </c>
      <c r="D2758" s="1" t="s">
        <v>39</v>
      </c>
      <c r="E2758" s="1" t="s">
        <v>25</v>
      </c>
      <c r="F2758" s="1">
        <f t="shared" si="94"/>
        <v>672</v>
      </c>
      <c r="G2758" s="12">
        <f t="shared" si="95"/>
        <v>60.56547619047619</v>
      </c>
    </row>
    <row r="2759" spans="1:7" ht="13">
      <c r="A2759" s="4" t="s">
        <v>120</v>
      </c>
      <c r="B2759" s="1">
        <v>5</v>
      </c>
      <c r="C2759" s="1">
        <v>521</v>
      </c>
      <c r="D2759" s="1" t="s">
        <v>33</v>
      </c>
      <c r="E2759" s="1" t="s">
        <v>32</v>
      </c>
      <c r="F2759" s="1">
        <f t="shared" si="94"/>
        <v>500</v>
      </c>
      <c r="G2759" s="12">
        <f t="shared" si="95"/>
        <v>104.2</v>
      </c>
    </row>
    <row r="2760" spans="1:7" ht="13">
      <c r="A2760" s="4" t="s">
        <v>120</v>
      </c>
      <c r="B2760" s="1">
        <v>8.1999999999999993</v>
      </c>
      <c r="C2760" s="1">
        <v>777</v>
      </c>
      <c r="D2760" s="1" t="s">
        <v>11</v>
      </c>
      <c r="E2760" s="1" t="s">
        <v>17</v>
      </c>
      <c r="F2760" s="1">
        <f t="shared" si="94"/>
        <v>819.99999999999989</v>
      </c>
      <c r="G2760" s="12">
        <f t="shared" si="95"/>
        <v>94.756097560975618</v>
      </c>
    </row>
    <row r="2761" spans="1:7" ht="13">
      <c r="A2761" s="4" t="s">
        <v>120</v>
      </c>
      <c r="B2761" s="1">
        <v>4.3</v>
      </c>
      <c r="C2761" s="1">
        <v>324</v>
      </c>
      <c r="D2761" s="1" t="s">
        <v>34</v>
      </c>
      <c r="E2761" s="1" t="s">
        <v>15</v>
      </c>
      <c r="F2761" s="1">
        <f t="shared" si="94"/>
        <v>430</v>
      </c>
      <c r="G2761" s="12">
        <f t="shared" si="95"/>
        <v>75.348837209302332</v>
      </c>
    </row>
    <row r="2762" spans="1:7" ht="13">
      <c r="A2762" s="4" t="s">
        <v>120</v>
      </c>
      <c r="B2762" s="1">
        <v>6.2</v>
      </c>
      <c r="C2762" s="1">
        <v>458</v>
      </c>
      <c r="D2762" s="1" t="s">
        <v>11</v>
      </c>
      <c r="E2762" s="1" t="s">
        <v>7</v>
      </c>
      <c r="F2762" s="1">
        <f t="shared" si="94"/>
        <v>620</v>
      </c>
      <c r="G2762" s="12">
        <f t="shared" si="95"/>
        <v>73.870967741935488</v>
      </c>
    </row>
    <row r="2763" spans="1:7" ht="13">
      <c r="A2763" s="4" t="s">
        <v>120</v>
      </c>
      <c r="B2763" s="1">
        <v>6.72</v>
      </c>
      <c r="C2763" s="1">
        <v>540</v>
      </c>
      <c r="D2763" s="1" t="s">
        <v>47</v>
      </c>
      <c r="E2763" s="1" t="s">
        <v>15</v>
      </c>
      <c r="F2763" s="1">
        <f t="shared" si="94"/>
        <v>672</v>
      </c>
      <c r="G2763" s="12">
        <f t="shared" si="95"/>
        <v>80.357142857142861</v>
      </c>
    </row>
    <row r="2764" spans="1:7" ht="13">
      <c r="A2764" s="4" t="s">
        <v>120</v>
      </c>
      <c r="B2764" s="1">
        <v>7.64</v>
      </c>
      <c r="C2764" s="1">
        <v>584</v>
      </c>
      <c r="D2764" s="1" t="s">
        <v>11</v>
      </c>
      <c r="E2764" s="1" t="s">
        <v>7</v>
      </c>
      <c r="F2764" s="1">
        <f t="shared" si="94"/>
        <v>764</v>
      </c>
      <c r="G2764" s="12">
        <f t="shared" si="95"/>
        <v>76.439790575916234</v>
      </c>
    </row>
    <row r="2765" spans="1:7" ht="13">
      <c r="A2765" s="4" t="s">
        <v>120</v>
      </c>
      <c r="B2765" s="1">
        <v>8.6999999999999993</v>
      </c>
      <c r="C2765" s="1">
        <v>788</v>
      </c>
      <c r="D2765" s="1" t="s">
        <v>11</v>
      </c>
      <c r="E2765" s="1" t="s">
        <v>27</v>
      </c>
      <c r="F2765" s="1">
        <f t="shared" si="94"/>
        <v>869.99999999999989</v>
      </c>
      <c r="G2765" s="12">
        <f t="shared" si="95"/>
        <v>90.574712643678168</v>
      </c>
    </row>
    <row r="2766" spans="1:7" ht="13">
      <c r="A2766" s="4" t="s">
        <v>120</v>
      </c>
      <c r="B2766" s="1">
        <v>6.72</v>
      </c>
      <c r="C2766" s="1">
        <v>458</v>
      </c>
      <c r="D2766" s="1" t="s">
        <v>33</v>
      </c>
      <c r="E2766" s="1" t="s">
        <v>27</v>
      </c>
      <c r="F2766" s="1">
        <f t="shared" si="94"/>
        <v>672</v>
      </c>
      <c r="G2766" s="12">
        <f t="shared" si="95"/>
        <v>68.154761904761912</v>
      </c>
    </row>
    <row r="2767" spans="1:7" ht="13">
      <c r="A2767" s="4" t="s">
        <v>120</v>
      </c>
      <c r="B2767" s="1">
        <v>4.3</v>
      </c>
      <c r="C2767" s="1">
        <v>270</v>
      </c>
      <c r="D2767" s="1" t="s">
        <v>11</v>
      </c>
      <c r="E2767" s="1" t="s">
        <v>10</v>
      </c>
      <c r="F2767" s="1">
        <f t="shared" si="94"/>
        <v>430</v>
      </c>
      <c r="G2767" s="12">
        <f t="shared" si="95"/>
        <v>62.79069767441861</v>
      </c>
    </row>
    <row r="2768" spans="1:7" ht="13">
      <c r="A2768" s="4" t="s">
        <v>120</v>
      </c>
      <c r="B2768" s="1">
        <v>7.74</v>
      </c>
      <c r="C2768" s="1">
        <v>488</v>
      </c>
      <c r="D2768" s="1" t="s">
        <v>33</v>
      </c>
      <c r="E2768" s="1" t="s">
        <v>16</v>
      </c>
      <c r="F2768" s="1">
        <f t="shared" si="94"/>
        <v>774</v>
      </c>
      <c r="G2768" s="12">
        <f t="shared" si="95"/>
        <v>63.049095607235138</v>
      </c>
    </row>
    <row r="2769" spans="1:7" ht="13">
      <c r="A2769" s="4" t="s">
        <v>120</v>
      </c>
      <c r="B2769" s="1">
        <v>6.88</v>
      </c>
      <c r="C2769" s="1">
        <v>438</v>
      </c>
      <c r="D2769" s="1" t="s">
        <v>53</v>
      </c>
      <c r="E2769" s="1" t="s">
        <v>16</v>
      </c>
      <c r="F2769" s="1">
        <f t="shared" si="94"/>
        <v>688</v>
      </c>
      <c r="G2769" s="12">
        <f t="shared" si="95"/>
        <v>63.662790697674417</v>
      </c>
    </row>
    <row r="2770" spans="1:7" ht="13">
      <c r="A2770" s="4" t="s">
        <v>120</v>
      </c>
      <c r="B2770" s="1">
        <v>7.83</v>
      </c>
      <c r="C2770" s="1">
        <v>648</v>
      </c>
      <c r="D2770" s="1" t="s">
        <v>11</v>
      </c>
      <c r="E2770" s="1" t="s">
        <v>32</v>
      </c>
      <c r="F2770" s="1">
        <f t="shared" si="94"/>
        <v>783</v>
      </c>
      <c r="G2770" s="12">
        <f t="shared" si="95"/>
        <v>82.758620689655174</v>
      </c>
    </row>
    <row r="2771" spans="1:7" ht="13">
      <c r="A2771" s="4" t="s">
        <v>120</v>
      </c>
      <c r="B2771" s="1">
        <v>8.6999999999999993</v>
      </c>
      <c r="C2771" s="1">
        <v>603</v>
      </c>
      <c r="D2771" s="1" t="s">
        <v>42</v>
      </c>
      <c r="E2771" s="1" t="s">
        <v>20</v>
      </c>
      <c r="F2771" s="1">
        <f t="shared" si="94"/>
        <v>869.99999999999989</v>
      </c>
      <c r="G2771" s="12">
        <f t="shared" si="95"/>
        <v>69.310344827586206</v>
      </c>
    </row>
    <row r="2772" spans="1:7" ht="13">
      <c r="A2772" s="4" t="s">
        <v>121</v>
      </c>
      <c r="B2772" s="1">
        <v>6</v>
      </c>
      <c r="C2772" s="1">
        <v>279</v>
      </c>
      <c r="D2772" s="1" t="s">
        <v>38</v>
      </c>
      <c r="E2772" s="1" t="s">
        <v>22</v>
      </c>
      <c r="F2772" s="1">
        <f t="shared" si="94"/>
        <v>600</v>
      </c>
      <c r="G2772" s="12">
        <f t="shared" si="95"/>
        <v>46.5</v>
      </c>
    </row>
    <row r="2773" spans="1:7" ht="13">
      <c r="A2773" s="4" t="s">
        <v>121</v>
      </c>
      <c r="B2773" s="1">
        <v>9.1999999999999993</v>
      </c>
      <c r="C2773" s="1">
        <v>364</v>
      </c>
      <c r="D2773" s="1" t="s">
        <v>37</v>
      </c>
      <c r="E2773" s="1" t="s">
        <v>18</v>
      </c>
      <c r="F2773" s="1">
        <f t="shared" si="94"/>
        <v>919.99999999999989</v>
      </c>
      <c r="G2773" s="12">
        <f t="shared" si="95"/>
        <v>39.565217391304351</v>
      </c>
    </row>
    <row r="2774" spans="1:7" ht="13">
      <c r="A2774" s="4" t="s">
        <v>121</v>
      </c>
      <c r="B2774" s="1">
        <v>7.2</v>
      </c>
      <c r="C2774" s="1">
        <v>320</v>
      </c>
      <c r="D2774" s="1" t="s">
        <v>33</v>
      </c>
      <c r="E2774" s="1" t="s">
        <v>15</v>
      </c>
      <c r="F2774" s="1">
        <f t="shared" si="94"/>
        <v>720</v>
      </c>
      <c r="G2774" s="12">
        <f t="shared" si="95"/>
        <v>44.444444444444443</v>
      </c>
    </row>
    <row r="2775" spans="1:7" ht="13">
      <c r="A2775" s="4" t="s">
        <v>121</v>
      </c>
      <c r="B2775" s="1">
        <v>6</v>
      </c>
      <c r="C2775" s="1">
        <v>261</v>
      </c>
      <c r="D2775" s="1" t="s">
        <v>33</v>
      </c>
      <c r="E2775" s="1" t="s">
        <v>16</v>
      </c>
      <c r="F2775" s="1">
        <f t="shared" si="94"/>
        <v>600</v>
      </c>
      <c r="G2775" s="12">
        <f t="shared" si="95"/>
        <v>43.5</v>
      </c>
    </row>
    <row r="2776" spans="1:7" ht="13">
      <c r="A2776" s="4" t="s">
        <v>121</v>
      </c>
      <c r="B2776" s="1">
        <v>3.44</v>
      </c>
      <c r="C2776" s="1">
        <v>219</v>
      </c>
      <c r="D2776" s="1" t="s">
        <v>39</v>
      </c>
      <c r="E2776" s="1" t="s">
        <v>15</v>
      </c>
      <c r="F2776" s="1">
        <f t="shared" si="94"/>
        <v>344</v>
      </c>
      <c r="G2776" s="12">
        <f t="shared" si="95"/>
        <v>63.662790697674417</v>
      </c>
    </row>
    <row r="2777" spans="1:7" ht="13">
      <c r="A2777" s="4" t="s">
        <v>121</v>
      </c>
      <c r="B2777" s="1">
        <v>5</v>
      </c>
      <c r="C2777" s="1">
        <v>278</v>
      </c>
      <c r="D2777" s="1" t="s">
        <v>35</v>
      </c>
      <c r="E2777" s="1" t="s">
        <v>17</v>
      </c>
      <c r="F2777" s="1">
        <f t="shared" si="94"/>
        <v>500</v>
      </c>
      <c r="G2777" s="12">
        <f t="shared" si="95"/>
        <v>55.6</v>
      </c>
    </row>
    <row r="2778" spans="1:7" ht="13">
      <c r="A2778" s="4" t="s">
        <v>121</v>
      </c>
      <c r="B2778" s="1">
        <v>9.5</v>
      </c>
      <c r="C2778" s="1">
        <v>356</v>
      </c>
      <c r="D2778" s="1" t="s">
        <v>58</v>
      </c>
      <c r="E2778" s="1" t="s">
        <v>18</v>
      </c>
      <c r="F2778" s="1">
        <f t="shared" si="94"/>
        <v>950</v>
      </c>
      <c r="G2778" s="12">
        <f t="shared" si="95"/>
        <v>37.473684210526315</v>
      </c>
    </row>
    <row r="2779" spans="1:7" ht="13">
      <c r="A2779" s="4" t="s">
        <v>121</v>
      </c>
      <c r="B2779" s="1">
        <v>4.9000000000000004</v>
      </c>
      <c r="C2779" s="1">
        <v>237.49</v>
      </c>
      <c r="D2779" s="1" t="s">
        <v>35</v>
      </c>
      <c r="E2779" s="1" t="s">
        <v>19</v>
      </c>
      <c r="F2779" s="1">
        <f t="shared" si="94"/>
        <v>490.00000000000006</v>
      </c>
      <c r="G2779" s="12">
        <f t="shared" si="95"/>
        <v>48.467346938775506</v>
      </c>
    </row>
    <row r="2780" spans="1:7" ht="13">
      <c r="A2780" s="4" t="s">
        <v>121</v>
      </c>
      <c r="B2780" s="1">
        <v>8.8000000000000007</v>
      </c>
      <c r="C2780" s="1">
        <v>418</v>
      </c>
      <c r="D2780" s="1" t="s">
        <v>42</v>
      </c>
      <c r="E2780" s="1" t="s">
        <v>32</v>
      </c>
      <c r="F2780" s="1">
        <f t="shared" si="94"/>
        <v>880.00000000000011</v>
      </c>
      <c r="G2780" s="12">
        <f t="shared" si="95"/>
        <v>47.499999999999993</v>
      </c>
    </row>
    <row r="2781" spans="1:7" ht="13">
      <c r="A2781" s="4" t="s">
        <v>121</v>
      </c>
      <c r="B2781" s="1">
        <v>6.4</v>
      </c>
      <c r="C2781" s="1">
        <v>382</v>
      </c>
      <c r="D2781" s="1" t="s">
        <v>11</v>
      </c>
      <c r="E2781" s="1" t="s">
        <v>32</v>
      </c>
      <c r="F2781" s="1">
        <f t="shared" si="94"/>
        <v>640</v>
      </c>
      <c r="G2781" s="12">
        <f t="shared" si="95"/>
        <v>59.6875</v>
      </c>
    </row>
    <row r="2782" spans="1:7" ht="13">
      <c r="A2782" s="4" t="s">
        <v>121</v>
      </c>
      <c r="B2782" s="1">
        <v>7.2</v>
      </c>
      <c r="C2782" s="1">
        <v>422</v>
      </c>
      <c r="D2782" s="1" t="s">
        <v>11</v>
      </c>
      <c r="E2782" s="1" t="s">
        <v>7</v>
      </c>
      <c r="F2782" s="1">
        <f t="shared" si="94"/>
        <v>720</v>
      </c>
      <c r="G2782" s="12">
        <f t="shared" si="95"/>
        <v>58.611111111111107</v>
      </c>
    </row>
    <row r="2783" spans="1:7" ht="13">
      <c r="A2783" s="4" t="s">
        <v>121</v>
      </c>
      <c r="B2783" s="1">
        <v>5.6</v>
      </c>
      <c r="C2783" s="1">
        <v>164</v>
      </c>
      <c r="D2783" s="1" t="s">
        <v>102</v>
      </c>
      <c r="E2783" s="1" t="s">
        <v>26</v>
      </c>
      <c r="F2783" s="1">
        <f t="shared" si="94"/>
        <v>560</v>
      </c>
      <c r="G2783" s="12">
        <f t="shared" si="95"/>
        <v>29.285714285714288</v>
      </c>
    </row>
    <row r="2784" spans="1:7" ht="13">
      <c r="A2784" s="4" t="s">
        <v>121</v>
      </c>
      <c r="B2784" s="1">
        <v>5.2</v>
      </c>
      <c r="C2784" s="1">
        <v>266</v>
      </c>
      <c r="D2784" s="1" t="s">
        <v>50</v>
      </c>
      <c r="E2784" s="1" t="s">
        <v>15</v>
      </c>
      <c r="F2784" s="1">
        <f t="shared" si="94"/>
        <v>520</v>
      </c>
      <c r="G2784" s="12">
        <f t="shared" si="95"/>
        <v>51.153846153846153</v>
      </c>
    </row>
    <row r="2785" spans="1:7" ht="13">
      <c r="A2785" s="4" t="s">
        <v>121</v>
      </c>
      <c r="B2785" s="1">
        <v>6.88</v>
      </c>
      <c r="C2785" s="1">
        <v>374</v>
      </c>
      <c r="D2785" s="1" t="s">
        <v>11</v>
      </c>
      <c r="E2785" s="1" t="s">
        <v>8</v>
      </c>
      <c r="F2785" s="1">
        <f t="shared" si="94"/>
        <v>688</v>
      </c>
      <c r="G2785" s="12">
        <f t="shared" si="95"/>
        <v>54.360465116279073</v>
      </c>
    </row>
    <row r="2786" spans="1:7" ht="13">
      <c r="A2786" s="4" t="s">
        <v>121</v>
      </c>
      <c r="B2786" s="1">
        <v>9.6</v>
      </c>
      <c r="C2786" s="1">
        <v>670</v>
      </c>
      <c r="D2786" s="1" t="s">
        <v>11</v>
      </c>
      <c r="E2786" s="1" t="s">
        <v>29</v>
      </c>
      <c r="F2786" s="1">
        <f t="shared" si="94"/>
        <v>960</v>
      </c>
      <c r="G2786" s="12">
        <f t="shared" si="95"/>
        <v>69.791666666666671</v>
      </c>
    </row>
    <row r="2787" spans="1:7" ht="13">
      <c r="A2787" s="4" t="s">
        <v>121</v>
      </c>
      <c r="B2787" s="1">
        <v>7.4</v>
      </c>
      <c r="C2787" s="1">
        <v>373</v>
      </c>
      <c r="D2787" s="1" t="s">
        <v>11</v>
      </c>
      <c r="E2787" s="1" t="s">
        <v>10</v>
      </c>
      <c r="F2787" s="1">
        <f t="shared" si="94"/>
        <v>740</v>
      </c>
      <c r="G2787" s="12">
        <f t="shared" si="95"/>
        <v>50.405405405405403</v>
      </c>
    </row>
    <row r="2788" spans="1:7" ht="13">
      <c r="A2788" s="4" t="s">
        <v>121</v>
      </c>
      <c r="B2788" s="1">
        <v>5.2</v>
      </c>
      <c r="C2788" s="1">
        <v>335</v>
      </c>
      <c r="D2788" s="1" t="s">
        <v>38</v>
      </c>
      <c r="E2788" s="1" t="s">
        <v>9</v>
      </c>
      <c r="F2788" s="1">
        <f t="shared" si="94"/>
        <v>520</v>
      </c>
      <c r="G2788" s="12">
        <f t="shared" si="95"/>
        <v>64.42307692307692</v>
      </c>
    </row>
    <row r="2789" spans="1:7" ht="13">
      <c r="A2789" s="4" t="s">
        <v>121</v>
      </c>
      <c r="B2789" s="1">
        <v>7.83</v>
      </c>
      <c r="C2789" s="1">
        <v>395</v>
      </c>
      <c r="D2789" s="1" t="s">
        <v>11</v>
      </c>
      <c r="E2789" s="1" t="s">
        <v>17</v>
      </c>
      <c r="F2789" s="1">
        <f t="shared" si="94"/>
        <v>783</v>
      </c>
      <c r="G2789" s="12">
        <f t="shared" si="95"/>
        <v>50.446998722860791</v>
      </c>
    </row>
    <row r="2790" spans="1:7" ht="13">
      <c r="A2790" s="4" t="s">
        <v>121</v>
      </c>
      <c r="B2790" s="1">
        <v>7.8</v>
      </c>
      <c r="C2790" s="1">
        <v>477</v>
      </c>
      <c r="D2790" s="1" t="s">
        <v>11</v>
      </c>
      <c r="E2790" s="1" t="s">
        <v>26</v>
      </c>
      <c r="F2790" s="1">
        <f t="shared" si="94"/>
        <v>780</v>
      </c>
      <c r="G2790" s="12">
        <f t="shared" si="95"/>
        <v>61.153846153846153</v>
      </c>
    </row>
    <row r="2791" spans="1:7" ht="13">
      <c r="A2791" s="4" t="s">
        <v>121</v>
      </c>
      <c r="B2791" s="1">
        <v>4</v>
      </c>
      <c r="C2791" s="1">
        <v>245</v>
      </c>
      <c r="D2791" s="1" t="s">
        <v>38</v>
      </c>
      <c r="E2791" s="1" t="s">
        <v>31</v>
      </c>
      <c r="F2791" s="1">
        <f t="shared" si="94"/>
        <v>400</v>
      </c>
      <c r="G2791" s="12">
        <f t="shared" si="95"/>
        <v>61.25</v>
      </c>
    </row>
    <row r="2792" spans="1:7" ht="13">
      <c r="A2792" s="4" t="s">
        <v>121</v>
      </c>
      <c r="B2792" s="1">
        <v>2.87</v>
      </c>
      <c r="C2792" s="1">
        <v>165</v>
      </c>
      <c r="D2792" s="1" t="s">
        <v>11</v>
      </c>
      <c r="E2792" s="1" t="s">
        <v>8</v>
      </c>
      <c r="F2792" s="1">
        <f t="shared" si="94"/>
        <v>287</v>
      </c>
      <c r="G2792" s="12">
        <f t="shared" si="95"/>
        <v>57.491289198606268</v>
      </c>
    </row>
    <row r="2793" spans="1:7" ht="13">
      <c r="A2793" s="4" t="s">
        <v>121</v>
      </c>
      <c r="B2793" s="1">
        <v>7.6</v>
      </c>
      <c r="C2793" s="1">
        <v>240</v>
      </c>
      <c r="D2793" s="1" t="s">
        <v>33</v>
      </c>
      <c r="E2793" s="1" t="s">
        <v>17</v>
      </c>
      <c r="F2793" s="1">
        <f t="shared" si="94"/>
        <v>760</v>
      </c>
      <c r="G2793" s="12">
        <f t="shared" si="95"/>
        <v>31.578947368421055</v>
      </c>
    </row>
    <row r="2794" spans="1:7" ht="13">
      <c r="A2794" s="4" t="s">
        <v>121</v>
      </c>
      <c r="B2794" s="1">
        <v>7.3949999999999996</v>
      </c>
      <c r="C2794" s="1">
        <v>334</v>
      </c>
      <c r="D2794" s="1" t="s">
        <v>11</v>
      </c>
      <c r="E2794" s="1" t="s">
        <v>20</v>
      </c>
      <c r="F2794" s="1">
        <f t="shared" si="94"/>
        <v>739.5</v>
      </c>
      <c r="G2794" s="12">
        <f t="shared" si="95"/>
        <v>45.16565246788371</v>
      </c>
    </row>
    <row r="2795" spans="1:7" ht="13">
      <c r="A2795" s="4" t="s">
        <v>121</v>
      </c>
      <c r="B2795" s="1">
        <v>5.81</v>
      </c>
      <c r="C2795" s="1">
        <v>338</v>
      </c>
      <c r="D2795" s="1" t="s">
        <v>38</v>
      </c>
      <c r="E2795" s="1" t="s">
        <v>8</v>
      </c>
      <c r="F2795" s="1">
        <f t="shared" si="94"/>
        <v>581</v>
      </c>
      <c r="G2795" s="12">
        <f t="shared" si="95"/>
        <v>58.175559380378658</v>
      </c>
    </row>
    <row r="2796" spans="1:7" ht="13">
      <c r="A2796" s="4" t="s">
        <v>121</v>
      </c>
      <c r="B2796" s="1">
        <v>6.4</v>
      </c>
      <c r="C2796" s="1">
        <v>381</v>
      </c>
      <c r="D2796" s="1" t="s">
        <v>11</v>
      </c>
      <c r="E2796" s="1" t="s">
        <v>16</v>
      </c>
      <c r="F2796" s="1">
        <f t="shared" si="94"/>
        <v>640</v>
      </c>
      <c r="G2796" s="12">
        <f t="shared" si="95"/>
        <v>59.53125</v>
      </c>
    </row>
    <row r="2797" spans="1:7" ht="13">
      <c r="A2797" s="4" t="s">
        <v>121</v>
      </c>
      <c r="B2797" s="1">
        <v>4</v>
      </c>
      <c r="C2797" s="1">
        <v>300</v>
      </c>
      <c r="D2797" s="1" t="s">
        <v>11</v>
      </c>
      <c r="E2797" s="1" t="s">
        <v>24</v>
      </c>
      <c r="F2797" s="1">
        <f t="shared" si="94"/>
        <v>400</v>
      </c>
      <c r="G2797" s="12">
        <f t="shared" si="95"/>
        <v>75</v>
      </c>
    </row>
    <row r="2798" spans="1:7" ht="13">
      <c r="A2798" s="4" t="s">
        <v>121</v>
      </c>
      <c r="B2798" s="1">
        <v>5.4</v>
      </c>
      <c r="C2798" s="1">
        <v>364</v>
      </c>
      <c r="D2798" s="1" t="s">
        <v>39</v>
      </c>
      <c r="E2798" s="1" t="s">
        <v>8</v>
      </c>
      <c r="F2798" s="1">
        <f t="shared" si="94"/>
        <v>540</v>
      </c>
      <c r="G2798" s="12">
        <f t="shared" si="95"/>
        <v>67.407407407407405</v>
      </c>
    </row>
    <row r="2799" spans="1:7" ht="13">
      <c r="A2799" s="4" t="s">
        <v>121</v>
      </c>
      <c r="B2799" s="1">
        <v>3.85</v>
      </c>
      <c r="C2799" s="1">
        <v>270</v>
      </c>
      <c r="D2799" s="1" t="s">
        <v>55</v>
      </c>
      <c r="E2799" s="1" t="s">
        <v>15</v>
      </c>
      <c r="F2799" s="1">
        <f t="shared" si="94"/>
        <v>385</v>
      </c>
      <c r="G2799" s="12">
        <f t="shared" si="95"/>
        <v>70.129870129870127</v>
      </c>
    </row>
    <row r="2800" spans="1:7" ht="13">
      <c r="A2800" s="4" t="s">
        <v>121</v>
      </c>
      <c r="B2800" s="1">
        <v>6.24</v>
      </c>
      <c r="C2800" s="1">
        <v>465</v>
      </c>
      <c r="D2800" s="1" t="s">
        <v>11</v>
      </c>
      <c r="E2800" s="1" t="s">
        <v>17</v>
      </c>
      <c r="F2800" s="1">
        <f t="shared" si="94"/>
        <v>624</v>
      </c>
      <c r="G2800" s="12">
        <f t="shared" si="95"/>
        <v>74.519230769230774</v>
      </c>
    </row>
    <row r="2801" spans="1:7" ht="13">
      <c r="A2801" s="4" t="s">
        <v>121</v>
      </c>
      <c r="B2801" s="1">
        <v>7.7</v>
      </c>
      <c r="C2801" s="1">
        <v>378</v>
      </c>
      <c r="D2801" s="1" t="s">
        <v>11</v>
      </c>
      <c r="E2801" s="1" t="s">
        <v>25</v>
      </c>
      <c r="F2801" s="1">
        <f t="shared" si="94"/>
        <v>770</v>
      </c>
      <c r="G2801" s="12">
        <f t="shared" si="95"/>
        <v>49.090909090909086</v>
      </c>
    </row>
    <row r="2802" spans="1:7" ht="13">
      <c r="A2802" s="4" t="s">
        <v>121</v>
      </c>
      <c r="B2802" s="1">
        <v>5.16</v>
      </c>
      <c r="C2802" s="1">
        <v>191</v>
      </c>
      <c r="D2802" s="1" t="s">
        <v>42</v>
      </c>
      <c r="E2802" s="1" t="s">
        <v>22</v>
      </c>
      <c r="F2802" s="1">
        <f t="shared" si="94"/>
        <v>516</v>
      </c>
      <c r="G2802" s="12">
        <f t="shared" si="95"/>
        <v>37.015503875968989</v>
      </c>
    </row>
    <row r="2803" spans="1:7" ht="13">
      <c r="A2803" s="4" t="s">
        <v>121</v>
      </c>
      <c r="B2803" s="1">
        <v>7.5</v>
      </c>
      <c r="C2803" s="1">
        <v>294</v>
      </c>
      <c r="D2803" s="1" t="s">
        <v>11</v>
      </c>
      <c r="E2803" s="1" t="s">
        <v>16</v>
      </c>
      <c r="F2803" s="1">
        <f t="shared" si="94"/>
        <v>750</v>
      </c>
      <c r="G2803" s="12">
        <f t="shared" si="95"/>
        <v>39.200000000000003</v>
      </c>
    </row>
    <row r="2804" spans="1:7" ht="13">
      <c r="A2804" s="4" t="s">
        <v>121</v>
      </c>
      <c r="B2804" s="1">
        <v>7</v>
      </c>
      <c r="C2804" s="1">
        <v>272</v>
      </c>
      <c r="D2804" s="1" t="s">
        <v>33</v>
      </c>
      <c r="E2804" s="1" t="s">
        <v>20</v>
      </c>
      <c r="F2804" s="1">
        <f t="shared" si="94"/>
        <v>700</v>
      </c>
      <c r="G2804" s="12">
        <f t="shared" si="95"/>
        <v>38.857142857142854</v>
      </c>
    </row>
    <row r="2805" spans="1:7" ht="13">
      <c r="A2805" s="4" t="s">
        <v>121</v>
      </c>
      <c r="B2805" s="1">
        <v>4.4000000000000004</v>
      </c>
      <c r="C2805" s="1">
        <v>280</v>
      </c>
      <c r="D2805" s="1" t="s">
        <v>11</v>
      </c>
      <c r="E2805" s="1" t="s">
        <v>15</v>
      </c>
      <c r="F2805" s="1">
        <f t="shared" si="94"/>
        <v>440.00000000000006</v>
      </c>
      <c r="G2805" s="12">
        <f t="shared" si="95"/>
        <v>63.636363636363633</v>
      </c>
    </row>
    <row r="2806" spans="1:7" ht="13">
      <c r="A2806" s="4" t="s">
        <v>121</v>
      </c>
      <c r="B2806" s="1">
        <v>8</v>
      </c>
      <c r="C2806" s="1">
        <v>392</v>
      </c>
      <c r="D2806" s="1" t="s">
        <v>11</v>
      </c>
      <c r="E2806" s="1" t="s">
        <v>22</v>
      </c>
      <c r="F2806" s="1">
        <f t="shared" si="94"/>
        <v>800</v>
      </c>
      <c r="G2806" s="12">
        <f t="shared" si="95"/>
        <v>49</v>
      </c>
    </row>
    <row r="2807" spans="1:7" ht="13">
      <c r="A2807" s="4" t="s">
        <v>121</v>
      </c>
      <c r="B2807" s="1">
        <v>9</v>
      </c>
      <c r="C2807" s="1">
        <v>404</v>
      </c>
      <c r="D2807" s="1" t="s">
        <v>44</v>
      </c>
      <c r="E2807" s="1" t="s">
        <v>25</v>
      </c>
      <c r="F2807" s="1">
        <f t="shared" si="94"/>
        <v>900</v>
      </c>
      <c r="G2807" s="12">
        <f t="shared" si="95"/>
        <v>44.888888888888886</v>
      </c>
    </row>
    <row r="2808" spans="1:7" ht="13">
      <c r="A2808" s="4" t="s">
        <v>121</v>
      </c>
      <c r="B2808" s="1">
        <v>6.3</v>
      </c>
      <c r="C2808" s="1">
        <v>282</v>
      </c>
      <c r="D2808" s="1" t="s">
        <v>43</v>
      </c>
      <c r="E2808" s="1" t="s">
        <v>29</v>
      </c>
      <c r="F2808" s="1">
        <f t="shared" si="94"/>
        <v>630</v>
      </c>
      <c r="G2808" s="12">
        <f t="shared" si="95"/>
        <v>44.761904761904766</v>
      </c>
    </row>
    <row r="2809" spans="1:7" ht="13">
      <c r="A2809" s="4" t="s">
        <v>121</v>
      </c>
      <c r="B2809" s="1">
        <v>6.6</v>
      </c>
      <c r="C2809" s="1">
        <v>324</v>
      </c>
      <c r="D2809" s="1" t="s">
        <v>43</v>
      </c>
      <c r="E2809" s="1" t="s">
        <v>17</v>
      </c>
      <c r="F2809" s="1">
        <f t="shared" si="94"/>
        <v>660</v>
      </c>
      <c r="G2809" s="12">
        <f t="shared" si="95"/>
        <v>49.090909090909093</v>
      </c>
    </row>
    <row r="2810" spans="1:7" ht="13">
      <c r="A2810" s="4" t="s">
        <v>121</v>
      </c>
      <c r="B2810" s="1">
        <v>8.1999999999999993</v>
      </c>
      <c r="C2810" s="1">
        <v>436</v>
      </c>
      <c r="D2810" s="1" t="s">
        <v>11</v>
      </c>
      <c r="E2810" s="1" t="s">
        <v>12</v>
      </c>
      <c r="F2810" s="1">
        <f t="shared" si="94"/>
        <v>819.99999999999989</v>
      </c>
      <c r="G2810" s="12">
        <f t="shared" si="95"/>
        <v>53.170731707317081</v>
      </c>
    </row>
    <row r="2811" spans="1:7" ht="13">
      <c r="A2811" s="4" t="s">
        <v>121</v>
      </c>
      <c r="B2811" s="1">
        <v>8.5</v>
      </c>
      <c r="C2811" s="1">
        <v>284</v>
      </c>
      <c r="D2811" s="1" t="s">
        <v>33</v>
      </c>
      <c r="E2811" s="1" t="s">
        <v>46</v>
      </c>
      <c r="F2811" s="1">
        <f t="shared" si="94"/>
        <v>850</v>
      </c>
      <c r="G2811" s="12">
        <f t="shared" si="95"/>
        <v>33.411764705882355</v>
      </c>
    </row>
    <row r="2812" spans="1:7" ht="13">
      <c r="A2812" s="4" t="s">
        <v>121</v>
      </c>
      <c r="B2812" s="1">
        <v>8.6</v>
      </c>
      <c r="C2812" s="1">
        <v>483</v>
      </c>
      <c r="D2812" s="1" t="s">
        <v>11</v>
      </c>
      <c r="E2812" s="1" t="s">
        <v>9</v>
      </c>
      <c r="F2812" s="1">
        <f t="shared" si="94"/>
        <v>860</v>
      </c>
      <c r="G2812" s="12">
        <f t="shared" si="95"/>
        <v>56.162790697674424</v>
      </c>
    </row>
    <row r="2813" spans="1:7" ht="13">
      <c r="A2813" s="4" t="s">
        <v>121</v>
      </c>
      <c r="B2813" s="1">
        <v>3.44</v>
      </c>
      <c r="C2813" s="1">
        <v>212</v>
      </c>
      <c r="D2813" s="1" t="s">
        <v>43</v>
      </c>
      <c r="E2813" s="1" t="s">
        <v>8</v>
      </c>
      <c r="F2813" s="1">
        <f t="shared" si="94"/>
        <v>344</v>
      </c>
      <c r="G2813" s="12">
        <f t="shared" si="95"/>
        <v>61.627906976744185</v>
      </c>
    </row>
    <row r="2814" spans="1:7" ht="13">
      <c r="A2814" s="4" t="s">
        <v>121</v>
      </c>
      <c r="B2814" s="1">
        <v>6.9</v>
      </c>
      <c r="C2814" s="1">
        <v>395</v>
      </c>
      <c r="D2814" s="1" t="s">
        <v>11</v>
      </c>
      <c r="E2814" s="1" t="s">
        <v>26</v>
      </c>
      <c r="F2814" s="1">
        <f t="shared" si="94"/>
        <v>690</v>
      </c>
      <c r="G2814" s="12">
        <f t="shared" si="95"/>
        <v>57.246376811594203</v>
      </c>
    </row>
    <row r="2815" spans="1:7" ht="13">
      <c r="A2815" s="4" t="s">
        <v>121</v>
      </c>
      <c r="B2815" s="1">
        <v>4.0999999999999996</v>
      </c>
      <c r="C2815" s="1">
        <v>210</v>
      </c>
      <c r="D2815" s="1" t="s">
        <v>11</v>
      </c>
      <c r="E2815" s="1" t="s">
        <v>18</v>
      </c>
      <c r="F2815" s="1">
        <f t="shared" si="94"/>
        <v>409.99999999999994</v>
      </c>
      <c r="G2815" s="12">
        <f t="shared" si="95"/>
        <v>51.219512195121958</v>
      </c>
    </row>
    <row r="2816" spans="1:7" ht="13">
      <c r="A2816" s="4" t="s">
        <v>121</v>
      </c>
      <c r="B2816" s="1">
        <v>6.2</v>
      </c>
      <c r="C2816" s="1">
        <v>313</v>
      </c>
      <c r="D2816" s="1" t="s">
        <v>11</v>
      </c>
      <c r="E2816" s="1" t="s">
        <v>7</v>
      </c>
      <c r="F2816" s="1">
        <f t="shared" si="94"/>
        <v>620</v>
      </c>
      <c r="G2816" s="12">
        <f t="shared" si="95"/>
        <v>50.483870967741936</v>
      </c>
    </row>
    <row r="2817" spans="1:7" ht="13">
      <c r="A2817" s="4" t="s">
        <v>121</v>
      </c>
      <c r="B2817" s="1">
        <v>5.0999999999999996</v>
      </c>
      <c r="C2817" s="1">
        <v>227</v>
      </c>
      <c r="D2817" s="1" t="s">
        <v>11</v>
      </c>
      <c r="E2817" s="1" t="s">
        <v>8</v>
      </c>
      <c r="F2817" s="1">
        <f t="shared" si="94"/>
        <v>509.99999999999994</v>
      </c>
      <c r="G2817" s="12">
        <f t="shared" si="95"/>
        <v>44.509803921568633</v>
      </c>
    </row>
    <row r="2818" spans="1:7" ht="13">
      <c r="A2818" s="4" t="s">
        <v>121</v>
      </c>
      <c r="B2818" s="1">
        <v>5.88</v>
      </c>
      <c r="C2818" s="1">
        <v>238</v>
      </c>
      <c r="D2818" s="1" t="s">
        <v>39</v>
      </c>
      <c r="E2818" s="1" t="s">
        <v>19</v>
      </c>
      <c r="F2818" s="1">
        <f t="shared" si="94"/>
        <v>588</v>
      </c>
      <c r="G2818" s="12">
        <f t="shared" si="95"/>
        <v>40.476190476190474</v>
      </c>
    </row>
    <row r="2819" spans="1:7" ht="13">
      <c r="A2819" s="4" t="s">
        <v>121</v>
      </c>
      <c r="B2819" s="1">
        <v>7.4</v>
      </c>
      <c r="C2819" s="1">
        <v>384</v>
      </c>
      <c r="D2819" s="1" t="s">
        <v>39</v>
      </c>
      <c r="E2819" s="1" t="s">
        <v>10</v>
      </c>
      <c r="F2819" s="1">
        <f t="shared" ref="F2819:F2882" si="96">B2819*100</f>
        <v>740</v>
      </c>
      <c r="G2819" s="12">
        <f t="shared" ref="G2819:G2882" si="97">C2819/B2819</f>
        <v>51.891891891891888</v>
      </c>
    </row>
    <row r="2820" spans="1:7" ht="13">
      <c r="A2820" s="4" t="s">
        <v>121</v>
      </c>
      <c r="B2820" s="1">
        <v>7.9</v>
      </c>
      <c r="C2820" s="1">
        <v>491</v>
      </c>
      <c r="D2820" s="1" t="s">
        <v>11</v>
      </c>
      <c r="E2820" s="1" t="s">
        <v>30</v>
      </c>
      <c r="F2820" s="1">
        <f t="shared" si="96"/>
        <v>790</v>
      </c>
      <c r="G2820" s="12">
        <f t="shared" si="97"/>
        <v>62.151898734177209</v>
      </c>
    </row>
    <row r="2821" spans="1:7" ht="13">
      <c r="A2821" s="4" t="s">
        <v>121</v>
      </c>
      <c r="B2821" s="1">
        <v>6.96</v>
      </c>
      <c r="C2821" s="1">
        <v>363</v>
      </c>
      <c r="D2821" s="1" t="s">
        <v>11</v>
      </c>
      <c r="E2821" s="1" t="s">
        <v>8</v>
      </c>
      <c r="F2821" s="1">
        <f t="shared" si="96"/>
        <v>696</v>
      </c>
      <c r="G2821" s="12">
        <f t="shared" si="97"/>
        <v>52.155172413793103</v>
      </c>
    </row>
    <row r="2822" spans="1:7" ht="13">
      <c r="A2822" s="4" t="s">
        <v>121</v>
      </c>
      <c r="B2822" s="1">
        <v>8.1999999999999993</v>
      </c>
      <c r="C2822" s="1">
        <v>431</v>
      </c>
      <c r="D2822" s="1" t="s">
        <v>39</v>
      </c>
      <c r="E2822" s="1" t="s">
        <v>16</v>
      </c>
      <c r="F2822" s="1">
        <f t="shared" si="96"/>
        <v>819.99999999999989</v>
      </c>
      <c r="G2822" s="12">
        <f t="shared" si="97"/>
        <v>52.560975609756099</v>
      </c>
    </row>
    <row r="2823" spans="1:7" ht="13">
      <c r="A2823" s="4" t="s">
        <v>121</v>
      </c>
      <c r="B2823" s="1">
        <v>6.8</v>
      </c>
      <c r="C2823" s="1">
        <v>247</v>
      </c>
      <c r="D2823" s="1" t="s">
        <v>33</v>
      </c>
      <c r="E2823" s="1" t="s">
        <v>20</v>
      </c>
      <c r="F2823" s="1">
        <f t="shared" si="96"/>
        <v>680</v>
      </c>
      <c r="G2823" s="12">
        <f t="shared" si="97"/>
        <v>36.32352941176471</v>
      </c>
    </row>
    <row r="2824" spans="1:7" ht="13">
      <c r="A2824" s="4" t="s">
        <v>121</v>
      </c>
      <c r="B2824" s="1">
        <v>7.6</v>
      </c>
      <c r="C2824" s="1">
        <v>319</v>
      </c>
      <c r="D2824" s="1" t="s">
        <v>59</v>
      </c>
      <c r="E2824" s="1" t="s">
        <v>49</v>
      </c>
      <c r="F2824" s="1">
        <f t="shared" si="96"/>
        <v>760</v>
      </c>
      <c r="G2824" s="12">
        <f t="shared" si="97"/>
        <v>41.973684210526315</v>
      </c>
    </row>
    <row r="2825" spans="1:7" ht="13">
      <c r="A2825" s="4" t="s">
        <v>121</v>
      </c>
      <c r="B2825" s="1">
        <v>7.9</v>
      </c>
      <c r="C2825" s="1">
        <v>283</v>
      </c>
      <c r="D2825" s="1" t="s">
        <v>53</v>
      </c>
      <c r="E2825" s="1" t="s">
        <v>9</v>
      </c>
      <c r="F2825" s="1">
        <f t="shared" si="96"/>
        <v>790</v>
      </c>
      <c r="G2825" s="12">
        <f t="shared" si="97"/>
        <v>35.822784810126578</v>
      </c>
    </row>
    <row r="2826" spans="1:7" ht="13">
      <c r="A2826" s="4" t="s">
        <v>121</v>
      </c>
      <c r="B2826" s="1">
        <v>5.6</v>
      </c>
      <c r="C2826" s="1">
        <v>200</v>
      </c>
      <c r="D2826" s="1" t="s">
        <v>33</v>
      </c>
      <c r="E2826" s="1" t="s">
        <v>9</v>
      </c>
      <c r="F2826" s="1">
        <f t="shared" si="96"/>
        <v>560</v>
      </c>
      <c r="G2826" s="12">
        <f t="shared" si="97"/>
        <v>35.714285714285715</v>
      </c>
    </row>
    <row r="2827" spans="1:7" ht="13">
      <c r="A2827" s="4" t="s">
        <v>121</v>
      </c>
      <c r="B2827" s="1">
        <v>5.6</v>
      </c>
      <c r="C2827" s="1">
        <v>210</v>
      </c>
      <c r="D2827" s="1" t="s">
        <v>33</v>
      </c>
      <c r="E2827" s="1" t="s">
        <v>8</v>
      </c>
      <c r="F2827" s="1">
        <f t="shared" si="96"/>
        <v>560</v>
      </c>
      <c r="G2827" s="12">
        <f t="shared" si="97"/>
        <v>37.5</v>
      </c>
    </row>
    <row r="2828" spans="1:7" ht="13">
      <c r="A2828" s="4" t="s">
        <v>121</v>
      </c>
      <c r="B2828" s="1">
        <v>5.6</v>
      </c>
      <c r="C2828" s="1">
        <v>328</v>
      </c>
      <c r="D2828" s="1" t="s">
        <v>33</v>
      </c>
      <c r="E2828" s="1" t="s">
        <v>12</v>
      </c>
      <c r="F2828" s="1">
        <f t="shared" si="96"/>
        <v>560</v>
      </c>
      <c r="G2828" s="12">
        <f t="shared" si="97"/>
        <v>58.571428571428577</v>
      </c>
    </row>
    <row r="2829" spans="1:7" ht="13">
      <c r="A2829" s="4" t="s">
        <v>121</v>
      </c>
      <c r="B2829" s="1">
        <v>8.5</v>
      </c>
      <c r="C2829" s="1">
        <v>314</v>
      </c>
      <c r="D2829" s="1" t="s">
        <v>88</v>
      </c>
      <c r="E2829" s="1" t="s">
        <v>17</v>
      </c>
      <c r="F2829" s="1">
        <f t="shared" si="96"/>
        <v>850</v>
      </c>
      <c r="G2829" s="12">
        <f t="shared" si="97"/>
        <v>36.941176470588232</v>
      </c>
    </row>
    <row r="2830" spans="1:7" ht="13">
      <c r="A2830" s="4" t="s">
        <v>121</v>
      </c>
      <c r="B2830" s="1">
        <v>6.96</v>
      </c>
      <c r="C2830" s="1">
        <v>429</v>
      </c>
      <c r="D2830" s="1" t="s">
        <v>11</v>
      </c>
      <c r="E2830" s="1" t="s">
        <v>8</v>
      </c>
      <c r="F2830" s="1">
        <f t="shared" si="96"/>
        <v>696</v>
      </c>
      <c r="G2830" s="12">
        <f t="shared" si="97"/>
        <v>61.637931034482762</v>
      </c>
    </row>
    <row r="2831" spans="1:7" ht="13">
      <c r="A2831" s="4" t="s">
        <v>121</v>
      </c>
      <c r="B2831" s="1">
        <v>6.45</v>
      </c>
      <c r="C2831" s="1">
        <v>310</v>
      </c>
      <c r="D2831" s="1" t="s">
        <v>42</v>
      </c>
      <c r="E2831" s="1" t="s">
        <v>18</v>
      </c>
      <c r="F2831" s="1">
        <f t="shared" si="96"/>
        <v>645</v>
      </c>
      <c r="G2831" s="12">
        <f t="shared" si="97"/>
        <v>48.062015503875969</v>
      </c>
    </row>
    <row r="2832" spans="1:7" ht="13">
      <c r="A2832" s="4" t="s">
        <v>121</v>
      </c>
      <c r="B2832" s="1">
        <v>5.2</v>
      </c>
      <c r="C2832" s="1">
        <v>278</v>
      </c>
      <c r="D2832" s="1" t="s">
        <v>39</v>
      </c>
      <c r="E2832" s="1" t="s">
        <v>15</v>
      </c>
      <c r="F2832" s="1">
        <f t="shared" si="96"/>
        <v>520</v>
      </c>
      <c r="G2832" s="12">
        <f t="shared" si="97"/>
        <v>53.46153846153846</v>
      </c>
    </row>
    <row r="2833" spans="1:7" ht="13">
      <c r="A2833" s="4" t="s">
        <v>121</v>
      </c>
      <c r="B2833" s="1">
        <v>8.33</v>
      </c>
      <c r="C2833" s="1">
        <v>376</v>
      </c>
      <c r="D2833" s="1" t="s">
        <v>47</v>
      </c>
      <c r="E2833" s="1" t="s">
        <v>7</v>
      </c>
      <c r="F2833" s="1">
        <f t="shared" si="96"/>
        <v>833</v>
      </c>
      <c r="G2833" s="12">
        <f t="shared" si="97"/>
        <v>45.138055222088838</v>
      </c>
    </row>
    <row r="2834" spans="1:7" ht="13">
      <c r="A2834" s="4" t="s">
        <v>121</v>
      </c>
      <c r="B2834" s="1">
        <v>7.7</v>
      </c>
      <c r="C2834" s="1">
        <v>498</v>
      </c>
      <c r="D2834" s="1" t="s">
        <v>11</v>
      </c>
      <c r="E2834" s="1" t="s">
        <v>49</v>
      </c>
      <c r="F2834" s="1">
        <f t="shared" si="96"/>
        <v>770</v>
      </c>
      <c r="G2834" s="12">
        <f t="shared" si="97"/>
        <v>64.675324675324674</v>
      </c>
    </row>
    <row r="2835" spans="1:7" ht="13">
      <c r="A2835" s="4" t="s">
        <v>121</v>
      </c>
      <c r="B2835" s="1">
        <v>6.96</v>
      </c>
      <c r="C2835" s="1">
        <v>244</v>
      </c>
      <c r="D2835" s="1" t="s">
        <v>33</v>
      </c>
      <c r="E2835" s="1" t="s">
        <v>12</v>
      </c>
      <c r="F2835" s="1">
        <f t="shared" si="96"/>
        <v>696</v>
      </c>
      <c r="G2835" s="12">
        <f t="shared" si="97"/>
        <v>35.05747126436782</v>
      </c>
    </row>
    <row r="2836" spans="1:7" ht="13">
      <c r="A2836" s="4" t="s">
        <v>121</v>
      </c>
      <c r="B2836" s="1">
        <v>5</v>
      </c>
      <c r="C2836" s="1">
        <v>277</v>
      </c>
      <c r="D2836" s="1" t="s">
        <v>39</v>
      </c>
      <c r="E2836" s="1" t="s">
        <v>8</v>
      </c>
      <c r="F2836" s="1">
        <f t="shared" si="96"/>
        <v>500</v>
      </c>
      <c r="G2836" s="12">
        <f t="shared" si="97"/>
        <v>55.4</v>
      </c>
    </row>
    <row r="2837" spans="1:7" ht="13">
      <c r="A2837" s="4" t="s">
        <v>121</v>
      </c>
      <c r="B2837" s="1">
        <v>5.28</v>
      </c>
      <c r="C2837" s="1">
        <v>207</v>
      </c>
      <c r="D2837" s="1" t="s">
        <v>33</v>
      </c>
      <c r="E2837" s="1" t="s">
        <v>21</v>
      </c>
      <c r="F2837" s="1">
        <f t="shared" si="96"/>
        <v>528</v>
      </c>
      <c r="G2837" s="12">
        <f t="shared" si="97"/>
        <v>39.204545454545453</v>
      </c>
    </row>
    <row r="2838" spans="1:7" ht="13">
      <c r="A2838" s="4" t="s">
        <v>121</v>
      </c>
      <c r="B2838" s="1">
        <v>7.83</v>
      </c>
      <c r="C2838" s="1">
        <v>359</v>
      </c>
      <c r="D2838" s="1" t="s">
        <v>11</v>
      </c>
      <c r="E2838" s="1" t="s">
        <v>32</v>
      </c>
      <c r="F2838" s="1">
        <f t="shared" si="96"/>
        <v>783</v>
      </c>
      <c r="G2838" s="12">
        <f t="shared" si="97"/>
        <v>45.849297573435507</v>
      </c>
    </row>
    <row r="2839" spans="1:7" ht="13">
      <c r="A2839" s="4" t="s">
        <v>121</v>
      </c>
      <c r="B2839" s="1">
        <v>7.7</v>
      </c>
      <c r="C2839" s="1">
        <v>223</v>
      </c>
      <c r="D2839" s="1" t="s">
        <v>33</v>
      </c>
      <c r="E2839" s="1" t="s">
        <v>16</v>
      </c>
      <c r="F2839" s="1">
        <f t="shared" si="96"/>
        <v>770</v>
      </c>
      <c r="G2839" s="12">
        <f t="shared" si="97"/>
        <v>28.961038961038959</v>
      </c>
    </row>
    <row r="2840" spans="1:7" ht="13">
      <c r="A2840" s="4" t="s">
        <v>121</v>
      </c>
      <c r="B2840" s="1">
        <v>10</v>
      </c>
      <c r="C2840" s="1">
        <v>492</v>
      </c>
      <c r="D2840" s="1" t="s">
        <v>45</v>
      </c>
      <c r="E2840" s="1" t="s">
        <v>15</v>
      </c>
      <c r="F2840" s="1">
        <f t="shared" si="96"/>
        <v>1000</v>
      </c>
      <c r="G2840" s="12">
        <f t="shared" si="97"/>
        <v>49.2</v>
      </c>
    </row>
    <row r="2841" spans="1:7" ht="13">
      <c r="A2841" s="4" t="s">
        <v>121</v>
      </c>
      <c r="B2841" s="1">
        <v>9.57</v>
      </c>
      <c r="C2841" s="1">
        <v>483</v>
      </c>
      <c r="D2841" s="1" t="s">
        <v>11</v>
      </c>
      <c r="E2841" s="1" t="s">
        <v>7</v>
      </c>
      <c r="F2841" s="1">
        <f t="shared" si="96"/>
        <v>957</v>
      </c>
      <c r="G2841" s="12">
        <f t="shared" si="97"/>
        <v>50.470219435736674</v>
      </c>
    </row>
    <row r="2842" spans="1:7" ht="13">
      <c r="A2842" s="4" t="s">
        <v>121</v>
      </c>
      <c r="B2842" s="1">
        <v>7.4</v>
      </c>
      <c r="C2842" s="1">
        <v>100</v>
      </c>
      <c r="D2842" s="1" t="s">
        <v>33</v>
      </c>
      <c r="E2842" s="1" t="s">
        <v>15</v>
      </c>
      <c r="F2842" s="1">
        <f t="shared" si="96"/>
        <v>740</v>
      </c>
      <c r="G2842" s="12">
        <f t="shared" si="97"/>
        <v>13.513513513513512</v>
      </c>
    </row>
    <row r="2843" spans="1:7" ht="13">
      <c r="A2843" s="4" t="s">
        <v>121</v>
      </c>
      <c r="B2843" s="1">
        <v>8.1999999999999993</v>
      </c>
      <c r="C2843" s="1">
        <v>374</v>
      </c>
      <c r="D2843" s="1" t="s">
        <v>11</v>
      </c>
      <c r="E2843" s="1" t="s">
        <v>12</v>
      </c>
      <c r="F2843" s="1">
        <f t="shared" si="96"/>
        <v>819.99999999999989</v>
      </c>
      <c r="G2843" s="12">
        <f t="shared" si="97"/>
        <v>45.609756097560982</v>
      </c>
    </row>
    <row r="2844" spans="1:7" ht="13">
      <c r="A2844" s="4" t="s">
        <v>121</v>
      </c>
      <c r="B2844" s="1">
        <v>8.5</v>
      </c>
      <c r="C2844" s="1">
        <v>462</v>
      </c>
      <c r="D2844" s="1" t="s">
        <v>11</v>
      </c>
      <c r="E2844" s="1" t="s">
        <v>68</v>
      </c>
      <c r="F2844" s="1">
        <f t="shared" si="96"/>
        <v>850</v>
      </c>
      <c r="G2844" s="12">
        <f t="shared" si="97"/>
        <v>54.352941176470587</v>
      </c>
    </row>
    <row r="2845" spans="1:7" ht="13">
      <c r="A2845" s="4" t="s">
        <v>121</v>
      </c>
      <c r="B2845" s="1">
        <v>7.3</v>
      </c>
      <c r="C2845" s="1">
        <v>334</v>
      </c>
      <c r="D2845" s="1" t="s">
        <v>40</v>
      </c>
      <c r="E2845" s="1" t="s">
        <v>12</v>
      </c>
      <c r="F2845" s="1">
        <f t="shared" si="96"/>
        <v>730</v>
      </c>
      <c r="G2845" s="12">
        <f t="shared" si="97"/>
        <v>45.753424657534246</v>
      </c>
    </row>
    <row r="2846" spans="1:7" ht="13">
      <c r="A2846" s="4" t="s">
        <v>121</v>
      </c>
      <c r="B2846" s="1">
        <v>9.4600000000000009</v>
      </c>
      <c r="C2846" s="1">
        <v>418</v>
      </c>
      <c r="D2846" s="1" t="s">
        <v>52</v>
      </c>
      <c r="E2846" s="1" t="s">
        <v>18</v>
      </c>
      <c r="F2846" s="1">
        <f t="shared" si="96"/>
        <v>946.00000000000011</v>
      </c>
      <c r="G2846" s="12">
        <f t="shared" si="97"/>
        <v>44.1860465116279</v>
      </c>
    </row>
    <row r="2847" spans="1:7" ht="13">
      <c r="A2847" s="4" t="s">
        <v>121</v>
      </c>
      <c r="B2847" s="1">
        <v>6.09</v>
      </c>
      <c r="C2847" s="1">
        <v>215.05</v>
      </c>
      <c r="D2847" s="1" t="s">
        <v>42</v>
      </c>
      <c r="E2847" s="1" t="s">
        <v>15</v>
      </c>
      <c r="F2847" s="1">
        <f t="shared" si="96"/>
        <v>609</v>
      </c>
      <c r="G2847" s="12">
        <f t="shared" si="97"/>
        <v>35.311986863711006</v>
      </c>
    </row>
    <row r="2848" spans="1:7" ht="13">
      <c r="A2848" s="4" t="s">
        <v>121</v>
      </c>
      <c r="B2848" s="1">
        <v>4.9000000000000004</v>
      </c>
      <c r="C2848" s="1">
        <v>308</v>
      </c>
      <c r="D2848" s="1" t="s">
        <v>44</v>
      </c>
      <c r="E2848" s="1" t="s">
        <v>15</v>
      </c>
      <c r="F2848" s="1">
        <f t="shared" si="96"/>
        <v>490.00000000000006</v>
      </c>
      <c r="G2848" s="12">
        <f t="shared" si="97"/>
        <v>62.857142857142854</v>
      </c>
    </row>
    <row r="2849" spans="1:7" ht="13">
      <c r="A2849" s="4" t="s">
        <v>121</v>
      </c>
      <c r="B2849" s="1">
        <v>4.8600000000000003</v>
      </c>
      <c r="C2849" s="1">
        <v>301</v>
      </c>
      <c r="D2849" s="1" t="s">
        <v>38</v>
      </c>
      <c r="E2849" s="1" t="s">
        <v>15</v>
      </c>
      <c r="F2849" s="1">
        <f t="shared" si="96"/>
        <v>486.00000000000006</v>
      </c>
      <c r="G2849" s="12">
        <f t="shared" si="97"/>
        <v>61.934156378600818</v>
      </c>
    </row>
    <row r="2850" spans="1:7" ht="13">
      <c r="A2850" s="4" t="s">
        <v>121</v>
      </c>
      <c r="B2850" s="1">
        <v>5</v>
      </c>
      <c r="C2850" s="1">
        <v>304</v>
      </c>
      <c r="D2850" s="1" t="s">
        <v>39</v>
      </c>
      <c r="E2850" s="1" t="s">
        <v>22</v>
      </c>
      <c r="F2850" s="1">
        <f t="shared" si="96"/>
        <v>500</v>
      </c>
      <c r="G2850" s="12">
        <f t="shared" si="97"/>
        <v>60.8</v>
      </c>
    </row>
    <row r="2851" spans="1:7" ht="13">
      <c r="A2851" s="4" t="s">
        <v>121</v>
      </c>
      <c r="B2851" s="1">
        <v>8.8000000000000007</v>
      </c>
      <c r="C2851" s="1">
        <v>254</v>
      </c>
      <c r="D2851" s="1" t="s">
        <v>53</v>
      </c>
      <c r="E2851" s="1" t="s">
        <v>8</v>
      </c>
      <c r="F2851" s="1">
        <f t="shared" si="96"/>
        <v>880.00000000000011</v>
      </c>
      <c r="G2851" s="12">
        <f t="shared" si="97"/>
        <v>28.86363636363636</v>
      </c>
    </row>
    <row r="2852" spans="1:7" ht="13">
      <c r="A2852" s="4" t="s">
        <v>121</v>
      </c>
      <c r="B2852" s="1">
        <v>5.0999999999999996</v>
      </c>
      <c r="C2852" s="1">
        <v>285</v>
      </c>
      <c r="D2852" s="1" t="s">
        <v>42</v>
      </c>
      <c r="E2852" s="1" t="s">
        <v>30</v>
      </c>
      <c r="F2852" s="1">
        <f t="shared" si="96"/>
        <v>509.99999999999994</v>
      </c>
      <c r="G2852" s="12">
        <f t="shared" si="97"/>
        <v>55.882352941176471</v>
      </c>
    </row>
    <row r="2853" spans="1:7" ht="13">
      <c r="A2853" s="4" t="s">
        <v>121</v>
      </c>
      <c r="B2853" s="1">
        <v>6.2</v>
      </c>
      <c r="C2853" s="1">
        <v>286</v>
      </c>
      <c r="D2853" s="1" t="s">
        <v>72</v>
      </c>
      <c r="E2853" s="1" t="s">
        <v>8</v>
      </c>
      <c r="F2853" s="1">
        <f t="shared" si="96"/>
        <v>620</v>
      </c>
      <c r="G2853" s="12">
        <f t="shared" si="97"/>
        <v>46.129032258064512</v>
      </c>
    </row>
    <row r="2854" spans="1:7" ht="13">
      <c r="A2854" s="4" t="s">
        <v>121</v>
      </c>
      <c r="B2854" s="1">
        <v>6.6</v>
      </c>
      <c r="C2854" s="1">
        <v>280</v>
      </c>
      <c r="D2854" s="1" t="s">
        <v>34</v>
      </c>
      <c r="E2854" s="1" t="s">
        <v>16</v>
      </c>
      <c r="F2854" s="1">
        <f t="shared" si="96"/>
        <v>660</v>
      </c>
      <c r="G2854" s="12">
        <f t="shared" si="97"/>
        <v>42.424242424242429</v>
      </c>
    </row>
    <row r="2855" spans="1:7" ht="13">
      <c r="A2855" s="4" t="s">
        <v>121</v>
      </c>
      <c r="B2855" s="1">
        <v>8</v>
      </c>
      <c r="C2855" s="1">
        <v>483</v>
      </c>
      <c r="D2855" s="1" t="s">
        <v>11</v>
      </c>
      <c r="E2855" s="1" t="s">
        <v>28</v>
      </c>
      <c r="F2855" s="1">
        <f t="shared" si="96"/>
        <v>800</v>
      </c>
      <c r="G2855" s="12">
        <f t="shared" si="97"/>
        <v>60.375</v>
      </c>
    </row>
    <row r="2856" spans="1:7" ht="13">
      <c r="A2856" s="4" t="s">
        <v>121</v>
      </c>
      <c r="B2856" s="1">
        <v>3.4</v>
      </c>
      <c r="C2856" s="1">
        <v>213</v>
      </c>
      <c r="D2856" s="1" t="s">
        <v>11</v>
      </c>
      <c r="E2856" s="1" t="s">
        <v>15</v>
      </c>
      <c r="F2856" s="1">
        <f t="shared" si="96"/>
        <v>340</v>
      </c>
      <c r="G2856" s="12">
        <f t="shared" si="97"/>
        <v>62.647058823529413</v>
      </c>
    </row>
    <row r="2857" spans="1:7" ht="13">
      <c r="A2857" s="4" t="s">
        <v>121</v>
      </c>
      <c r="B2857" s="1">
        <v>5</v>
      </c>
      <c r="C2857" s="1">
        <v>173</v>
      </c>
      <c r="D2857" s="1" t="s">
        <v>33</v>
      </c>
      <c r="E2857" s="1" t="s">
        <v>15</v>
      </c>
      <c r="F2857" s="1">
        <f t="shared" si="96"/>
        <v>500</v>
      </c>
      <c r="G2857" s="12">
        <f t="shared" si="97"/>
        <v>34.6</v>
      </c>
    </row>
    <row r="2858" spans="1:7" ht="13">
      <c r="A2858" s="4" t="s">
        <v>121</v>
      </c>
      <c r="B2858" s="1">
        <v>6</v>
      </c>
      <c r="C2858" s="1">
        <v>233</v>
      </c>
      <c r="D2858" s="1" t="s">
        <v>33</v>
      </c>
      <c r="E2858" s="1" t="s">
        <v>9</v>
      </c>
      <c r="F2858" s="1">
        <f t="shared" si="96"/>
        <v>600</v>
      </c>
      <c r="G2858" s="12">
        <f t="shared" si="97"/>
        <v>38.833333333333336</v>
      </c>
    </row>
    <row r="2859" spans="1:7" ht="13">
      <c r="A2859" s="4" t="s">
        <v>121</v>
      </c>
      <c r="B2859" s="1">
        <v>4.9800000000000004</v>
      </c>
      <c r="C2859" s="1">
        <v>194</v>
      </c>
      <c r="D2859" s="1" t="s">
        <v>11</v>
      </c>
      <c r="E2859" s="1" t="s">
        <v>25</v>
      </c>
      <c r="F2859" s="1">
        <f t="shared" si="96"/>
        <v>498.00000000000006</v>
      </c>
      <c r="G2859" s="12">
        <f t="shared" si="97"/>
        <v>38.955823293172685</v>
      </c>
    </row>
    <row r="2860" spans="1:7" ht="13">
      <c r="A2860" s="4" t="s">
        <v>121</v>
      </c>
      <c r="B2860" s="1">
        <v>7.36</v>
      </c>
      <c r="C2860" s="1">
        <v>317</v>
      </c>
      <c r="D2860" s="1" t="s">
        <v>37</v>
      </c>
      <c r="E2860" s="1" t="s">
        <v>15</v>
      </c>
      <c r="F2860" s="1">
        <f t="shared" si="96"/>
        <v>736</v>
      </c>
      <c r="G2860" s="12">
        <f t="shared" si="97"/>
        <v>43.070652173913039</v>
      </c>
    </row>
    <row r="2861" spans="1:7" ht="13">
      <c r="A2861" s="4" t="s">
        <v>121</v>
      </c>
      <c r="B2861" s="1">
        <v>9</v>
      </c>
      <c r="C2861" s="1">
        <v>432</v>
      </c>
      <c r="D2861" s="1" t="s">
        <v>11</v>
      </c>
      <c r="E2861" s="1" t="s">
        <v>7</v>
      </c>
      <c r="F2861" s="1">
        <f t="shared" si="96"/>
        <v>900</v>
      </c>
      <c r="G2861" s="12">
        <f t="shared" si="97"/>
        <v>48</v>
      </c>
    </row>
    <row r="2862" spans="1:7" ht="13">
      <c r="A2862" s="4" t="s">
        <v>121</v>
      </c>
      <c r="B2862" s="1">
        <v>7.2</v>
      </c>
      <c r="C2862" s="1">
        <v>434</v>
      </c>
      <c r="D2862" s="1" t="s">
        <v>39</v>
      </c>
      <c r="E2862" s="1" t="s">
        <v>26</v>
      </c>
      <c r="F2862" s="1">
        <f t="shared" si="96"/>
        <v>720</v>
      </c>
      <c r="G2862" s="12">
        <f t="shared" si="97"/>
        <v>60.277777777777779</v>
      </c>
    </row>
    <row r="2863" spans="1:7" ht="13">
      <c r="A2863" s="4" t="s">
        <v>121</v>
      </c>
      <c r="B2863" s="1">
        <v>8.5</v>
      </c>
      <c r="C2863" s="1">
        <v>386</v>
      </c>
      <c r="D2863" s="1" t="s">
        <v>39</v>
      </c>
      <c r="E2863" s="1" t="s">
        <v>20</v>
      </c>
      <c r="F2863" s="1">
        <f t="shared" si="96"/>
        <v>850</v>
      </c>
      <c r="G2863" s="12">
        <f t="shared" si="97"/>
        <v>45.411764705882355</v>
      </c>
    </row>
    <row r="2864" spans="1:7" ht="13">
      <c r="A2864" s="4" t="s">
        <v>121</v>
      </c>
      <c r="B2864" s="1">
        <v>5.2</v>
      </c>
      <c r="C2864" s="1">
        <v>235</v>
      </c>
      <c r="D2864" s="1" t="s">
        <v>67</v>
      </c>
      <c r="E2864" s="1" t="s">
        <v>8</v>
      </c>
      <c r="F2864" s="1">
        <f t="shared" si="96"/>
        <v>520</v>
      </c>
      <c r="G2864" s="12">
        <f t="shared" si="97"/>
        <v>45.192307692307693</v>
      </c>
    </row>
    <row r="2865" spans="1:7" ht="13">
      <c r="A2865" s="4" t="s">
        <v>121</v>
      </c>
      <c r="B2865" s="1">
        <v>7.74</v>
      </c>
      <c r="C2865" s="1">
        <v>366</v>
      </c>
      <c r="D2865" s="1" t="s">
        <v>39</v>
      </c>
      <c r="E2865" s="1" t="s">
        <v>16</v>
      </c>
      <c r="F2865" s="1">
        <f t="shared" si="96"/>
        <v>774</v>
      </c>
      <c r="G2865" s="12">
        <f t="shared" si="97"/>
        <v>47.286821705426355</v>
      </c>
    </row>
    <row r="2866" spans="1:7" ht="13">
      <c r="A2866" s="4" t="s">
        <v>121</v>
      </c>
      <c r="B2866" s="1">
        <v>7.5</v>
      </c>
      <c r="C2866" s="1">
        <v>312.7</v>
      </c>
      <c r="D2866" s="1" t="s">
        <v>40</v>
      </c>
      <c r="E2866" s="1" t="s">
        <v>16</v>
      </c>
      <c r="F2866" s="1">
        <f t="shared" si="96"/>
        <v>750</v>
      </c>
      <c r="G2866" s="12">
        <f t="shared" si="97"/>
        <v>41.693333333333335</v>
      </c>
    </row>
    <row r="2867" spans="1:7" ht="13">
      <c r="A2867" s="4" t="s">
        <v>121</v>
      </c>
      <c r="B2867" s="1">
        <v>7</v>
      </c>
      <c r="C2867" s="1">
        <v>5</v>
      </c>
      <c r="D2867" s="1" t="s">
        <v>109</v>
      </c>
      <c r="E2867" s="1" t="s">
        <v>27</v>
      </c>
      <c r="F2867" s="1">
        <f t="shared" si="96"/>
        <v>700</v>
      </c>
      <c r="G2867" s="12">
        <f t="shared" si="97"/>
        <v>0.7142857142857143</v>
      </c>
    </row>
    <row r="2868" spans="1:7" ht="13">
      <c r="A2868" s="4" t="s">
        <v>121</v>
      </c>
      <c r="B2868" s="1">
        <v>8.43</v>
      </c>
      <c r="C2868" s="1">
        <v>311</v>
      </c>
      <c r="D2868" s="1" t="s">
        <v>33</v>
      </c>
      <c r="E2868" s="1" t="s">
        <v>26</v>
      </c>
      <c r="F2868" s="1">
        <f t="shared" si="96"/>
        <v>843</v>
      </c>
      <c r="G2868" s="12">
        <f t="shared" si="97"/>
        <v>36.892052194543297</v>
      </c>
    </row>
    <row r="2869" spans="1:7" ht="13">
      <c r="A2869" s="4" t="s">
        <v>121</v>
      </c>
      <c r="B2869" s="1">
        <v>9.1999999999999993</v>
      </c>
      <c r="C2869" s="1">
        <v>272</v>
      </c>
      <c r="D2869" s="1" t="s">
        <v>33</v>
      </c>
      <c r="E2869" s="1" t="s">
        <v>20</v>
      </c>
      <c r="F2869" s="1">
        <f t="shared" si="96"/>
        <v>919.99999999999989</v>
      </c>
      <c r="G2869" s="12">
        <f t="shared" si="97"/>
        <v>29.565217391304351</v>
      </c>
    </row>
    <row r="2870" spans="1:7" ht="13">
      <c r="A2870" s="4" t="s">
        <v>121</v>
      </c>
      <c r="B2870" s="1">
        <v>5.2</v>
      </c>
      <c r="C2870" s="1">
        <v>291</v>
      </c>
      <c r="D2870" s="1" t="s">
        <v>11</v>
      </c>
      <c r="E2870" s="1" t="s">
        <v>27</v>
      </c>
      <c r="F2870" s="1">
        <f t="shared" si="96"/>
        <v>520</v>
      </c>
      <c r="G2870" s="12">
        <f t="shared" si="97"/>
        <v>55.96153846153846</v>
      </c>
    </row>
    <row r="2871" spans="1:7" ht="13">
      <c r="A2871" s="4" t="s">
        <v>121</v>
      </c>
      <c r="B2871" s="1">
        <v>7.8</v>
      </c>
      <c r="C2871" s="1">
        <v>422</v>
      </c>
      <c r="D2871" s="1" t="s">
        <v>35</v>
      </c>
      <c r="E2871" s="1" t="s">
        <v>23</v>
      </c>
      <c r="F2871" s="1">
        <f t="shared" si="96"/>
        <v>780</v>
      </c>
      <c r="G2871" s="12">
        <f t="shared" si="97"/>
        <v>54.102564102564102</v>
      </c>
    </row>
    <row r="2872" spans="1:7" ht="15.75" customHeight="1">
      <c r="A2872" s="4" t="s">
        <v>121</v>
      </c>
      <c r="B2872" s="1">
        <v>6.08</v>
      </c>
      <c r="C2872" s="1">
        <v>339</v>
      </c>
      <c r="D2872" s="1" t="s">
        <v>38</v>
      </c>
      <c r="E2872" s="1" t="s">
        <v>8</v>
      </c>
      <c r="F2872" s="1">
        <f t="shared" si="96"/>
        <v>608</v>
      </c>
      <c r="G2872" s="12">
        <f t="shared" si="97"/>
        <v>55.756578947368418</v>
      </c>
    </row>
    <row r="2873" spans="1:7" ht="15.75" customHeight="1">
      <c r="A2873" s="4" t="s">
        <v>121</v>
      </c>
      <c r="B2873" s="1">
        <v>7.3</v>
      </c>
      <c r="C2873" s="1">
        <v>391</v>
      </c>
      <c r="D2873" s="1" t="s">
        <v>47</v>
      </c>
      <c r="E2873" s="1" t="s">
        <v>28</v>
      </c>
      <c r="F2873" s="1">
        <f t="shared" si="96"/>
        <v>730</v>
      </c>
      <c r="G2873" s="12">
        <f t="shared" si="97"/>
        <v>53.561643835616437</v>
      </c>
    </row>
    <row r="2874" spans="1:7" ht="15.75" customHeight="1">
      <c r="A2874" s="4" t="s">
        <v>121</v>
      </c>
      <c r="B2874" s="1">
        <v>6.8849999999999998</v>
      </c>
      <c r="C2874" s="1">
        <v>312</v>
      </c>
      <c r="D2874" s="1" t="s">
        <v>44</v>
      </c>
      <c r="E2874" s="1" t="s">
        <v>22</v>
      </c>
      <c r="F2874" s="1">
        <f t="shared" si="96"/>
        <v>688.5</v>
      </c>
      <c r="G2874" s="12">
        <f t="shared" si="97"/>
        <v>45.315904139433556</v>
      </c>
    </row>
    <row r="2875" spans="1:7" ht="15.75" customHeight="1">
      <c r="A2875" s="4" t="s">
        <v>121</v>
      </c>
      <c r="B2875" s="1">
        <v>6</v>
      </c>
      <c r="C2875" s="1">
        <v>404</v>
      </c>
      <c r="D2875" s="1" t="s">
        <v>11</v>
      </c>
      <c r="E2875" s="1" t="s">
        <v>16</v>
      </c>
      <c r="F2875" s="1">
        <f t="shared" si="96"/>
        <v>600</v>
      </c>
      <c r="G2875" s="12">
        <f t="shared" si="97"/>
        <v>67.333333333333329</v>
      </c>
    </row>
    <row r="2876" spans="1:7" ht="15.75" customHeight="1">
      <c r="A2876" s="4" t="s">
        <v>121</v>
      </c>
      <c r="B2876" s="1">
        <v>8.6</v>
      </c>
      <c r="C2876" s="1">
        <v>440</v>
      </c>
      <c r="D2876" s="1" t="s">
        <v>11</v>
      </c>
      <c r="E2876" s="1" t="s">
        <v>10</v>
      </c>
      <c r="F2876" s="1">
        <f t="shared" si="96"/>
        <v>860</v>
      </c>
      <c r="G2876" s="12">
        <f t="shared" si="97"/>
        <v>51.162790697674424</v>
      </c>
    </row>
    <row r="2877" spans="1:7" ht="15.75" customHeight="1">
      <c r="A2877" s="4" t="s">
        <v>121</v>
      </c>
      <c r="B2877" s="1">
        <v>6</v>
      </c>
      <c r="C2877" s="1">
        <v>297</v>
      </c>
      <c r="D2877" s="1" t="s">
        <v>43</v>
      </c>
      <c r="E2877" s="1" t="s">
        <v>25</v>
      </c>
      <c r="F2877" s="1">
        <f t="shared" si="96"/>
        <v>600</v>
      </c>
      <c r="G2877" s="12">
        <f t="shared" si="97"/>
        <v>49.5</v>
      </c>
    </row>
    <row r="2878" spans="1:7" ht="15.75" customHeight="1">
      <c r="A2878" s="4" t="s">
        <v>121</v>
      </c>
      <c r="B2878" s="1">
        <v>6.1</v>
      </c>
      <c r="C2878" s="1">
        <v>266</v>
      </c>
      <c r="D2878" s="1" t="s">
        <v>11</v>
      </c>
      <c r="E2878" s="1" t="s">
        <v>17</v>
      </c>
      <c r="F2878" s="1">
        <f t="shared" si="96"/>
        <v>610</v>
      </c>
      <c r="G2878" s="12">
        <f t="shared" si="97"/>
        <v>43.606557377049185</v>
      </c>
    </row>
    <row r="2879" spans="1:7" ht="15.75" customHeight="1">
      <c r="A2879" s="4" t="s">
        <v>121</v>
      </c>
      <c r="B2879" s="1">
        <v>8.6999999999999993</v>
      </c>
      <c r="C2879" s="1">
        <v>558</v>
      </c>
      <c r="D2879" s="1" t="s">
        <v>11</v>
      </c>
      <c r="E2879" s="1" t="s">
        <v>24</v>
      </c>
      <c r="F2879" s="1">
        <f t="shared" si="96"/>
        <v>869.99999999999989</v>
      </c>
      <c r="G2879" s="12">
        <f t="shared" si="97"/>
        <v>64.137931034482762</v>
      </c>
    </row>
    <row r="2880" spans="1:7" ht="15.75" customHeight="1">
      <c r="A2880" s="4" t="s">
        <v>121</v>
      </c>
      <c r="B2880" s="1">
        <v>6.09</v>
      </c>
      <c r="C2880" s="1">
        <v>283</v>
      </c>
      <c r="D2880" s="1" t="s">
        <v>36</v>
      </c>
      <c r="E2880" s="1" t="s">
        <v>15</v>
      </c>
      <c r="F2880" s="1">
        <f t="shared" si="96"/>
        <v>609</v>
      </c>
      <c r="G2880" s="12">
        <f t="shared" si="97"/>
        <v>46.469622331691298</v>
      </c>
    </row>
    <row r="2881" spans="1:7" ht="15.75" customHeight="1">
      <c r="A2881" s="4" t="s">
        <v>121</v>
      </c>
      <c r="B2881" s="1">
        <v>8.6999999999999993</v>
      </c>
      <c r="C2881" s="1">
        <v>502</v>
      </c>
      <c r="D2881" s="1" t="s">
        <v>11</v>
      </c>
      <c r="E2881" s="1" t="s">
        <v>27</v>
      </c>
      <c r="F2881" s="1">
        <f t="shared" si="96"/>
        <v>869.99999999999989</v>
      </c>
      <c r="G2881" s="12">
        <f t="shared" si="97"/>
        <v>57.701149425287362</v>
      </c>
    </row>
    <row r="2882" spans="1:7" ht="15.75" customHeight="1">
      <c r="A2882" s="4" t="s">
        <v>121</v>
      </c>
      <c r="B2882" s="1">
        <v>5.88</v>
      </c>
      <c r="C2882" s="1">
        <v>423.7</v>
      </c>
      <c r="D2882" s="1" t="s">
        <v>39</v>
      </c>
      <c r="E2882" s="1" t="s">
        <v>15</v>
      </c>
      <c r="F2882" s="1">
        <f t="shared" si="96"/>
        <v>588</v>
      </c>
      <c r="G2882" s="12">
        <f t="shared" si="97"/>
        <v>72.057823129251702</v>
      </c>
    </row>
    <row r="2883" spans="1:7" ht="15.75" customHeight="1">
      <c r="A2883" s="4" t="s">
        <v>121</v>
      </c>
      <c r="B2883" s="1">
        <v>6</v>
      </c>
      <c r="C2883" s="1">
        <v>285</v>
      </c>
      <c r="D2883" s="1" t="s">
        <v>47</v>
      </c>
      <c r="E2883" s="1" t="s">
        <v>19</v>
      </c>
      <c r="F2883" s="1">
        <f t="shared" ref="F2883:F2946" si="98">B2883*100</f>
        <v>600</v>
      </c>
      <c r="G2883" s="12">
        <f t="shared" ref="G2883:G2946" si="99">C2883/B2883</f>
        <v>47.5</v>
      </c>
    </row>
    <row r="2884" spans="1:7" ht="15.75" customHeight="1">
      <c r="A2884" s="4" t="s">
        <v>121</v>
      </c>
      <c r="B2884" s="1">
        <v>8.6999999999999993</v>
      </c>
      <c r="C2884" s="1">
        <v>495</v>
      </c>
      <c r="D2884" s="1" t="s">
        <v>47</v>
      </c>
      <c r="E2884" s="1" t="s">
        <v>12</v>
      </c>
      <c r="F2884" s="1">
        <f t="shared" si="98"/>
        <v>869.99999999999989</v>
      </c>
      <c r="G2884" s="12">
        <f t="shared" si="99"/>
        <v>56.896551724137936</v>
      </c>
    </row>
    <row r="2885" spans="1:7" ht="15.75" customHeight="1">
      <c r="A2885" s="4" t="s">
        <v>121</v>
      </c>
      <c r="B2885" s="1">
        <v>3.8</v>
      </c>
      <c r="C2885" s="1">
        <v>139</v>
      </c>
      <c r="D2885" s="1" t="s">
        <v>42</v>
      </c>
      <c r="E2885" s="1" t="s">
        <v>10</v>
      </c>
      <c r="F2885" s="1">
        <f t="shared" si="98"/>
        <v>380</v>
      </c>
      <c r="G2885" s="12">
        <f t="shared" si="99"/>
        <v>36.578947368421055</v>
      </c>
    </row>
    <row r="2886" spans="1:7" ht="15.75" customHeight="1">
      <c r="A2886" s="4" t="s">
        <v>121</v>
      </c>
      <c r="B2886" s="1">
        <v>6.09</v>
      </c>
      <c r="C2886" s="1">
        <v>261</v>
      </c>
      <c r="D2886" s="1" t="s">
        <v>42</v>
      </c>
      <c r="E2886" s="1" t="s">
        <v>8</v>
      </c>
      <c r="F2886" s="1">
        <f t="shared" si="98"/>
        <v>609</v>
      </c>
      <c r="G2886" s="12">
        <f t="shared" si="99"/>
        <v>42.857142857142861</v>
      </c>
    </row>
    <row r="2887" spans="1:7" ht="15.75" customHeight="1">
      <c r="A2887" s="4" t="s">
        <v>121</v>
      </c>
      <c r="B2887" s="1">
        <v>6.72</v>
      </c>
      <c r="C2887" s="1">
        <v>426</v>
      </c>
      <c r="D2887" s="1" t="s">
        <v>11</v>
      </c>
      <c r="E2887" s="1" t="s">
        <v>24</v>
      </c>
      <c r="F2887" s="1">
        <f t="shared" si="98"/>
        <v>672</v>
      </c>
      <c r="G2887" s="12">
        <f t="shared" si="99"/>
        <v>63.392857142857146</v>
      </c>
    </row>
    <row r="2888" spans="1:7" ht="15.75" customHeight="1">
      <c r="A2888" s="4" t="s">
        <v>121</v>
      </c>
      <c r="B2888" s="1">
        <v>8.75</v>
      </c>
      <c r="C2888" s="1">
        <v>498</v>
      </c>
      <c r="D2888" s="1" t="s">
        <v>38</v>
      </c>
      <c r="E2888" s="1" t="s">
        <v>31</v>
      </c>
      <c r="F2888" s="1">
        <f t="shared" si="98"/>
        <v>875</v>
      </c>
      <c r="G2888" s="12">
        <f t="shared" si="99"/>
        <v>56.914285714285711</v>
      </c>
    </row>
    <row r="2889" spans="1:7" ht="15.75" customHeight="1">
      <c r="A2889" s="4" t="s">
        <v>121</v>
      </c>
      <c r="B2889" s="1">
        <v>7.2</v>
      </c>
      <c r="C2889" s="1">
        <v>383</v>
      </c>
      <c r="D2889" s="1" t="s">
        <v>47</v>
      </c>
      <c r="E2889" s="1" t="s">
        <v>17</v>
      </c>
      <c r="F2889" s="1">
        <f t="shared" si="98"/>
        <v>720</v>
      </c>
      <c r="G2889" s="12">
        <f t="shared" si="99"/>
        <v>53.194444444444443</v>
      </c>
    </row>
    <row r="2890" spans="1:7" ht="15.75" customHeight="1">
      <c r="A2890" s="4" t="s">
        <v>121</v>
      </c>
      <c r="B2890" s="1">
        <v>8.6999999999999993</v>
      </c>
      <c r="C2890" s="1">
        <v>534</v>
      </c>
      <c r="D2890" s="1" t="s">
        <v>11</v>
      </c>
      <c r="E2890" s="1" t="s">
        <v>10</v>
      </c>
      <c r="F2890" s="1">
        <f t="shared" si="98"/>
        <v>869.99999999999989</v>
      </c>
      <c r="G2890" s="12">
        <f t="shared" si="99"/>
        <v>61.379310344827594</v>
      </c>
    </row>
    <row r="2891" spans="1:7" ht="15.75" customHeight="1">
      <c r="A2891" s="4" t="s">
        <v>121</v>
      </c>
      <c r="B2891" s="1">
        <v>8.6999999999999993</v>
      </c>
      <c r="C2891" s="1">
        <v>534</v>
      </c>
      <c r="D2891" s="1" t="s">
        <v>11</v>
      </c>
      <c r="E2891" s="1" t="s">
        <v>10</v>
      </c>
      <c r="F2891" s="1">
        <f t="shared" si="98"/>
        <v>869.99999999999989</v>
      </c>
      <c r="G2891" s="12">
        <f t="shared" si="99"/>
        <v>61.379310344827594</v>
      </c>
    </row>
    <row r="2892" spans="1:7" ht="15.75" customHeight="1">
      <c r="A2892" s="4" t="s">
        <v>121</v>
      </c>
      <c r="B2892" s="1">
        <v>5.2</v>
      </c>
      <c r="C2892" s="1">
        <v>256</v>
      </c>
      <c r="D2892" s="1" t="s">
        <v>11</v>
      </c>
      <c r="E2892" s="1" t="s">
        <v>15</v>
      </c>
      <c r="F2892" s="1">
        <f t="shared" si="98"/>
        <v>520</v>
      </c>
      <c r="G2892" s="12">
        <f t="shared" si="99"/>
        <v>49.230769230769226</v>
      </c>
    </row>
    <row r="2893" spans="1:7" ht="15.75" customHeight="1">
      <c r="A2893" s="4" t="s">
        <v>121</v>
      </c>
      <c r="B2893" s="1">
        <v>6.8</v>
      </c>
      <c r="C2893" s="1">
        <v>403</v>
      </c>
      <c r="D2893" s="1" t="s">
        <v>11</v>
      </c>
      <c r="E2893" s="1" t="s">
        <v>26</v>
      </c>
      <c r="F2893" s="1">
        <f t="shared" si="98"/>
        <v>680</v>
      </c>
      <c r="G2893" s="12">
        <f t="shared" si="99"/>
        <v>59.264705882352942</v>
      </c>
    </row>
    <row r="2894" spans="1:7" ht="15.75" customHeight="1">
      <c r="A2894" s="4" t="s">
        <v>121</v>
      </c>
      <c r="B2894" s="1">
        <v>4.5</v>
      </c>
      <c r="C2894" s="1">
        <v>157</v>
      </c>
      <c r="D2894" s="1" t="s">
        <v>39</v>
      </c>
      <c r="E2894" s="1" t="s">
        <v>9</v>
      </c>
      <c r="F2894" s="1">
        <f t="shared" si="98"/>
        <v>450</v>
      </c>
      <c r="G2894" s="12">
        <f t="shared" si="99"/>
        <v>34.888888888888886</v>
      </c>
    </row>
    <row r="2895" spans="1:7" ht="15.75" customHeight="1">
      <c r="A2895" s="4" t="s">
        <v>121</v>
      </c>
      <c r="B2895" s="1">
        <v>6</v>
      </c>
      <c r="C2895" s="1">
        <v>325</v>
      </c>
      <c r="D2895" s="1" t="s">
        <v>11</v>
      </c>
      <c r="E2895" s="1" t="s">
        <v>30</v>
      </c>
      <c r="F2895" s="1">
        <f t="shared" si="98"/>
        <v>600</v>
      </c>
      <c r="G2895" s="12">
        <f t="shared" si="99"/>
        <v>54.166666666666664</v>
      </c>
    </row>
    <row r="2896" spans="1:7" ht="15.75" customHeight="1">
      <c r="A2896" s="4" t="s">
        <v>121</v>
      </c>
      <c r="B2896" s="1">
        <v>5.4</v>
      </c>
      <c r="C2896" s="1">
        <v>197</v>
      </c>
      <c r="D2896" s="1" t="s">
        <v>33</v>
      </c>
      <c r="E2896" s="1" t="s">
        <v>25</v>
      </c>
      <c r="F2896" s="1">
        <f t="shared" si="98"/>
        <v>540</v>
      </c>
      <c r="G2896" s="12">
        <f t="shared" si="99"/>
        <v>36.481481481481481</v>
      </c>
    </row>
    <row r="2897" spans="1:7" ht="15.75" customHeight="1">
      <c r="A2897" s="4" t="s">
        <v>121</v>
      </c>
      <c r="B2897" s="1">
        <v>6.72</v>
      </c>
      <c r="C2897" s="1">
        <v>434</v>
      </c>
      <c r="D2897" s="1" t="s">
        <v>11</v>
      </c>
      <c r="E2897" s="1" t="s">
        <v>15</v>
      </c>
      <c r="F2897" s="1">
        <f t="shared" si="98"/>
        <v>672</v>
      </c>
      <c r="G2897" s="12">
        <f t="shared" si="99"/>
        <v>64.583333333333343</v>
      </c>
    </row>
    <row r="2898" spans="1:7" ht="15.75" customHeight="1">
      <c r="A2898" s="4" t="s">
        <v>121</v>
      </c>
      <c r="B2898" s="1">
        <v>8.1</v>
      </c>
      <c r="C2898" s="1">
        <v>500</v>
      </c>
      <c r="D2898" s="1" t="s">
        <v>42</v>
      </c>
      <c r="E2898" s="1" t="s">
        <v>10</v>
      </c>
      <c r="F2898" s="1">
        <f t="shared" si="98"/>
        <v>810</v>
      </c>
      <c r="G2898" s="12">
        <f t="shared" si="99"/>
        <v>61.728395061728399</v>
      </c>
    </row>
    <row r="2899" spans="1:7" ht="15.75" customHeight="1">
      <c r="A2899" s="4" t="s">
        <v>121</v>
      </c>
      <c r="B2899" s="1">
        <v>6.4</v>
      </c>
      <c r="C2899" s="1">
        <v>372</v>
      </c>
      <c r="D2899" s="1" t="s">
        <v>42</v>
      </c>
      <c r="E2899" s="1" t="s">
        <v>8</v>
      </c>
      <c r="F2899" s="1">
        <f t="shared" si="98"/>
        <v>640</v>
      </c>
      <c r="G2899" s="12">
        <f t="shared" si="99"/>
        <v>58.125</v>
      </c>
    </row>
    <row r="2900" spans="1:7" ht="15.75" customHeight="1">
      <c r="A2900" s="4" t="s">
        <v>121</v>
      </c>
      <c r="B2900" s="1">
        <v>6.88</v>
      </c>
      <c r="C2900" s="1">
        <v>290</v>
      </c>
      <c r="D2900" s="1" t="s">
        <v>53</v>
      </c>
      <c r="E2900" s="1" t="s">
        <v>16</v>
      </c>
      <c r="F2900" s="1">
        <f t="shared" si="98"/>
        <v>688</v>
      </c>
      <c r="G2900" s="12">
        <f t="shared" si="99"/>
        <v>42.151162790697676</v>
      </c>
    </row>
    <row r="2901" spans="1:7" ht="15.75" customHeight="1">
      <c r="A2901" s="4" t="s">
        <v>121</v>
      </c>
      <c r="B2901" s="1">
        <v>6</v>
      </c>
      <c r="C2901" s="1">
        <v>360</v>
      </c>
      <c r="D2901" s="1" t="s">
        <v>11</v>
      </c>
      <c r="E2901" s="1" t="s">
        <v>10</v>
      </c>
      <c r="F2901" s="1">
        <f t="shared" si="98"/>
        <v>600</v>
      </c>
      <c r="G2901" s="12">
        <f t="shared" si="99"/>
        <v>60</v>
      </c>
    </row>
    <row r="2902" spans="1:7" ht="15.75" customHeight="1">
      <c r="A2902" s="4" t="s">
        <v>121</v>
      </c>
      <c r="B2902" s="1">
        <v>6.88</v>
      </c>
      <c r="C2902" s="1">
        <v>325</v>
      </c>
      <c r="D2902" s="1" t="s">
        <v>43</v>
      </c>
      <c r="E2902" s="1" t="s">
        <v>8</v>
      </c>
      <c r="F2902" s="1">
        <f t="shared" si="98"/>
        <v>688</v>
      </c>
      <c r="G2902" s="12">
        <f t="shared" si="99"/>
        <v>47.238372093023258</v>
      </c>
    </row>
    <row r="2903" spans="1:7" ht="15.75" customHeight="1">
      <c r="A2903" s="4" t="s">
        <v>121</v>
      </c>
      <c r="B2903" s="1">
        <v>7.3949999999999996</v>
      </c>
      <c r="C2903" s="1">
        <v>374</v>
      </c>
      <c r="D2903" s="1" t="s">
        <v>42</v>
      </c>
      <c r="E2903" s="1" t="s">
        <v>25</v>
      </c>
      <c r="F2903" s="1">
        <f t="shared" si="98"/>
        <v>739.5</v>
      </c>
      <c r="G2903" s="12">
        <f t="shared" si="99"/>
        <v>50.574712643678161</v>
      </c>
    </row>
    <row r="2904" spans="1:7" ht="15.75" customHeight="1">
      <c r="A2904" s="4" t="s">
        <v>121</v>
      </c>
      <c r="B2904" s="1">
        <v>7.76</v>
      </c>
      <c r="C2904" s="1">
        <v>447</v>
      </c>
      <c r="D2904" s="1" t="s">
        <v>11</v>
      </c>
      <c r="E2904" s="1" t="s">
        <v>16</v>
      </c>
      <c r="F2904" s="1">
        <f t="shared" si="98"/>
        <v>776</v>
      </c>
      <c r="G2904" s="12">
        <f t="shared" si="99"/>
        <v>57.603092783505154</v>
      </c>
    </row>
    <row r="2905" spans="1:7" ht="15.75" customHeight="1">
      <c r="A2905" s="4" t="s">
        <v>121</v>
      </c>
      <c r="B2905" s="1">
        <v>6.4</v>
      </c>
      <c r="C2905" s="1">
        <v>263</v>
      </c>
      <c r="D2905" s="1" t="s">
        <v>33</v>
      </c>
      <c r="E2905" s="1" t="s">
        <v>15</v>
      </c>
      <c r="F2905" s="1">
        <f t="shared" si="98"/>
        <v>640</v>
      </c>
      <c r="G2905" s="12">
        <f t="shared" si="99"/>
        <v>41.09375</v>
      </c>
    </row>
    <row r="2906" spans="1:7" ht="15.75" customHeight="1">
      <c r="A2906" s="4" t="s">
        <v>121</v>
      </c>
      <c r="B2906" s="1">
        <v>3.44</v>
      </c>
      <c r="C2906" s="1">
        <v>180</v>
      </c>
      <c r="D2906" s="1" t="s">
        <v>11</v>
      </c>
      <c r="E2906" s="1" t="s">
        <v>9</v>
      </c>
      <c r="F2906" s="1">
        <f t="shared" si="98"/>
        <v>344</v>
      </c>
      <c r="G2906" s="12">
        <f t="shared" si="99"/>
        <v>52.325581395348841</v>
      </c>
    </row>
    <row r="2907" spans="1:7" ht="15.75" customHeight="1">
      <c r="A2907" s="4" t="s">
        <v>121</v>
      </c>
      <c r="B2907" s="1">
        <v>8.6</v>
      </c>
      <c r="C2907" s="1">
        <v>427</v>
      </c>
      <c r="D2907" s="1" t="s">
        <v>11</v>
      </c>
      <c r="E2907" s="1" t="s">
        <v>19</v>
      </c>
      <c r="F2907" s="1">
        <f t="shared" si="98"/>
        <v>860</v>
      </c>
      <c r="G2907" s="12">
        <f t="shared" si="99"/>
        <v>49.651162790697676</v>
      </c>
    </row>
    <row r="2908" spans="1:7" ht="15.75" customHeight="1">
      <c r="A2908" s="4" t="s">
        <v>121</v>
      </c>
      <c r="B2908" s="1">
        <v>8</v>
      </c>
      <c r="C2908" s="1">
        <v>433</v>
      </c>
      <c r="D2908" s="1" t="s">
        <v>11</v>
      </c>
      <c r="E2908" s="1" t="s">
        <v>22</v>
      </c>
      <c r="F2908" s="1">
        <f t="shared" si="98"/>
        <v>800</v>
      </c>
      <c r="G2908" s="12">
        <f t="shared" si="99"/>
        <v>54.125</v>
      </c>
    </row>
    <row r="2909" spans="1:7" ht="15.75" customHeight="1">
      <c r="A2909" s="4" t="s">
        <v>121</v>
      </c>
      <c r="B2909" s="1">
        <v>7.74</v>
      </c>
      <c r="C2909" s="1">
        <v>409.24</v>
      </c>
      <c r="D2909" s="1" t="s">
        <v>11</v>
      </c>
      <c r="E2909" s="1" t="s">
        <v>17</v>
      </c>
      <c r="F2909" s="1">
        <f t="shared" si="98"/>
        <v>774</v>
      </c>
      <c r="G2909" s="12">
        <f t="shared" si="99"/>
        <v>52.873385012919897</v>
      </c>
    </row>
    <row r="2910" spans="1:7" ht="15.75" customHeight="1">
      <c r="A2910" s="4" t="s">
        <v>121</v>
      </c>
      <c r="B2910" s="1">
        <v>5.85</v>
      </c>
      <c r="C2910" s="1">
        <v>340</v>
      </c>
      <c r="D2910" s="1" t="s">
        <v>45</v>
      </c>
      <c r="E2910" s="1" t="s">
        <v>15</v>
      </c>
      <c r="F2910" s="1">
        <f t="shared" si="98"/>
        <v>585</v>
      </c>
      <c r="G2910" s="12">
        <f t="shared" si="99"/>
        <v>58.119658119658126</v>
      </c>
    </row>
    <row r="2911" spans="1:7" ht="15.75" customHeight="1">
      <c r="A2911" s="4" t="s">
        <v>121</v>
      </c>
      <c r="B2911" s="1">
        <v>5.6</v>
      </c>
      <c r="C2911" s="1">
        <v>193</v>
      </c>
      <c r="D2911" s="1" t="s">
        <v>33</v>
      </c>
      <c r="E2911" s="1" t="s">
        <v>15</v>
      </c>
      <c r="F2911" s="1">
        <f t="shared" si="98"/>
        <v>560</v>
      </c>
      <c r="G2911" s="12">
        <f t="shared" si="99"/>
        <v>34.464285714285715</v>
      </c>
    </row>
    <row r="2912" spans="1:7" ht="15.75" customHeight="1">
      <c r="A2912" s="4" t="s">
        <v>121</v>
      </c>
      <c r="B2912" s="1">
        <v>6.1</v>
      </c>
      <c r="C2912" s="1">
        <v>248</v>
      </c>
      <c r="D2912" s="1" t="s">
        <v>33</v>
      </c>
      <c r="E2912" s="1" t="s">
        <v>26</v>
      </c>
      <c r="F2912" s="1">
        <f t="shared" si="98"/>
        <v>610</v>
      </c>
      <c r="G2912" s="12">
        <f t="shared" si="99"/>
        <v>40.655737704918032</v>
      </c>
    </row>
    <row r="2913" spans="1:7" ht="15.75" customHeight="1">
      <c r="A2913" s="4" t="s">
        <v>121</v>
      </c>
      <c r="B2913" s="1">
        <v>5.22</v>
      </c>
      <c r="C2913" s="1">
        <v>245</v>
      </c>
      <c r="D2913" s="1" t="s">
        <v>43</v>
      </c>
      <c r="E2913" s="1" t="s">
        <v>25</v>
      </c>
      <c r="F2913" s="1">
        <f t="shared" si="98"/>
        <v>522</v>
      </c>
      <c r="G2913" s="12">
        <f t="shared" si="99"/>
        <v>46.934865900383144</v>
      </c>
    </row>
    <row r="2914" spans="1:7" ht="15.75" customHeight="1">
      <c r="A2914" s="4" t="s">
        <v>121</v>
      </c>
      <c r="B2914" s="1">
        <v>8</v>
      </c>
      <c r="C2914" s="1">
        <v>359.74</v>
      </c>
      <c r="D2914" s="1" t="s">
        <v>33</v>
      </c>
      <c r="E2914" s="1" t="s">
        <v>22</v>
      </c>
      <c r="F2914" s="1">
        <f t="shared" si="98"/>
        <v>800</v>
      </c>
      <c r="G2914" s="12">
        <f t="shared" si="99"/>
        <v>44.967500000000001</v>
      </c>
    </row>
    <row r="2915" spans="1:7" ht="15.75" customHeight="1">
      <c r="A2915" s="4" t="s">
        <v>121</v>
      </c>
      <c r="B2915" s="1">
        <v>5.0999999999999996</v>
      </c>
      <c r="C2915" s="1">
        <v>186</v>
      </c>
      <c r="D2915" s="1" t="s">
        <v>33</v>
      </c>
      <c r="E2915" s="1" t="s">
        <v>15</v>
      </c>
      <c r="F2915" s="1">
        <f t="shared" si="98"/>
        <v>509.99999999999994</v>
      </c>
      <c r="G2915" s="12">
        <f t="shared" si="99"/>
        <v>36.470588235294123</v>
      </c>
    </row>
    <row r="2916" spans="1:7" ht="15.75" customHeight="1">
      <c r="A2916" s="4" t="s">
        <v>121</v>
      </c>
      <c r="B2916" s="1">
        <v>7.6</v>
      </c>
      <c r="C2916" s="1">
        <v>378</v>
      </c>
      <c r="D2916" s="1" t="s">
        <v>35</v>
      </c>
      <c r="E2916" s="1" t="s">
        <v>28</v>
      </c>
      <c r="F2916" s="1">
        <f t="shared" si="98"/>
        <v>760</v>
      </c>
      <c r="G2916" s="12">
        <f t="shared" si="99"/>
        <v>49.736842105263158</v>
      </c>
    </row>
    <row r="2917" spans="1:7" ht="15.75" customHeight="1">
      <c r="A2917" s="4" t="s">
        <v>121</v>
      </c>
      <c r="B2917" s="1">
        <v>6.1</v>
      </c>
      <c r="C2917" s="1">
        <v>306</v>
      </c>
      <c r="D2917" s="1" t="s">
        <v>63</v>
      </c>
      <c r="E2917" s="1" t="s">
        <v>23</v>
      </c>
      <c r="F2917" s="1">
        <f t="shared" si="98"/>
        <v>610</v>
      </c>
      <c r="G2917" s="12">
        <f t="shared" si="99"/>
        <v>50.16393442622951</v>
      </c>
    </row>
    <row r="2918" spans="1:7" ht="15.75" customHeight="1">
      <c r="A2918" s="4" t="s">
        <v>121</v>
      </c>
      <c r="B2918" s="1">
        <v>5.0999999999999996</v>
      </c>
      <c r="C2918" s="1">
        <v>212</v>
      </c>
      <c r="D2918" s="1" t="s">
        <v>40</v>
      </c>
      <c r="E2918" s="1" t="s">
        <v>15</v>
      </c>
      <c r="F2918" s="1">
        <f t="shared" si="98"/>
        <v>509.99999999999994</v>
      </c>
      <c r="G2918" s="12">
        <f t="shared" si="99"/>
        <v>41.568627450980394</v>
      </c>
    </row>
    <row r="2919" spans="1:7" ht="15.75" customHeight="1">
      <c r="A2919" s="4" t="s">
        <v>121</v>
      </c>
      <c r="B2919" s="1">
        <v>6.72</v>
      </c>
      <c r="C2919" s="1">
        <v>257</v>
      </c>
      <c r="D2919" s="1" t="s">
        <v>55</v>
      </c>
      <c r="E2919" s="1" t="s">
        <v>27</v>
      </c>
      <c r="F2919" s="1">
        <f t="shared" si="98"/>
        <v>672</v>
      </c>
      <c r="G2919" s="12">
        <f t="shared" si="99"/>
        <v>38.24404761904762</v>
      </c>
    </row>
    <row r="2920" spans="1:7" ht="15.75" customHeight="1">
      <c r="A2920" s="4" t="s">
        <v>121</v>
      </c>
      <c r="B2920" s="1">
        <v>5.92</v>
      </c>
      <c r="C2920" s="1">
        <v>364</v>
      </c>
      <c r="D2920" s="1" t="s">
        <v>11</v>
      </c>
      <c r="E2920" s="1" t="s">
        <v>17</v>
      </c>
      <c r="F2920" s="1">
        <f t="shared" si="98"/>
        <v>592</v>
      </c>
      <c r="G2920" s="12">
        <f t="shared" si="99"/>
        <v>61.486486486486484</v>
      </c>
    </row>
    <row r="2921" spans="1:7" ht="15.75" customHeight="1">
      <c r="A2921" s="4" t="s">
        <v>121</v>
      </c>
      <c r="B2921" s="1">
        <v>7.38</v>
      </c>
      <c r="C2921" s="1">
        <v>291</v>
      </c>
      <c r="D2921" s="1" t="s">
        <v>33</v>
      </c>
      <c r="E2921" s="1" t="s">
        <v>22</v>
      </c>
      <c r="F2921" s="1">
        <f t="shared" si="98"/>
        <v>738</v>
      </c>
      <c r="G2921" s="12">
        <f t="shared" si="99"/>
        <v>39.430894308943088</v>
      </c>
    </row>
    <row r="2922" spans="1:7" ht="15.75" customHeight="1">
      <c r="A2922" s="4" t="s">
        <v>121</v>
      </c>
      <c r="B2922" s="1">
        <v>9.1999999999999993</v>
      </c>
      <c r="C2922" s="1">
        <v>458</v>
      </c>
      <c r="D2922" s="1" t="s">
        <v>43</v>
      </c>
      <c r="E2922" s="1" t="s">
        <v>14</v>
      </c>
      <c r="F2922" s="1">
        <f t="shared" si="98"/>
        <v>919.99999999999989</v>
      </c>
      <c r="G2922" s="12">
        <f t="shared" si="99"/>
        <v>49.782608695652179</v>
      </c>
    </row>
    <row r="2923" spans="1:7" ht="15.75" customHeight="1">
      <c r="A2923" s="4" t="s">
        <v>121</v>
      </c>
      <c r="B2923" s="1">
        <v>6.25</v>
      </c>
      <c r="C2923" s="1">
        <v>406</v>
      </c>
      <c r="D2923" s="1" t="s">
        <v>11</v>
      </c>
      <c r="E2923" s="1" t="s">
        <v>32</v>
      </c>
      <c r="F2923" s="1">
        <f t="shared" si="98"/>
        <v>625</v>
      </c>
      <c r="G2923" s="12">
        <f t="shared" si="99"/>
        <v>64.959999999999994</v>
      </c>
    </row>
    <row r="2924" spans="1:7" ht="15.75" customHeight="1">
      <c r="A2924" s="4" t="s">
        <v>121</v>
      </c>
      <c r="B2924" s="1">
        <v>9.1</v>
      </c>
      <c r="C2924" s="1">
        <v>506</v>
      </c>
      <c r="D2924" s="1" t="s">
        <v>44</v>
      </c>
      <c r="E2924" s="1" t="s">
        <v>10</v>
      </c>
      <c r="F2924" s="1">
        <f t="shared" si="98"/>
        <v>910</v>
      </c>
      <c r="G2924" s="12">
        <f t="shared" si="99"/>
        <v>55.604395604395606</v>
      </c>
    </row>
    <row r="2925" spans="1:7" ht="15.75" customHeight="1">
      <c r="A2925" s="4" t="s">
        <v>121</v>
      </c>
      <c r="B2925" s="1">
        <v>6.8</v>
      </c>
      <c r="C2925" s="1">
        <v>252</v>
      </c>
      <c r="D2925" s="1" t="s">
        <v>33</v>
      </c>
      <c r="E2925" s="1" t="s">
        <v>19</v>
      </c>
      <c r="F2925" s="1">
        <f t="shared" si="98"/>
        <v>680</v>
      </c>
      <c r="G2925" s="12">
        <f t="shared" si="99"/>
        <v>37.058823529411768</v>
      </c>
    </row>
    <row r="2926" spans="1:7" ht="15.75" customHeight="1">
      <c r="A2926" s="4" t="s">
        <v>121</v>
      </c>
      <c r="B2926" s="1">
        <v>9</v>
      </c>
      <c r="C2926" s="1">
        <v>508</v>
      </c>
      <c r="D2926" s="1" t="s">
        <v>11</v>
      </c>
      <c r="E2926" s="1" t="s">
        <v>12</v>
      </c>
      <c r="F2926" s="1">
        <f t="shared" si="98"/>
        <v>900</v>
      </c>
      <c r="G2926" s="12">
        <f t="shared" si="99"/>
        <v>56.444444444444443</v>
      </c>
    </row>
    <row r="2927" spans="1:7" ht="15.75" customHeight="1">
      <c r="A2927" s="4" t="s">
        <v>121</v>
      </c>
      <c r="B2927" s="1">
        <v>5.0999999999999996</v>
      </c>
      <c r="C2927" s="1">
        <v>225</v>
      </c>
      <c r="D2927" s="1" t="s">
        <v>59</v>
      </c>
      <c r="E2927" s="1" t="s">
        <v>18</v>
      </c>
      <c r="F2927" s="1">
        <f t="shared" si="98"/>
        <v>509.99999999999994</v>
      </c>
      <c r="G2927" s="12">
        <f t="shared" si="99"/>
        <v>44.117647058823529</v>
      </c>
    </row>
    <row r="2928" spans="1:7" ht="15.75" customHeight="1">
      <c r="A2928" s="4" t="s">
        <v>121</v>
      </c>
      <c r="B2928" s="1">
        <v>4.5</v>
      </c>
      <c r="C2928" s="1">
        <v>1</v>
      </c>
      <c r="D2928" s="1" t="s">
        <v>11</v>
      </c>
      <c r="E2928" s="1" t="s">
        <v>15</v>
      </c>
      <c r="F2928" s="1">
        <f t="shared" si="98"/>
        <v>450</v>
      </c>
      <c r="G2928" s="12">
        <f t="shared" si="99"/>
        <v>0.22222222222222221</v>
      </c>
    </row>
    <row r="2929" spans="1:7" ht="15.75" customHeight="1">
      <c r="A2929" s="4" t="s">
        <v>121</v>
      </c>
      <c r="B2929" s="1">
        <v>7.74</v>
      </c>
      <c r="C2929" s="1">
        <v>325</v>
      </c>
      <c r="D2929" s="1" t="s">
        <v>110</v>
      </c>
      <c r="E2929" s="1" t="s">
        <v>9</v>
      </c>
      <c r="F2929" s="1">
        <f t="shared" si="98"/>
        <v>774</v>
      </c>
      <c r="G2929" s="12">
        <f t="shared" si="99"/>
        <v>41.989664082687341</v>
      </c>
    </row>
    <row r="2930" spans="1:7" ht="15.75" customHeight="1">
      <c r="A2930" s="4" t="s">
        <v>121</v>
      </c>
      <c r="B2930" s="1">
        <v>6</v>
      </c>
      <c r="C2930" s="1">
        <v>295</v>
      </c>
      <c r="D2930" s="1" t="s">
        <v>11</v>
      </c>
      <c r="E2930" s="1" t="s">
        <v>69</v>
      </c>
      <c r="F2930" s="1">
        <f t="shared" si="98"/>
        <v>600</v>
      </c>
      <c r="G2930" s="12">
        <f t="shared" si="99"/>
        <v>49.166666666666664</v>
      </c>
    </row>
    <row r="2931" spans="1:7" ht="15.75" customHeight="1">
      <c r="A2931" s="4" t="s">
        <v>121</v>
      </c>
      <c r="B2931" s="1">
        <v>7.74</v>
      </c>
      <c r="C2931" s="1">
        <v>329</v>
      </c>
      <c r="D2931" s="1" t="s">
        <v>35</v>
      </c>
      <c r="E2931" s="1" t="s">
        <v>8</v>
      </c>
      <c r="F2931" s="1">
        <f t="shared" si="98"/>
        <v>774</v>
      </c>
      <c r="G2931" s="12">
        <f t="shared" si="99"/>
        <v>42.506459948320412</v>
      </c>
    </row>
    <row r="2932" spans="1:7" ht="15.75" customHeight="1">
      <c r="A2932" s="4" t="s">
        <v>121</v>
      </c>
      <c r="B2932" s="1">
        <v>9.3000000000000007</v>
      </c>
      <c r="C2932" s="1">
        <v>309</v>
      </c>
      <c r="D2932" s="1" t="s">
        <v>33</v>
      </c>
      <c r="E2932" s="1" t="s">
        <v>18</v>
      </c>
      <c r="F2932" s="1">
        <f t="shared" si="98"/>
        <v>930.00000000000011</v>
      </c>
      <c r="G2932" s="12">
        <f t="shared" si="99"/>
        <v>33.225806451612904</v>
      </c>
    </row>
    <row r="2933" spans="1:7" ht="15.75" customHeight="1">
      <c r="A2933" s="4" t="s">
        <v>121</v>
      </c>
      <c r="B2933" s="1">
        <v>8.6999999999999993</v>
      </c>
      <c r="C2933" s="1">
        <v>379</v>
      </c>
      <c r="D2933" s="1" t="s">
        <v>43</v>
      </c>
      <c r="E2933" s="1" t="s">
        <v>20</v>
      </c>
      <c r="F2933" s="1">
        <f t="shared" si="98"/>
        <v>869.99999999999989</v>
      </c>
      <c r="G2933" s="12">
        <f t="shared" si="99"/>
        <v>43.5632183908046</v>
      </c>
    </row>
    <row r="2934" spans="1:7" ht="15.75" customHeight="1">
      <c r="A2934" s="4" t="s">
        <v>121</v>
      </c>
      <c r="B2934" s="1">
        <v>6.96</v>
      </c>
      <c r="C2934" s="1">
        <v>311</v>
      </c>
      <c r="D2934" s="1" t="s">
        <v>33</v>
      </c>
      <c r="E2934" s="1" t="s">
        <v>22</v>
      </c>
      <c r="F2934" s="1">
        <f t="shared" si="98"/>
        <v>696</v>
      </c>
      <c r="G2934" s="12">
        <f t="shared" si="99"/>
        <v>44.683908045977013</v>
      </c>
    </row>
    <row r="2935" spans="1:7" ht="15.75" customHeight="1">
      <c r="A2935" s="4" t="s">
        <v>121</v>
      </c>
      <c r="B2935" s="1">
        <v>6.7</v>
      </c>
      <c r="C2935" s="1">
        <v>386</v>
      </c>
      <c r="D2935" s="1" t="s">
        <v>11</v>
      </c>
      <c r="E2935" s="1" t="s">
        <v>16</v>
      </c>
      <c r="F2935" s="1">
        <f t="shared" si="98"/>
        <v>670</v>
      </c>
      <c r="G2935" s="12">
        <f t="shared" si="99"/>
        <v>57.611940298507463</v>
      </c>
    </row>
    <row r="2936" spans="1:7" ht="15.75" customHeight="1">
      <c r="A2936" s="4" t="s">
        <v>121</v>
      </c>
      <c r="B2936" s="1">
        <v>7.8</v>
      </c>
      <c r="C2936" s="1">
        <v>346</v>
      </c>
      <c r="D2936" s="1" t="s">
        <v>11</v>
      </c>
      <c r="E2936" s="1" t="s">
        <v>8</v>
      </c>
      <c r="F2936" s="1">
        <f t="shared" si="98"/>
        <v>780</v>
      </c>
      <c r="G2936" s="12">
        <f t="shared" si="99"/>
        <v>44.358974358974358</v>
      </c>
    </row>
    <row r="2937" spans="1:7" ht="15.75" customHeight="1">
      <c r="A2937" s="4" t="s">
        <v>121</v>
      </c>
      <c r="B2937" s="1">
        <v>6</v>
      </c>
      <c r="C2937" s="1">
        <v>268</v>
      </c>
      <c r="D2937" s="1" t="s">
        <v>11</v>
      </c>
      <c r="E2937" s="1" t="s">
        <v>12</v>
      </c>
      <c r="F2937" s="1">
        <f t="shared" si="98"/>
        <v>600</v>
      </c>
      <c r="G2937" s="12">
        <f t="shared" si="99"/>
        <v>44.666666666666664</v>
      </c>
    </row>
    <row r="2938" spans="1:7" ht="15.75" customHeight="1">
      <c r="A2938" s="4" t="s">
        <v>121</v>
      </c>
      <c r="B2938" s="1">
        <v>5.6</v>
      </c>
      <c r="C2938" s="1">
        <v>398</v>
      </c>
      <c r="D2938" s="1" t="s">
        <v>11</v>
      </c>
      <c r="E2938" s="1" t="s">
        <v>8</v>
      </c>
      <c r="F2938" s="1">
        <f t="shared" si="98"/>
        <v>560</v>
      </c>
      <c r="G2938" s="12">
        <f t="shared" si="99"/>
        <v>71.071428571428569</v>
      </c>
    </row>
    <row r="2939" spans="1:7" ht="15.75" customHeight="1">
      <c r="A2939" s="4" t="s">
        <v>121</v>
      </c>
      <c r="B2939" s="1">
        <v>7.88</v>
      </c>
      <c r="C2939" s="1">
        <v>421</v>
      </c>
      <c r="D2939" s="1" t="s">
        <v>39</v>
      </c>
      <c r="E2939" s="1" t="s">
        <v>12</v>
      </c>
      <c r="F2939" s="1">
        <f t="shared" si="98"/>
        <v>788</v>
      </c>
      <c r="G2939" s="12">
        <f t="shared" si="99"/>
        <v>53.426395939086298</v>
      </c>
    </row>
    <row r="2940" spans="1:7" ht="15.75" customHeight="1">
      <c r="A2940" s="4" t="s">
        <v>121</v>
      </c>
      <c r="B2940" s="1">
        <v>6.96</v>
      </c>
      <c r="C2940" s="1">
        <v>271</v>
      </c>
      <c r="D2940" s="1" t="s">
        <v>33</v>
      </c>
      <c r="E2940" s="1" t="s">
        <v>8</v>
      </c>
      <c r="F2940" s="1">
        <f t="shared" si="98"/>
        <v>696</v>
      </c>
      <c r="G2940" s="12">
        <f t="shared" si="99"/>
        <v>38.9367816091954</v>
      </c>
    </row>
    <row r="2941" spans="1:7" ht="15.75" customHeight="1">
      <c r="A2941" s="4" t="s">
        <v>121</v>
      </c>
      <c r="B2941" s="1">
        <v>6.5</v>
      </c>
      <c r="C2941" s="1">
        <v>310</v>
      </c>
      <c r="D2941" s="1" t="s">
        <v>11</v>
      </c>
      <c r="E2941" s="1" t="s">
        <v>8</v>
      </c>
      <c r="F2941" s="1">
        <f t="shared" si="98"/>
        <v>650</v>
      </c>
      <c r="G2941" s="12">
        <f t="shared" si="99"/>
        <v>47.692307692307693</v>
      </c>
    </row>
    <row r="2942" spans="1:7" ht="15.75" customHeight="1">
      <c r="A2942" s="4" t="s">
        <v>121</v>
      </c>
      <c r="B2942" s="1">
        <v>5.6</v>
      </c>
      <c r="C2942" s="1">
        <v>296</v>
      </c>
      <c r="D2942" s="1" t="s">
        <v>11</v>
      </c>
      <c r="E2942" s="1" t="s">
        <v>8</v>
      </c>
      <c r="F2942" s="1">
        <f t="shared" si="98"/>
        <v>560</v>
      </c>
      <c r="G2942" s="12">
        <f t="shared" si="99"/>
        <v>52.857142857142861</v>
      </c>
    </row>
    <row r="2943" spans="1:7" ht="15.75" customHeight="1">
      <c r="A2943" s="4" t="s">
        <v>121</v>
      </c>
      <c r="B2943" s="1">
        <v>7.6</v>
      </c>
      <c r="C2943" s="1">
        <v>5</v>
      </c>
      <c r="D2943" s="1" t="s">
        <v>11</v>
      </c>
      <c r="E2943" s="1" t="s">
        <v>19</v>
      </c>
      <c r="F2943" s="1">
        <f t="shared" si="98"/>
        <v>760</v>
      </c>
      <c r="G2943" s="12">
        <f t="shared" si="99"/>
        <v>0.65789473684210531</v>
      </c>
    </row>
    <row r="2944" spans="1:7" ht="15.75" customHeight="1">
      <c r="A2944" s="4" t="s">
        <v>121</v>
      </c>
      <c r="B2944" s="1">
        <v>6.88</v>
      </c>
      <c r="C2944" s="1">
        <v>276</v>
      </c>
      <c r="D2944" s="1" t="s">
        <v>47</v>
      </c>
      <c r="E2944" s="1" t="s">
        <v>7</v>
      </c>
      <c r="F2944" s="1">
        <f t="shared" si="98"/>
        <v>688</v>
      </c>
      <c r="G2944" s="12">
        <f t="shared" si="99"/>
        <v>40.116279069767444</v>
      </c>
    </row>
    <row r="2945" spans="1:7" ht="15.75" customHeight="1">
      <c r="A2945" s="4" t="s">
        <v>121</v>
      </c>
      <c r="B2945" s="1">
        <v>6.8</v>
      </c>
      <c r="C2945" s="1">
        <v>389</v>
      </c>
      <c r="D2945" s="1" t="s">
        <v>11</v>
      </c>
      <c r="E2945" s="1" t="s">
        <v>26</v>
      </c>
      <c r="F2945" s="1">
        <f t="shared" si="98"/>
        <v>680</v>
      </c>
      <c r="G2945" s="12">
        <f t="shared" si="99"/>
        <v>57.205882352941181</v>
      </c>
    </row>
    <row r="2946" spans="1:7" ht="15.75" customHeight="1">
      <c r="A2946" s="4" t="s">
        <v>121</v>
      </c>
      <c r="B2946" s="1">
        <v>8.2650000000000006</v>
      </c>
      <c r="C2946" s="1">
        <v>418</v>
      </c>
      <c r="D2946" s="1" t="s">
        <v>43</v>
      </c>
      <c r="E2946" s="1" t="s">
        <v>18</v>
      </c>
      <c r="F2946" s="1">
        <f t="shared" si="98"/>
        <v>826.5</v>
      </c>
      <c r="G2946" s="12">
        <f t="shared" si="99"/>
        <v>50.574712643678154</v>
      </c>
    </row>
    <row r="2947" spans="1:7" ht="15.75" customHeight="1">
      <c r="A2947" s="4" t="s">
        <v>121</v>
      </c>
      <c r="B2947" s="1">
        <v>7.1</v>
      </c>
      <c r="C2947" s="1">
        <v>304</v>
      </c>
      <c r="D2947" s="1" t="s">
        <v>92</v>
      </c>
      <c r="E2947" s="1" t="s">
        <v>26</v>
      </c>
      <c r="F2947" s="1">
        <f t="shared" ref="F2947:F3010" si="100">B2947*100</f>
        <v>710</v>
      </c>
      <c r="G2947" s="12">
        <f t="shared" ref="G2947:G3010" si="101">C2947/B2947</f>
        <v>42.816901408450704</v>
      </c>
    </row>
    <row r="2948" spans="1:7" ht="15.75" customHeight="1">
      <c r="A2948" s="4" t="s">
        <v>121</v>
      </c>
      <c r="B2948" s="1">
        <v>5.5</v>
      </c>
      <c r="C2948" s="1">
        <v>266</v>
      </c>
      <c r="D2948" s="1" t="s">
        <v>35</v>
      </c>
      <c r="E2948" s="1" t="s">
        <v>8</v>
      </c>
      <c r="F2948" s="1">
        <f t="shared" si="100"/>
        <v>550</v>
      </c>
      <c r="G2948" s="12">
        <f t="shared" si="101"/>
        <v>48.363636363636367</v>
      </c>
    </row>
    <row r="2949" spans="1:7" ht="15.75" customHeight="1">
      <c r="A2949" s="4" t="s">
        <v>121</v>
      </c>
      <c r="B2949" s="1">
        <v>7.4</v>
      </c>
      <c r="C2949" s="1">
        <v>253</v>
      </c>
      <c r="D2949" s="1" t="s">
        <v>55</v>
      </c>
      <c r="E2949" s="1" t="s">
        <v>17</v>
      </c>
      <c r="F2949" s="1">
        <f t="shared" si="100"/>
        <v>740</v>
      </c>
      <c r="G2949" s="12">
        <f t="shared" si="101"/>
        <v>34.189189189189186</v>
      </c>
    </row>
    <row r="2950" spans="1:7" ht="15.75" customHeight="1">
      <c r="A2950" s="4" t="s">
        <v>121</v>
      </c>
      <c r="B2950" s="1">
        <v>9.36</v>
      </c>
      <c r="C2950" s="1">
        <v>319</v>
      </c>
      <c r="D2950" s="1" t="s">
        <v>11</v>
      </c>
      <c r="E2950" s="1" t="s">
        <v>18</v>
      </c>
      <c r="F2950" s="1">
        <f t="shared" si="100"/>
        <v>936</v>
      </c>
      <c r="G2950" s="12">
        <f t="shared" si="101"/>
        <v>34.081196581196586</v>
      </c>
    </row>
    <row r="2951" spans="1:7" ht="15.75" customHeight="1">
      <c r="A2951" s="4" t="s">
        <v>121</v>
      </c>
      <c r="B2951" s="1">
        <v>6.1</v>
      </c>
      <c r="C2951" s="1">
        <v>338</v>
      </c>
      <c r="D2951" s="1" t="s">
        <v>11</v>
      </c>
      <c r="E2951" s="1" t="s">
        <v>17</v>
      </c>
      <c r="F2951" s="1">
        <f t="shared" si="100"/>
        <v>610</v>
      </c>
      <c r="G2951" s="12">
        <f t="shared" si="101"/>
        <v>55.409836065573771</v>
      </c>
    </row>
    <row r="2952" spans="1:7" ht="15.75" customHeight="1">
      <c r="A2952" s="4" t="s">
        <v>121</v>
      </c>
      <c r="B2952" s="1">
        <v>6.7</v>
      </c>
      <c r="C2952" s="1">
        <v>269</v>
      </c>
      <c r="D2952" s="1" t="s">
        <v>33</v>
      </c>
      <c r="E2952" s="1" t="s">
        <v>21</v>
      </c>
      <c r="F2952" s="1">
        <f t="shared" si="100"/>
        <v>670</v>
      </c>
      <c r="G2952" s="12">
        <f t="shared" si="101"/>
        <v>40.149253731343279</v>
      </c>
    </row>
    <row r="2953" spans="1:7" ht="15.75" customHeight="1">
      <c r="A2953" s="4" t="s">
        <v>121</v>
      </c>
      <c r="B2953" s="1">
        <v>3.48</v>
      </c>
      <c r="C2953" s="1">
        <v>193</v>
      </c>
      <c r="D2953" s="1" t="s">
        <v>11</v>
      </c>
      <c r="E2953" s="1" t="s">
        <v>7</v>
      </c>
      <c r="F2953" s="1">
        <f t="shared" si="100"/>
        <v>348</v>
      </c>
      <c r="G2953" s="12">
        <f t="shared" si="101"/>
        <v>55.459770114942529</v>
      </c>
    </row>
    <row r="2954" spans="1:7" ht="15.75" customHeight="1">
      <c r="A2954" s="4" t="s">
        <v>121</v>
      </c>
      <c r="B2954" s="1">
        <v>7.83</v>
      </c>
      <c r="C2954" s="1">
        <v>306</v>
      </c>
      <c r="D2954" s="1" t="s">
        <v>52</v>
      </c>
      <c r="E2954" s="1" t="s">
        <v>17</v>
      </c>
      <c r="F2954" s="1">
        <f t="shared" si="100"/>
        <v>783</v>
      </c>
      <c r="G2954" s="12">
        <f t="shared" si="101"/>
        <v>39.080459770114942</v>
      </c>
    </row>
    <row r="2955" spans="1:7" ht="15.75" customHeight="1">
      <c r="A2955" s="4" t="s">
        <v>121</v>
      </c>
      <c r="B2955" s="1">
        <v>5.5</v>
      </c>
      <c r="C2955" s="1">
        <v>421</v>
      </c>
      <c r="D2955" s="1" t="s">
        <v>11</v>
      </c>
      <c r="E2955" s="1" t="s">
        <v>15</v>
      </c>
      <c r="F2955" s="1">
        <f t="shared" si="100"/>
        <v>550</v>
      </c>
      <c r="G2955" s="12">
        <f t="shared" si="101"/>
        <v>76.545454545454547</v>
      </c>
    </row>
    <row r="2956" spans="1:7" ht="15.75" customHeight="1">
      <c r="A2956" s="4" t="s">
        <v>121</v>
      </c>
      <c r="B2956" s="1">
        <v>4.8</v>
      </c>
      <c r="C2956" s="1">
        <v>257</v>
      </c>
      <c r="D2956" s="1" t="s">
        <v>42</v>
      </c>
      <c r="E2956" s="1" t="s">
        <v>22</v>
      </c>
      <c r="F2956" s="1">
        <f t="shared" si="100"/>
        <v>480</v>
      </c>
      <c r="G2956" s="12">
        <f t="shared" si="101"/>
        <v>53.541666666666671</v>
      </c>
    </row>
    <row r="2957" spans="1:7" ht="15.75" customHeight="1">
      <c r="A2957" s="4" t="s">
        <v>121</v>
      </c>
      <c r="B2957" s="1">
        <v>4.5599999999999996</v>
      </c>
      <c r="C2957" s="1">
        <v>184</v>
      </c>
      <c r="D2957" s="1" t="s">
        <v>33</v>
      </c>
      <c r="E2957" s="1" t="s">
        <v>17</v>
      </c>
      <c r="F2957" s="1">
        <f t="shared" si="100"/>
        <v>455.99999999999994</v>
      </c>
      <c r="G2957" s="12">
        <f t="shared" si="101"/>
        <v>40.350877192982459</v>
      </c>
    </row>
    <row r="2958" spans="1:7" ht="15.75" customHeight="1">
      <c r="A2958" s="4" t="s">
        <v>121</v>
      </c>
      <c r="B2958" s="1">
        <v>4.03</v>
      </c>
      <c r="C2958" s="1">
        <v>228</v>
      </c>
      <c r="D2958" s="1" t="s">
        <v>11</v>
      </c>
      <c r="E2958" s="1" t="s">
        <v>9</v>
      </c>
      <c r="F2958" s="1">
        <f t="shared" si="100"/>
        <v>403</v>
      </c>
      <c r="G2958" s="12">
        <f t="shared" si="101"/>
        <v>56.575682382133991</v>
      </c>
    </row>
    <row r="2959" spans="1:7" ht="15.75" customHeight="1">
      <c r="A2959" s="4" t="s">
        <v>121</v>
      </c>
      <c r="B2959" s="1">
        <v>5.3949999999999996</v>
      </c>
      <c r="C2959" s="1">
        <v>284.8</v>
      </c>
      <c r="D2959" s="1" t="s">
        <v>35</v>
      </c>
      <c r="E2959" s="1" t="s">
        <v>15</v>
      </c>
      <c r="F2959" s="1">
        <f t="shared" si="100"/>
        <v>539.5</v>
      </c>
      <c r="G2959" s="12">
        <f t="shared" si="101"/>
        <v>52.789620018535686</v>
      </c>
    </row>
    <row r="2960" spans="1:7" ht="15.75" customHeight="1">
      <c r="A2960" s="4" t="s">
        <v>121</v>
      </c>
      <c r="B2960" s="1">
        <v>6.5</v>
      </c>
      <c r="C2960" s="1">
        <v>294</v>
      </c>
      <c r="D2960" s="1" t="s">
        <v>55</v>
      </c>
      <c r="E2960" s="1" t="s">
        <v>15</v>
      </c>
      <c r="F2960" s="1">
        <f t="shared" si="100"/>
        <v>650</v>
      </c>
      <c r="G2960" s="12">
        <f t="shared" si="101"/>
        <v>45.230769230769234</v>
      </c>
    </row>
    <row r="2961" spans="1:7" ht="15.75" customHeight="1">
      <c r="A2961" s="4" t="s">
        <v>121</v>
      </c>
      <c r="B2961" s="1">
        <v>9.68</v>
      </c>
      <c r="C2961" s="1">
        <v>368</v>
      </c>
      <c r="D2961" s="1" t="s">
        <v>36</v>
      </c>
      <c r="E2961" s="1" t="s">
        <v>7</v>
      </c>
      <c r="F2961" s="1">
        <f t="shared" si="100"/>
        <v>968</v>
      </c>
      <c r="G2961" s="12">
        <f t="shared" si="101"/>
        <v>38.016528925619838</v>
      </c>
    </row>
    <row r="2962" spans="1:7" ht="15.75" customHeight="1">
      <c r="A2962" s="4" t="s">
        <v>121</v>
      </c>
      <c r="B2962" s="1">
        <v>9.4</v>
      </c>
      <c r="C2962" s="1">
        <v>196</v>
      </c>
      <c r="D2962" s="1" t="s">
        <v>11</v>
      </c>
      <c r="E2962" s="1" t="s">
        <v>19</v>
      </c>
      <c r="F2962" s="1">
        <f t="shared" si="100"/>
        <v>940</v>
      </c>
      <c r="G2962" s="12">
        <f t="shared" si="101"/>
        <v>20.851063829787233</v>
      </c>
    </row>
    <row r="2963" spans="1:7" ht="15.75" customHeight="1">
      <c r="A2963" s="4" t="s">
        <v>121</v>
      </c>
      <c r="B2963" s="1">
        <v>8.375</v>
      </c>
      <c r="C2963" s="1">
        <v>474</v>
      </c>
      <c r="D2963" s="1" t="s">
        <v>11</v>
      </c>
      <c r="E2963" s="1" t="s">
        <v>15</v>
      </c>
      <c r="F2963" s="1">
        <f t="shared" si="100"/>
        <v>837.5</v>
      </c>
      <c r="G2963" s="12">
        <f t="shared" si="101"/>
        <v>56.597014925373138</v>
      </c>
    </row>
    <row r="2964" spans="1:7" ht="15.75" customHeight="1">
      <c r="A2964" s="4" t="s">
        <v>121</v>
      </c>
      <c r="B2964" s="1">
        <v>4.3</v>
      </c>
      <c r="C2964" s="1">
        <v>146</v>
      </c>
      <c r="D2964" s="1" t="s">
        <v>33</v>
      </c>
      <c r="E2964" s="1" t="s">
        <v>30</v>
      </c>
      <c r="F2964" s="1">
        <f t="shared" si="100"/>
        <v>430</v>
      </c>
      <c r="G2964" s="12">
        <f t="shared" si="101"/>
        <v>33.953488372093027</v>
      </c>
    </row>
    <row r="2965" spans="1:7" ht="15.75" customHeight="1">
      <c r="A2965" s="4" t="s">
        <v>121</v>
      </c>
      <c r="B2965" s="1">
        <v>5.2</v>
      </c>
      <c r="C2965" s="1">
        <v>319</v>
      </c>
      <c r="D2965" s="1" t="s">
        <v>11</v>
      </c>
      <c r="E2965" s="1" t="s">
        <v>16</v>
      </c>
      <c r="F2965" s="1">
        <f t="shared" si="100"/>
        <v>520</v>
      </c>
      <c r="G2965" s="12">
        <f t="shared" si="101"/>
        <v>61.346153846153847</v>
      </c>
    </row>
    <row r="2966" spans="1:7" ht="15.75" customHeight="1">
      <c r="A2966" s="4" t="s">
        <v>121</v>
      </c>
      <c r="B2966" s="1">
        <v>6.88</v>
      </c>
      <c r="C2966" s="1">
        <v>329</v>
      </c>
      <c r="D2966" s="1" t="s">
        <v>11</v>
      </c>
      <c r="E2966" s="1" t="s">
        <v>10</v>
      </c>
      <c r="F2966" s="1">
        <f t="shared" si="100"/>
        <v>688</v>
      </c>
      <c r="G2966" s="12">
        <f t="shared" si="101"/>
        <v>47.819767441860463</v>
      </c>
    </row>
    <row r="2967" spans="1:7" ht="15.75" customHeight="1">
      <c r="A2967" s="4" t="s">
        <v>121</v>
      </c>
      <c r="B2967" s="1">
        <v>5.46</v>
      </c>
      <c r="C2967" s="1">
        <v>348</v>
      </c>
      <c r="D2967" s="1" t="s">
        <v>43</v>
      </c>
      <c r="E2967" s="1" t="s">
        <v>15</v>
      </c>
      <c r="F2967" s="1">
        <f t="shared" si="100"/>
        <v>546</v>
      </c>
      <c r="G2967" s="12">
        <f t="shared" si="101"/>
        <v>63.736263736263737</v>
      </c>
    </row>
    <row r="2968" spans="1:7" ht="15.75" customHeight="1">
      <c r="A2968" s="4" t="s">
        <v>121</v>
      </c>
      <c r="B2968" s="1">
        <v>5</v>
      </c>
      <c r="C2968" s="1">
        <v>455</v>
      </c>
      <c r="D2968" s="1" t="s">
        <v>11</v>
      </c>
      <c r="E2968" s="1" t="s">
        <v>26</v>
      </c>
      <c r="F2968" s="1">
        <f t="shared" si="100"/>
        <v>500</v>
      </c>
      <c r="G2968" s="12">
        <f t="shared" si="101"/>
        <v>91</v>
      </c>
    </row>
    <row r="2969" spans="1:7" ht="15.75" customHeight="1">
      <c r="A2969" s="4" t="s">
        <v>121</v>
      </c>
      <c r="B2969" s="1">
        <v>6.4</v>
      </c>
      <c r="C2969" s="1">
        <v>307</v>
      </c>
      <c r="D2969" s="1" t="s">
        <v>11</v>
      </c>
      <c r="E2969" s="1" t="s">
        <v>12</v>
      </c>
      <c r="F2969" s="1">
        <f t="shared" si="100"/>
        <v>640</v>
      </c>
      <c r="G2969" s="12">
        <f t="shared" si="101"/>
        <v>47.96875</v>
      </c>
    </row>
    <row r="2970" spans="1:7" ht="15.75" customHeight="1">
      <c r="A2970" s="4" t="s">
        <v>121</v>
      </c>
      <c r="B2970" s="1">
        <v>7.74</v>
      </c>
      <c r="C2970" s="1">
        <v>316</v>
      </c>
      <c r="D2970" s="1" t="s">
        <v>33</v>
      </c>
      <c r="E2970" s="1" t="s">
        <v>16</v>
      </c>
      <c r="F2970" s="1">
        <f t="shared" si="100"/>
        <v>774</v>
      </c>
      <c r="G2970" s="12">
        <f t="shared" si="101"/>
        <v>40.826873385012917</v>
      </c>
    </row>
    <row r="2971" spans="1:7" ht="15.75" customHeight="1">
      <c r="A2971" s="4" t="s">
        <v>121</v>
      </c>
      <c r="B2971" s="1">
        <v>7.74</v>
      </c>
      <c r="C2971" s="1">
        <v>301</v>
      </c>
      <c r="D2971" s="1" t="s">
        <v>53</v>
      </c>
      <c r="E2971" s="1" t="s">
        <v>7</v>
      </c>
      <c r="F2971" s="1">
        <f t="shared" si="100"/>
        <v>774</v>
      </c>
      <c r="G2971" s="12">
        <f t="shared" si="101"/>
        <v>38.888888888888886</v>
      </c>
    </row>
    <row r="2972" spans="1:7" ht="15.75" customHeight="1">
      <c r="A2972" s="4" t="s">
        <v>121</v>
      </c>
      <c r="B2972" s="1">
        <v>10</v>
      </c>
      <c r="C2972" s="1">
        <v>516</v>
      </c>
      <c r="D2972" s="1" t="s">
        <v>11</v>
      </c>
      <c r="E2972" s="1" t="s">
        <v>25</v>
      </c>
      <c r="F2972" s="1">
        <f t="shared" si="100"/>
        <v>1000</v>
      </c>
      <c r="G2972" s="12">
        <f t="shared" si="101"/>
        <v>51.6</v>
      </c>
    </row>
    <row r="2973" spans="1:7" ht="15.75" customHeight="1">
      <c r="A2973" s="4" t="s">
        <v>121</v>
      </c>
      <c r="B2973" s="1">
        <v>7</v>
      </c>
      <c r="C2973" s="1">
        <v>356</v>
      </c>
      <c r="D2973" s="1" t="s">
        <v>36</v>
      </c>
      <c r="E2973" s="1" t="s">
        <v>15</v>
      </c>
      <c r="F2973" s="1">
        <f t="shared" si="100"/>
        <v>700</v>
      </c>
      <c r="G2973" s="12">
        <f t="shared" si="101"/>
        <v>50.857142857142854</v>
      </c>
    </row>
    <row r="2974" spans="1:7" ht="15.75" customHeight="1">
      <c r="A2974" s="4" t="s">
        <v>121</v>
      </c>
      <c r="B2974" s="1">
        <v>7.56</v>
      </c>
      <c r="C2974" s="1">
        <v>407</v>
      </c>
      <c r="D2974" s="1" t="s">
        <v>11</v>
      </c>
      <c r="E2974" s="1" t="s">
        <v>25</v>
      </c>
      <c r="F2974" s="1">
        <f t="shared" si="100"/>
        <v>756</v>
      </c>
      <c r="G2974" s="12">
        <f t="shared" si="101"/>
        <v>53.835978835978835</v>
      </c>
    </row>
    <row r="2975" spans="1:7" ht="15.75" customHeight="1">
      <c r="A2975" s="4" t="s">
        <v>121</v>
      </c>
      <c r="B2975" s="1">
        <v>6.9</v>
      </c>
      <c r="C2975" s="1">
        <v>332</v>
      </c>
      <c r="D2975" s="1" t="s">
        <v>38</v>
      </c>
      <c r="E2975" s="1" t="s">
        <v>8</v>
      </c>
      <c r="F2975" s="1">
        <f t="shared" si="100"/>
        <v>690</v>
      </c>
      <c r="G2975" s="12">
        <f t="shared" si="101"/>
        <v>48.115942028985508</v>
      </c>
    </row>
    <row r="2976" spans="1:7" ht="15.75" customHeight="1">
      <c r="A2976" s="4" t="s">
        <v>121</v>
      </c>
      <c r="B2976" s="1">
        <v>3.8</v>
      </c>
      <c r="C2976" s="1">
        <v>207</v>
      </c>
      <c r="D2976" s="1" t="s">
        <v>11</v>
      </c>
      <c r="E2976" s="1" t="s">
        <v>31</v>
      </c>
      <c r="F2976" s="1">
        <f t="shared" si="100"/>
        <v>380</v>
      </c>
      <c r="G2976" s="12">
        <f t="shared" si="101"/>
        <v>54.473684210526315</v>
      </c>
    </row>
    <row r="2977" spans="1:7" ht="15.75" customHeight="1">
      <c r="A2977" s="4" t="s">
        <v>121</v>
      </c>
      <c r="B2977" s="1">
        <v>5.81</v>
      </c>
      <c r="C2977" s="1">
        <v>298</v>
      </c>
      <c r="D2977" s="1" t="s">
        <v>38</v>
      </c>
      <c r="E2977" s="1" t="s">
        <v>8</v>
      </c>
      <c r="F2977" s="1">
        <f t="shared" si="100"/>
        <v>581</v>
      </c>
      <c r="G2977" s="12">
        <f t="shared" si="101"/>
        <v>51.290877796901896</v>
      </c>
    </row>
    <row r="2978" spans="1:7" ht="15.75" customHeight="1">
      <c r="A2978" s="4" t="s">
        <v>121</v>
      </c>
      <c r="B2978" s="1">
        <v>8.64</v>
      </c>
      <c r="C2978" s="1">
        <v>499.53</v>
      </c>
      <c r="D2978" s="1" t="s">
        <v>11</v>
      </c>
      <c r="E2978" s="1" t="s">
        <v>9</v>
      </c>
      <c r="F2978" s="1">
        <f t="shared" si="100"/>
        <v>864</v>
      </c>
      <c r="G2978" s="12">
        <f t="shared" si="101"/>
        <v>57.815972222222214</v>
      </c>
    </row>
    <row r="2979" spans="1:7" ht="15.75" customHeight="1">
      <c r="A2979" s="4" t="s">
        <v>121</v>
      </c>
      <c r="B2979" s="1">
        <v>4</v>
      </c>
      <c r="C2979" s="1">
        <v>198</v>
      </c>
      <c r="D2979" s="1" t="s">
        <v>44</v>
      </c>
      <c r="E2979" s="1" t="s">
        <v>21</v>
      </c>
      <c r="F2979" s="1">
        <f t="shared" si="100"/>
        <v>400</v>
      </c>
      <c r="G2979" s="12">
        <f t="shared" si="101"/>
        <v>49.5</v>
      </c>
    </row>
    <row r="2980" spans="1:7" ht="15.75" customHeight="1">
      <c r="A2980" s="4" t="s">
        <v>121</v>
      </c>
      <c r="B2980" s="1">
        <v>7.3</v>
      </c>
      <c r="C2980" s="1">
        <v>259</v>
      </c>
      <c r="D2980" s="1" t="s">
        <v>33</v>
      </c>
      <c r="E2980" s="1" t="s">
        <v>20</v>
      </c>
      <c r="F2980" s="1">
        <f t="shared" si="100"/>
        <v>730</v>
      </c>
      <c r="G2980" s="12">
        <f t="shared" si="101"/>
        <v>35.479452054794521</v>
      </c>
    </row>
    <row r="2981" spans="1:7" ht="15.75" customHeight="1">
      <c r="A2981" s="4" t="s">
        <v>121</v>
      </c>
      <c r="B2981" s="1">
        <v>6.5</v>
      </c>
      <c r="C2981" s="1">
        <v>288</v>
      </c>
      <c r="D2981" s="1" t="s">
        <v>33</v>
      </c>
      <c r="E2981" s="1" t="s">
        <v>21</v>
      </c>
      <c r="F2981" s="1">
        <f t="shared" si="100"/>
        <v>650</v>
      </c>
      <c r="G2981" s="12">
        <f t="shared" si="101"/>
        <v>44.307692307692307</v>
      </c>
    </row>
    <row r="2982" spans="1:7" ht="15.75" customHeight="1">
      <c r="A2982" s="4" t="s">
        <v>121</v>
      </c>
      <c r="B2982" s="1">
        <v>8.6999999999999993</v>
      </c>
      <c r="C2982" s="1">
        <v>490</v>
      </c>
      <c r="D2982" s="1" t="s">
        <v>11</v>
      </c>
      <c r="E2982" s="1" t="s">
        <v>27</v>
      </c>
      <c r="F2982" s="1">
        <f t="shared" si="100"/>
        <v>869.99999999999989</v>
      </c>
      <c r="G2982" s="12">
        <f t="shared" si="101"/>
        <v>56.321839080459775</v>
      </c>
    </row>
    <row r="2983" spans="1:7" ht="15.75" customHeight="1">
      <c r="A2983" s="4" t="s">
        <v>121</v>
      </c>
      <c r="B2983" s="1">
        <v>4.5</v>
      </c>
      <c r="C2983" s="1">
        <v>145</v>
      </c>
      <c r="D2983" s="1" t="s">
        <v>33</v>
      </c>
      <c r="E2983" s="1" t="s">
        <v>8</v>
      </c>
      <c r="F2983" s="1">
        <f t="shared" si="100"/>
        <v>450</v>
      </c>
      <c r="G2983" s="12">
        <f t="shared" si="101"/>
        <v>32.222222222222221</v>
      </c>
    </row>
    <row r="2984" spans="1:7" ht="15.75" customHeight="1">
      <c r="A2984" s="4" t="s">
        <v>121</v>
      </c>
      <c r="B2984" s="1">
        <v>7.29</v>
      </c>
      <c r="C2984" s="1">
        <v>394</v>
      </c>
      <c r="D2984" s="1" t="s">
        <v>11</v>
      </c>
      <c r="E2984" s="1" t="s">
        <v>7</v>
      </c>
      <c r="F2984" s="1">
        <f t="shared" si="100"/>
        <v>729</v>
      </c>
      <c r="G2984" s="12">
        <f t="shared" si="101"/>
        <v>54.046639231824415</v>
      </c>
    </row>
    <row r="2985" spans="1:7" ht="15.75" customHeight="1">
      <c r="A2985" s="4" t="s">
        <v>121</v>
      </c>
      <c r="B2985" s="1">
        <v>4</v>
      </c>
      <c r="C2985" s="1">
        <v>140</v>
      </c>
      <c r="D2985" s="1" t="s">
        <v>43</v>
      </c>
      <c r="E2985" s="1" t="s">
        <v>68</v>
      </c>
      <c r="F2985" s="1">
        <f t="shared" si="100"/>
        <v>400</v>
      </c>
      <c r="G2985" s="12">
        <f t="shared" si="101"/>
        <v>35</v>
      </c>
    </row>
    <row r="2986" spans="1:7" ht="15.75" customHeight="1">
      <c r="A2986" s="4" t="s">
        <v>121</v>
      </c>
      <c r="B2986" s="1">
        <v>6.2</v>
      </c>
      <c r="C2986" s="1">
        <v>240</v>
      </c>
      <c r="D2986" s="1" t="s">
        <v>33</v>
      </c>
      <c r="E2986" s="1" t="s">
        <v>14</v>
      </c>
      <c r="F2986" s="1">
        <f t="shared" si="100"/>
        <v>620</v>
      </c>
      <c r="G2986" s="12">
        <f t="shared" si="101"/>
        <v>38.70967741935484</v>
      </c>
    </row>
    <row r="2987" spans="1:7" ht="15.75" customHeight="1">
      <c r="A2987" s="4" t="s">
        <v>121</v>
      </c>
      <c r="B2987" s="1">
        <v>7.2</v>
      </c>
      <c r="C2987" s="1">
        <v>319</v>
      </c>
      <c r="D2987" s="1" t="s">
        <v>43</v>
      </c>
      <c r="E2987" s="1" t="s">
        <v>17</v>
      </c>
      <c r="F2987" s="1">
        <f t="shared" si="100"/>
        <v>720</v>
      </c>
      <c r="G2987" s="12">
        <f t="shared" si="101"/>
        <v>44.305555555555557</v>
      </c>
    </row>
    <row r="2988" spans="1:7" ht="15.75" customHeight="1">
      <c r="A2988" s="4" t="s">
        <v>121</v>
      </c>
      <c r="B2988" s="1">
        <v>8.6</v>
      </c>
      <c r="C2988" s="1">
        <v>559</v>
      </c>
      <c r="D2988" s="1" t="s">
        <v>42</v>
      </c>
      <c r="E2988" s="1" t="s">
        <v>8</v>
      </c>
      <c r="F2988" s="1">
        <f t="shared" si="100"/>
        <v>860</v>
      </c>
      <c r="G2988" s="12">
        <f t="shared" si="101"/>
        <v>65</v>
      </c>
    </row>
    <row r="2989" spans="1:7" ht="15.75" customHeight="1">
      <c r="A2989" s="4" t="s">
        <v>121</v>
      </c>
      <c r="B2989" s="1">
        <v>5.6</v>
      </c>
      <c r="C2989" s="1">
        <v>273</v>
      </c>
      <c r="D2989" s="1" t="s">
        <v>39</v>
      </c>
      <c r="E2989" s="1" t="s">
        <v>62</v>
      </c>
      <c r="F2989" s="1">
        <f t="shared" si="100"/>
        <v>560</v>
      </c>
      <c r="G2989" s="12">
        <f t="shared" si="101"/>
        <v>48.75</v>
      </c>
    </row>
    <row r="2990" spans="1:7" ht="15.75" customHeight="1">
      <c r="A2990" s="4" t="s">
        <v>121</v>
      </c>
      <c r="B2990" s="1">
        <v>7.9</v>
      </c>
      <c r="C2990" s="1">
        <v>433</v>
      </c>
      <c r="D2990" s="1" t="s">
        <v>11</v>
      </c>
      <c r="E2990" s="1" t="s">
        <v>27</v>
      </c>
      <c r="F2990" s="1">
        <f t="shared" si="100"/>
        <v>790</v>
      </c>
      <c r="G2990" s="12">
        <f t="shared" si="101"/>
        <v>54.810126582278478</v>
      </c>
    </row>
    <row r="2991" spans="1:7" ht="15.75" customHeight="1">
      <c r="A2991" s="4" t="s">
        <v>121</v>
      </c>
      <c r="B2991" s="1">
        <v>6.4</v>
      </c>
      <c r="C2991" s="1">
        <v>447</v>
      </c>
      <c r="D2991" s="1" t="s">
        <v>11</v>
      </c>
      <c r="E2991" s="1" t="s">
        <v>26</v>
      </c>
      <c r="F2991" s="1">
        <f t="shared" si="100"/>
        <v>640</v>
      </c>
      <c r="G2991" s="12">
        <f t="shared" si="101"/>
        <v>69.84375</v>
      </c>
    </row>
    <row r="2992" spans="1:7" ht="15.75" customHeight="1">
      <c r="A2992" s="4" t="s">
        <v>121</v>
      </c>
      <c r="B2992" s="1">
        <v>5.22</v>
      </c>
      <c r="C2992" s="1">
        <v>279</v>
      </c>
      <c r="D2992" s="1" t="s">
        <v>35</v>
      </c>
      <c r="E2992" s="1" t="s">
        <v>17</v>
      </c>
      <c r="F2992" s="1">
        <f t="shared" si="100"/>
        <v>522</v>
      </c>
      <c r="G2992" s="12">
        <f t="shared" si="101"/>
        <v>53.448275862068968</v>
      </c>
    </row>
    <row r="2993" spans="1:7" ht="15.75" customHeight="1">
      <c r="A2993" s="4" t="s">
        <v>121</v>
      </c>
      <c r="B2993" s="1">
        <v>6.4</v>
      </c>
      <c r="C2993" s="1">
        <v>276.3</v>
      </c>
      <c r="D2993" s="1" t="s">
        <v>35</v>
      </c>
      <c r="E2993" s="1" t="s">
        <v>18</v>
      </c>
      <c r="F2993" s="1">
        <f t="shared" si="100"/>
        <v>640</v>
      </c>
      <c r="G2993" s="12">
        <f t="shared" si="101"/>
        <v>43.171875</v>
      </c>
    </row>
    <row r="2994" spans="1:7" ht="15.75" customHeight="1">
      <c r="A2994" s="4" t="s">
        <v>121</v>
      </c>
      <c r="B2994" s="1">
        <v>7.3</v>
      </c>
      <c r="C2994" s="1">
        <v>499</v>
      </c>
      <c r="D2994" s="1" t="s">
        <v>11</v>
      </c>
      <c r="E2994" s="1" t="s">
        <v>26</v>
      </c>
      <c r="F2994" s="1">
        <f t="shared" si="100"/>
        <v>730</v>
      </c>
      <c r="G2994" s="12">
        <f t="shared" si="101"/>
        <v>68.356164383561648</v>
      </c>
    </row>
    <row r="2995" spans="1:7" ht="15.75" customHeight="1">
      <c r="A2995" s="4" t="s">
        <v>121</v>
      </c>
      <c r="B2995" s="1">
        <v>4.3600000000000003</v>
      </c>
      <c r="C2995" s="1">
        <v>242</v>
      </c>
      <c r="D2995" s="1" t="s">
        <v>33</v>
      </c>
      <c r="E2995" s="1" t="s">
        <v>15</v>
      </c>
      <c r="F2995" s="1">
        <f t="shared" si="100"/>
        <v>436.00000000000006</v>
      </c>
      <c r="G2995" s="12">
        <f t="shared" si="101"/>
        <v>55.5045871559633</v>
      </c>
    </row>
    <row r="2996" spans="1:7" ht="15.75" customHeight="1">
      <c r="A2996" s="4" t="s">
        <v>121</v>
      </c>
      <c r="B2996" s="1">
        <v>8</v>
      </c>
      <c r="C2996" s="1">
        <v>401</v>
      </c>
      <c r="D2996" s="1" t="s">
        <v>11</v>
      </c>
      <c r="E2996" s="1" t="s">
        <v>12</v>
      </c>
      <c r="F2996" s="1">
        <f t="shared" si="100"/>
        <v>800</v>
      </c>
      <c r="G2996" s="12">
        <f t="shared" si="101"/>
        <v>50.125</v>
      </c>
    </row>
    <row r="2997" spans="1:7" ht="15.75" customHeight="1">
      <c r="A2997" s="4" t="s">
        <v>121</v>
      </c>
      <c r="B2997" s="1">
        <v>6.09</v>
      </c>
      <c r="C2997" s="1">
        <v>356</v>
      </c>
      <c r="D2997" s="1" t="s">
        <v>11</v>
      </c>
      <c r="E2997" s="1" t="s">
        <v>26</v>
      </c>
      <c r="F2997" s="1">
        <f t="shared" si="100"/>
        <v>609</v>
      </c>
      <c r="G2997" s="12">
        <f t="shared" si="101"/>
        <v>58.456486042692937</v>
      </c>
    </row>
    <row r="2998" spans="1:7" ht="15.75" customHeight="1">
      <c r="A2998" s="4" t="s">
        <v>121</v>
      </c>
      <c r="B2998" s="1">
        <v>5.0999999999999996</v>
      </c>
      <c r="C2998" s="1">
        <v>301</v>
      </c>
      <c r="D2998" s="1" t="s">
        <v>34</v>
      </c>
      <c r="E2998" s="1" t="s">
        <v>69</v>
      </c>
      <c r="F2998" s="1">
        <f t="shared" si="100"/>
        <v>509.99999999999994</v>
      </c>
      <c r="G2998" s="12">
        <f t="shared" si="101"/>
        <v>59.019607843137258</v>
      </c>
    </row>
    <row r="2999" spans="1:7" ht="15.75" customHeight="1">
      <c r="A2999" s="4" t="s">
        <v>121</v>
      </c>
      <c r="B2999" s="1">
        <v>8.8000000000000007</v>
      </c>
      <c r="C2999" s="1">
        <v>508</v>
      </c>
      <c r="D2999" s="1" t="s">
        <v>47</v>
      </c>
      <c r="E2999" s="1" t="s">
        <v>30</v>
      </c>
      <c r="F2999" s="1">
        <f t="shared" si="100"/>
        <v>880.00000000000011</v>
      </c>
      <c r="G2999" s="12">
        <f t="shared" si="101"/>
        <v>57.72727272727272</v>
      </c>
    </row>
    <row r="3000" spans="1:7" ht="15.75" customHeight="1">
      <c r="A3000" s="4" t="s">
        <v>121</v>
      </c>
      <c r="B3000" s="1">
        <v>4.0999999999999996</v>
      </c>
      <c r="C3000" s="1">
        <v>250</v>
      </c>
      <c r="D3000" s="1" t="s">
        <v>38</v>
      </c>
      <c r="E3000" s="1" t="s">
        <v>16</v>
      </c>
      <c r="F3000" s="1">
        <f t="shared" si="100"/>
        <v>409.99999999999994</v>
      </c>
      <c r="G3000" s="12">
        <f t="shared" si="101"/>
        <v>60.975609756097569</v>
      </c>
    </row>
    <row r="3001" spans="1:7" ht="15.75" customHeight="1">
      <c r="A3001" s="4" t="s">
        <v>121</v>
      </c>
      <c r="B3001" s="1">
        <v>6.6</v>
      </c>
      <c r="C3001" s="1">
        <v>255</v>
      </c>
      <c r="D3001" s="1" t="s">
        <v>11</v>
      </c>
      <c r="E3001" s="1" t="s">
        <v>8</v>
      </c>
      <c r="F3001" s="1">
        <f t="shared" si="100"/>
        <v>660</v>
      </c>
      <c r="G3001" s="12">
        <f t="shared" si="101"/>
        <v>38.63636363636364</v>
      </c>
    </row>
    <row r="3002" spans="1:7" ht="15.75" customHeight="1">
      <c r="A3002" s="4" t="s">
        <v>121</v>
      </c>
      <c r="B3002" s="1">
        <v>8.8000000000000007</v>
      </c>
      <c r="C3002" s="1">
        <v>411</v>
      </c>
      <c r="D3002" s="1" t="s">
        <v>50</v>
      </c>
      <c r="E3002" s="1" t="s">
        <v>8</v>
      </c>
      <c r="F3002" s="1">
        <f t="shared" si="100"/>
        <v>880.00000000000011</v>
      </c>
      <c r="G3002" s="12">
        <f t="shared" si="101"/>
        <v>46.704545454545453</v>
      </c>
    </row>
    <row r="3003" spans="1:7" ht="15.75" customHeight="1">
      <c r="A3003" s="4" t="s">
        <v>121</v>
      </c>
      <c r="B3003" s="1">
        <v>6.8</v>
      </c>
      <c r="C3003" s="1">
        <v>361</v>
      </c>
      <c r="D3003" s="1" t="s">
        <v>44</v>
      </c>
      <c r="E3003" s="1" t="s">
        <v>26</v>
      </c>
      <c r="F3003" s="1">
        <f t="shared" si="100"/>
        <v>680</v>
      </c>
      <c r="G3003" s="12">
        <f t="shared" si="101"/>
        <v>53.088235294117645</v>
      </c>
    </row>
    <row r="3004" spans="1:7" ht="15.75" customHeight="1">
      <c r="A3004" s="4" t="s">
        <v>121</v>
      </c>
      <c r="B3004" s="1">
        <v>7.5</v>
      </c>
      <c r="C3004" s="1">
        <v>320</v>
      </c>
      <c r="D3004" s="1" t="s">
        <v>33</v>
      </c>
      <c r="E3004" s="1" t="s">
        <v>8</v>
      </c>
      <c r="F3004" s="1">
        <f t="shared" si="100"/>
        <v>750</v>
      </c>
      <c r="G3004" s="12">
        <f t="shared" si="101"/>
        <v>42.666666666666664</v>
      </c>
    </row>
    <row r="3005" spans="1:7" ht="15.75" customHeight="1">
      <c r="A3005" s="4" t="s">
        <v>121</v>
      </c>
      <c r="B3005" s="1">
        <v>5.2</v>
      </c>
      <c r="C3005" s="1">
        <v>260</v>
      </c>
      <c r="D3005" s="1" t="s">
        <v>53</v>
      </c>
      <c r="E3005" s="1" t="s">
        <v>15</v>
      </c>
      <c r="F3005" s="1">
        <f t="shared" si="100"/>
        <v>520</v>
      </c>
      <c r="G3005" s="12">
        <f t="shared" si="101"/>
        <v>50</v>
      </c>
    </row>
    <row r="3006" spans="1:7" ht="15.75" customHeight="1">
      <c r="A3006" s="4" t="s">
        <v>121</v>
      </c>
      <c r="B3006" s="1">
        <v>3.85</v>
      </c>
      <c r="C3006" s="1">
        <v>172</v>
      </c>
      <c r="D3006" s="1" t="s">
        <v>11</v>
      </c>
      <c r="E3006" s="1" t="s">
        <v>20</v>
      </c>
      <c r="F3006" s="1">
        <f t="shared" si="100"/>
        <v>385</v>
      </c>
      <c r="G3006" s="12">
        <f t="shared" si="101"/>
        <v>44.675324675324674</v>
      </c>
    </row>
    <row r="3007" spans="1:7" ht="15.75" customHeight="1">
      <c r="A3007" s="4" t="s">
        <v>121</v>
      </c>
      <c r="B3007" s="1">
        <v>9.5</v>
      </c>
      <c r="C3007" s="1">
        <v>470</v>
      </c>
      <c r="D3007" s="1" t="s">
        <v>11</v>
      </c>
      <c r="E3007" s="1" t="s">
        <v>19</v>
      </c>
      <c r="F3007" s="1">
        <f t="shared" si="100"/>
        <v>950</v>
      </c>
      <c r="G3007" s="12">
        <f t="shared" si="101"/>
        <v>49.473684210526315</v>
      </c>
    </row>
    <row r="3008" spans="1:7" ht="15.75" customHeight="1">
      <c r="A3008" s="4" t="s">
        <v>121</v>
      </c>
      <c r="B3008" s="1">
        <v>6.88</v>
      </c>
      <c r="C3008" s="1">
        <v>276.17</v>
      </c>
      <c r="D3008" s="1" t="s">
        <v>33</v>
      </c>
      <c r="E3008" s="1" t="s">
        <v>20</v>
      </c>
      <c r="F3008" s="1">
        <f t="shared" si="100"/>
        <v>688</v>
      </c>
      <c r="G3008" s="12">
        <f t="shared" si="101"/>
        <v>40.140988372093027</v>
      </c>
    </row>
    <row r="3009" spans="1:7" ht="15.75" customHeight="1">
      <c r="A3009" s="4" t="s">
        <v>121</v>
      </c>
      <c r="B3009" s="1">
        <v>4.3499999999999996</v>
      </c>
      <c r="C3009" s="1">
        <v>326</v>
      </c>
      <c r="D3009" s="1" t="s">
        <v>11</v>
      </c>
      <c r="E3009" s="1" t="s">
        <v>15</v>
      </c>
      <c r="F3009" s="1">
        <f t="shared" si="100"/>
        <v>434.99999999999994</v>
      </c>
      <c r="G3009" s="12">
        <f t="shared" si="101"/>
        <v>74.942528735632195</v>
      </c>
    </row>
    <row r="3010" spans="1:7" ht="15.75" customHeight="1">
      <c r="A3010" s="4" t="s">
        <v>121</v>
      </c>
      <c r="B3010" s="1">
        <v>9.57</v>
      </c>
      <c r="C3010" s="1">
        <v>542</v>
      </c>
      <c r="D3010" s="1" t="s">
        <v>11</v>
      </c>
      <c r="E3010" s="1" t="s">
        <v>10</v>
      </c>
      <c r="F3010" s="1">
        <f t="shared" si="100"/>
        <v>957</v>
      </c>
      <c r="G3010" s="12">
        <f t="shared" si="101"/>
        <v>56.635318704284217</v>
      </c>
    </row>
    <row r="3011" spans="1:7" ht="15.75" customHeight="1">
      <c r="A3011" s="4" t="s">
        <v>121</v>
      </c>
      <c r="B3011" s="1">
        <v>5.16</v>
      </c>
      <c r="C3011" s="1">
        <v>291</v>
      </c>
      <c r="D3011" s="1" t="s">
        <v>44</v>
      </c>
      <c r="E3011" s="1" t="s">
        <v>10</v>
      </c>
      <c r="F3011" s="1">
        <f t="shared" ref="F3011:F3074" si="102">B3011*100</f>
        <v>516</v>
      </c>
      <c r="G3011" s="12">
        <f t="shared" ref="G3011:G3074" si="103">C3011/B3011</f>
        <v>56.395348837209298</v>
      </c>
    </row>
    <row r="3012" spans="1:7" ht="15.75" customHeight="1">
      <c r="A3012" s="4" t="s">
        <v>121</v>
      </c>
      <c r="B3012" s="1">
        <v>6.375</v>
      </c>
      <c r="C3012" s="1">
        <v>354</v>
      </c>
      <c r="D3012" s="1" t="s">
        <v>11</v>
      </c>
      <c r="E3012" s="1" t="s">
        <v>12</v>
      </c>
      <c r="F3012" s="1">
        <f t="shared" si="102"/>
        <v>637.5</v>
      </c>
      <c r="G3012" s="12">
        <f t="shared" si="103"/>
        <v>55.529411764705884</v>
      </c>
    </row>
    <row r="3013" spans="1:7" ht="15.75" customHeight="1">
      <c r="A3013" s="4" t="s">
        <v>121</v>
      </c>
      <c r="B3013" s="1">
        <v>7.74</v>
      </c>
      <c r="C3013" s="1">
        <v>368</v>
      </c>
      <c r="D3013" s="1" t="s">
        <v>42</v>
      </c>
      <c r="E3013" s="1" t="s">
        <v>49</v>
      </c>
      <c r="F3013" s="1">
        <f t="shared" si="102"/>
        <v>774</v>
      </c>
      <c r="G3013" s="12">
        <f t="shared" si="103"/>
        <v>47.545219638242891</v>
      </c>
    </row>
    <row r="3014" spans="1:7" ht="15.75" customHeight="1">
      <c r="A3014" s="4" t="s">
        <v>121</v>
      </c>
      <c r="B3014" s="1">
        <v>8.1</v>
      </c>
      <c r="C3014" s="1">
        <v>381</v>
      </c>
      <c r="D3014" s="1" t="s">
        <v>44</v>
      </c>
      <c r="E3014" s="1" t="s">
        <v>7</v>
      </c>
      <c r="F3014" s="1">
        <f t="shared" si="102"/>
        <v>810</v>
      </c>
      <c r="G3014" s="12">
        <f t="shared" si="103"/>
        <v>47.037037037037038</v>
      </c>
    </row>
    <row r="3015" spans="1:7" ht="15.75" customHeight="1">
      <c r="A3015" s="4" t="s">
        <v>121</v>
      </c>
      <c r="B3015" s="1">
        <v>5</v>
      </c>
      <c r="C3015" s="1">
        <v>443.4</v>
      </c>
      <c r="D3015" s="1" t="s">
        <v>11</v>
      </c>
      <c r="E3015" s="1" t="s">
        <v>22</v>
      </c>
      <c r="F3015" s="1">
        <f t="shared" si="102"/>
        <v>500</v>
      </c>
      <c r="G3015" s="12">
        <f t="shared" si="103"/>
        <v>88.679999999999993</v>
      </c>
    </row>
    <row r="3016" spans="1:7" ht="15.75" customHeight="1">
      <c r="A3016" s="4" t="s">
        <v>121</v>
      </c>
      <c r="B3016" s="1">
        <v>8.19</v>
      </c>
      <c r="C3016" s="1">
        <v>325</v>
      </c>
      <c r="D3016" s="1" t="s">
        <v>33</v>
      </c>
      <c r="E3016" s="1" t="s">
        <v>16</v>
      </c>
      <c r="F3016" s="1">
        <f t="shared" si="102"/>
        <v>819</v>
      </c>
      <c r="G3016" s="12">
        <f t="shared" si="103"/>
        <v>39.682539682539684</v>
      </c>
    </row>
    <row r="3017" spans="1:7" ht="15.75" customHeight="1">
      <c r="A3017" s="4" t="s">
        <v>121</v>
      </c>
      <c r="B3017" s="1">
        <v>7.29</v>
      </c>
      <c r="C3017" s="1">
        <v>385</v>
      </c>
      <c r="D3017" s="1" t="s">
        <v>11</v>
      </c>
      <c r="E3017" s="1" t="s">
        <v>27</v>
      </c>
      <c r="F3017" s="1">
        <f t="shared" si="102"/>
        <v>729</v>
      </c>
      <c r="G3017" s="12">
        <f t="shared" si="103"/>
        <v>52.812071330589852</v>
      </c>
    </row>
    <row r="3018" spans="1:7" ht="15.75" customHeight="1">
      <c r="A3018" s="4" t="s">
        <v>121</v>
      </c>
      <c r="B3018" s="1">
        <v>6.2</v>
      </c>
      <c r="C3018" s="1">
        <v>360</v>
      </c>
      <c r="D3018" s="1" t="s">
        <v>11</v>
      </c>
      <c r="E3018" s="1" t="s">
        <v>12</v>
      </c>
      <c r="F3018" s="1">
        <f t="shared" si="102"/>
        <v>620</v>
      </c>
      <c r="G3018" s="12">
        <f t="shared" si="103"/>
        <v>58.064516129032256</v>
      </c>
    </row>
    <row r="3019" spans="1:7" ht="15.75" customHeight="1">
      <c r="A3019" s="4" t="s">
        <v>121</v>
      </c>
      <c r="B3019" s="1">
        <v>7.4</v>
      </c>
      <c r="C3019" s="1">
        <v>533</v>
      </c>
      <c r="D3019" s="1" t="s">
        <v>11</v>
      </c>
      <c r="E3019" s="1" t="s">
        <v>10</v>
      </c>
      <c r="F3019" s="1">
        <f t="shared" si="102"/>
        <v>740</v>
      </c>
      <c r="G3019" s="12">
        <f t="shared" si="103"/>
        <v>72.027027027027017</v>
      </c>
    </row>
    <row r="3020" spans="1:7" ht="15.75" customHeight="1">
      <c r="A3020" s="4" t="s">
        <v>121</v>
      </c>
      <c r="B3020" s="1">
        <v>4.3499999999999996</v>
      </c>
      <c r="C3020" s="1">
        <v>262</v>
      </c>
      <c r="D3020" s="1" t="s">
        <v>11</v>
      </c>
      <c r="E3020" s="1" t="s">
        <v>16</v>
      </c>
      <c r="F3020" s="1">
        <f t="shared" si="102"/>
        <v>434.99999999999994</v>
      </c>
      <c r="G3020" s="12">
        <f t="shared" si="103"/>
        <v>60.229885057471272</v>
      </c>
    </row>
    <row r="3021" spans="1:7" ht="15.75" customHeight="1">
      <c r="A3021" s="4" t="s">
        <v>121</v>
      </c>
      <c r="B3021" s="1">
        <v>8.6999999999999993</v>
      </c>
      <c r="C3021" s="1">
        <v>378</v>
      </c>
      <c r="D3021" s="1" t="s">
        <v>45</v>
      </c>
      <c r="E3021" s="1" t="s">
        <v>20</v>
      </c>
      <c r="F3021" s="1">
        <f t="shared" si="102"/>
        <v>869.99999999999989</v>
      </c>
      <c r="G3021" s="12">
        <f t="shared" si="103"/>
        <v>43.448275862068968</v>
      </c>
    </row>
    <row r="3022" spans="1:7" ht="15.75" customHeight="1">
      <c r="A3022" s="4" t="s">
        <v>121</v>
      </c>
      <c r="B3022" s="1">
        <v>6.09</v>
      </c>
      <c r="C3022" s="1">
        <v>238</v>
      </c>
      <c r="D3022" s="1" t="s">
        <v>44</v>
      </c>
      <c r="E3022" s="1" t="s">
        <v>20</v>
      </c>
      <c r="F3022" s="1">
        <f t="shared" si="102"/>
        <v>609</v>
      </c>
      <c r="G3022" s="12">
        <f t="shared" si="103"/>
        <v>39.080459770114942</v>
      </c>
    </row>
    <row r="3023" spans="1:7" ht="15.75" customHeight="1">
      <c r="A3023" s="4" t="s">
        <v>121</v>
      </c>
      <c r="B3023" s="1">
        <v>6.5</v>
      </c>
      <c r="C3023" s="1">
        <v>255</v>
      </c>
      <c r="D3023" s="1" t="s">
        <v>45</v>
      </c>
      <c r="E3023" s="1" t="s">
        <v>20</v>
      </c>
      <c r="F3023" s="1">
        <f t="shared" si="102"/>
        <v>650</v>
      </c>
      <c r="G3023" s="12">
        <f t="shared" si="103"/>
        <v>39.230769230769234</v>
      </c>
    </row>
    <row r="3024" spans="1:7" ht="15.75" customHeight="1">
      <c r="A3024" s="4" t="s">
        <v>121</v>
      </c>
      <c r="B3024" s="1">
        <v>20</v>
      </c>
      <c r="C3024" s="1">
        <v>621</v>
      </c>
      <c r="D3024" s="1" t="s">
        <v>33</v>
      </c>
      <c r="E3024" s="1" t="s">
        <v>20</v>
      </c>
      <c r="F3024" s="1">
        <f t="shared" si="102"/>
        <v>2000</v>
      </c>
      <c r="G3024" s="12">
        <f t="shared" si="103"/>
        <v>31.05</v>
      </c>
    </row>
    <row r="3025" spans="1:7" ht="15.75" customHeight="1">
      <c r="A3025" s="4" t="s">
        <v>121</v>
      </c>
      <c r="B3025" s="1">
        <v>4.38</v>
      </c>
      <c r="C3025" s="1">
        <v>239</v>
      </c>
      <c r="D3025" s="1" t="s">
        <v>43</v>
      </c>
      <c r="E3025" s="1" t="s">
        <v>24</v>
      </c>
      <c r="F3025" s="1">
        <f t="shared" si="102"/>
        <v>438</v>
      </c>
      <c r="G3025" s="12">
        <f t="shared" si="103"/>
        <v>54.566210045662103</v>
      </c>
    </row>
    <row r="3026" spans="1:7" ht="15.75" customHeight="1">
      <c r="A3026" s="4" t="s">
        <v>121</v>
      </c>
      <c r="B3026" s="1">
        <v>7.4</v>
      </c>
      <c r="C3026" s="1">
        <v>443</v>
      </c>
      <c r="D3026" s="1" t="s">
        <v>11</v>
      </c>
      <c r="E3026" s="1" t="s">
        <v>25</v>
      </c>
      <c r="F3026" s="1">
        <f t="shared" si="102"/>
        <v>740</v>
      </c>
      <c r="G3026" s="12">
        <f t="shared" si="103"/>
        <v>59.864864864864863</v>
      </c>
    </row>
    <row r="3027" spans="1:7" ht="15.75" customHeight="1">
      <c r="A3027" s="4" t="s">
        <v>121</v>
      </c>
      <c r="B3027" s="1">
        <v>5.6</v>
      </c>
      <c r="C3027" s="1">
        <v>327</v>
      </c>
      <c r="D3027" s="1" t="s">
        <v>54</v>
      </c>
      <c r="E3027" s="1" t="s">
        <v>22</v>
      </c>
      <c r="F3027" s="1">
        <f t="shared" si="102"/>
        <v>560</v>
      </c>
      <c r="G3027" s="12">
        <f t="shared" si="103"/>
        <v>58.392857142857146</v>
      </c>
    </row>
    <row r="3028" spans="1:7" ht="15.75" customHeight="1">
      <c r="A3028" s="4" t="s">
        <v>121</v>
      </c>
      <c r="B3028" s="1">
        <v>10.199999999999999</v>
      </c>
      <c r="C3028" s="1">
        <v>430</v>
      </c>
      <c r="D3028" s="1" t="s">
        <v>11</v>
      </c>
      <c r="E3028" s="1" t="s">
        <v>7</v>
      </c>
      <c r="F3028" s="1">
        <f t="shared" si="102"/>
        <v>1019.9999999999999</v>
      </c>
      <c r="G3028" s="12">
        <f t="shared" si="103"/>
        <v>42.156862745098039</v>
      </c>
    </row>
    <row r="3029" spans="1:7" ht="15.75" customHeight="1">
      <c r="A3029" s="4" t="s">
        <v>121</v>
      </c>
      <c r="B3029" s="1">
        <v>6</v>
      </c>
      <c r="C3029" s="1">
        <v>375</v>
      </c>
      <c r="D3029" s="1" t="s">
        <v>39</v>
      </c>
      <c r="E3029" s="1" t="s">
        <v>26</v>
      </c>
      <c r="F3029" s="1">
        <f t="shared" si="102"/>
        <v>600</v>
      </c>
      <c r="G3029" s="12">
        <f t="shared" si="103"/>
        <v>62.5</v>
      </c>
    </row>
    <row r="3030" spans="1:7" ht="15.75" customHeight="1">
      <c r="A3030" s="4" t="s">
        <v>121</v>
      </c>
      <c r="B3030" s="1">
        <v>4.7300000000000004</v>
      </c>
      <c r="C3030" s="1">
        <v>250</v>
      </c>
      <c r="D3030" s="1" t="s">
        <v>39</v>
      </c>
      <c r="E3030" s="1" t="s">
        <v>9</v>
      </c>
      <c r="F3030" s="1">
        <f t="shared" si="102"/>
        <v>473.00000000000006</v>
      </c>
      <c r="G3030" s="12">
        <f t="shared" si="103"/>
        <v>52.854122621564478</v>
      </c>
    </row>
    <row r="3031" spans="1:7" ht="15.75" customHeight="1">
      <c r="A3031" s="4" t="s">
        <v>121</v>
      </c>
      <c r="B3031" s="1">
        <v>7.83</v>
      </c>
      <c r="C3031" s="1">
        <v>357</v>
      </c>
      <c r="D3031" s="1" t="s">
        <v>11</v>
      </c>
      <c r="E3031" s="1" t="s">
        <v>12</v>
      </c>
      <c r="F3031" s="1">
        <f t="shared" si="102"/>
        <v>783</v>
      </c>
      <c r="G3031" s="12">
        <f t="shared" si="103"/>
        <v>45.593869731800766</v>
      </c>
    </row>
    <row r="3032" spans="1:7" ht="15.75" customHeight="1">
      <c r="A3032" s="4" t="s">
        <v>121</v>
      </c>
      <c r="B3032" s="1">
        <v>5.16</v>
      </c>
      <c r="C3032" s="1">
        <v>249</v>
      </c>
      <c r="D3032" s="1" t="s">
        <v>48</v>
      </c>
      <c r="E3032" s="1" t="s">
        <v>30</v>
      </c>
      <c r="F3032" s="1">
        <f t="shared" si="102"/>
        <v>516</v>
      </c>
      <c r="G3032" s="12">
        <f t="shared" si="103"/>
        <v>48.255813953488371</v>
      </c>
    </row>
    <row r="3033" spans="1:7" ht="15.75" customHeight="1">
      <c r="A3033" s="4" t="s">
        <v>121</v>
      </c>
      <c r="B3033" s="1">
        <v>6</v>
      </c>
      <c r="C3033" s="1">
        <v>256</v>
      </c>
      <c r="D3033" s="1" t="s">
        <v>33</v>
      </c>
      <c r="E3033" s="1" t="s">
        <v>15</v>
      </c>
      <c r="F3033" s="1">
        <f t="shared" si="102"/>
        <v>600</v>
      </c>
      <c r="G3033" s="12">
        <f t="shared" si="103"/>
        <v>42.666666666666664</v>
      </c>
    </row>
    <row r="3034" spans="1:7" ht="15.75" customHeight="1">
      <c r="A3034" s="4" t="s">
        <v>121</v>
      </c>
      <c r="B3034" s="1">
        <v>6</v>
      </c>
      <c r="C3034" s="1">
        <v>330</v>
      </c>
      <c r="D3034" s="1" t="s">
        <v>53</v>
      </c>
      <c r="E3034" s="1" t="s">
        <v>15</v>
      </c>
      <c r="F3034" s="1">
        <f t="shared" si="102"/>
        <v>600</v>
      </c>
      <c r="G3034" s="12">
        <f t="shared" si="103"/>
        <v>55</v>
      </c>
    </row>
    <row r="3035" spans="1:7" ht="15.75" customHeight="1">
      <c r="A3035" s="4" t="s">
        <v>121</v>
      </c>
      <c r="B3035" s="1">
        <v>6.5</v>
      </c>
      <c r="C3035" s="1">
        <v>361</v>
      </c>
      <c r="D3035" s="1" t="s">
        <v>39</v>
      </c>
      <c r="E3035" s="1" t="s">
        <v>16</v>
      </c>
      <c r="F3035" s="1">
        <f t="shared" si="102"/>
        <v>650</v>
      </c>
      <c r="G3035" s="12">
        <f t="shared" si="103"/>
        <v>55.53846153846154</v>
      </c>
    </row>
    <row r="3036" spans="1:7" ht="15.75" customHeight="1">
      <c r="A3036" s="4" t="s">
        <v>121</v>
      </c>
      <c r="B3036" s="1">
        <v>3.96</v>
      </c>
      <c r="C3036" s="1">
        <v>208</v>
      </c>
      <c r="D3036" s="1" t="s">
        <v>39</v>
      </c>
      <c r="E3036" s="1" t="s">
        <v>21</v>
      </c>
      <c r="F3036" s="1">
        <f t="shared" si="102"/>
        <v>396</v>
      </c>
      <c r="G3036" s="12">
        <f t="shared" si="103"/>
        <v>52.525252525252526</v>
      </c>
    </row>
    <row r="3037" spans="1:7" ht="15.75" customHeight="1">
      <c r="A3037" s="4" t="s">
        <v>121</v>
      </c>
      <c r="B3037" s="1">
        <v>6.02</v>
      </c>
      <c r="C3037" s="1">
        <v>282</v>
      </c>
      <c r="D3037" s="1" t="s">
        <v>47</v>
      </c>
      <c r="E3037" s="1" t="s">
        <v>19</v>
      </c>
      <c r="F3037" s="1">
        <f t="shared" si="102"/>
        <v>602</v>
      </c>
      <c r="G3037" s="12">
        <f t="shared" si="103"/>
        <v>46.843853820598007</v>
      </c>
    </row>
    <row r="3038" spans="1:7" ht="15.75" customHeight="1">
      <c r="A3038" s="4" t="s">
        <v>121</v>
      </c>
      <c r="B3038" s="1">
        <v>4.3499999999999996</v>
      </c>
      <c r="C3038" s="1">
        <v>220</v>
      </c>
      <c r="D3038" s="1" t="s">
        <v>11</v>
      </c>
      <c r="E3038" s="1" t="s">
        <v>8</v>
      </c>
      <c r="F3038" s="1">
        <f t="shared" si="102"/>
        <v>434.99999999999994</v>
      </c>
      <c r="G3038" s="12">
        <f t="shared" si="103"/>
        <v>50.574712643678168</v>
      </c>
    </row>
    <row r="3039" spans="1:7" ht="15.75" customHeight="1">
      <c r="A3039" s="4" t="s">
        <v>121</v>
      </c>
      <c r="B3039" s="1">
        <v>7.6</v>
      </c>
      <c r="C3039" s="1">
        <v>365</v>
      </c>
      <c r="D3039" s="1" t="s">
        <v>52</v>
      </c>
      <c r="E3039" s="1" t="s">
        <v>25</v>
      </c>
      <c r="F3039" s="1">
        <f t="shared" si="102"/>
        <v>760</v>
      </c>
      <c r="G3039" s="12">
        <f t="shared" si="103"/>
        <v>48.026315789473685</v>
      </c>
    </row>
    <row r="3040" spans="1:7" ht="15.75" customHeight="1">
      <c r="A3040" s="4" t="s">
        <v>121</v>
      </c>
      <c r="B3040" s="1">
        <v>6.24</v>
      </c>
      <c r="C3040" s="1">
        <v>193</v>
      </c>
      <c r="D3040" s="1" t="s">
        <v>33</v>
      </c>
      <c r="E3040" s="1" t="s">
        <v>15</v>
      </c>
      <c r="F3040" s="1">
        <f t="shared" si="102"/>
        <v>624</v>
      </c>
      <c r="G3040" s="12">
        <f t="shared" si="103"/>
        <v>30.929487179487179</v>
      </c>
    </row>
    <row r="3041" spans="1:7" ht="15.75" customHeight="1">
      <c r="A3041" s="4" t="s">
        <v>121</v>
      </c>
      <c r="B3041" s="1">
        <v>4.9000000000000004</v>
      </c>
      <c r="C3041" s="1">
        <v>186</v>
      </c>
      <c r="D3041" s="1" t="s">
        <v>11</v>
      </c>
      <c r="E3041" s="1" t="s">
        <v>25</v>
      </c>
      <c r="F3041" s="1">
        <f t="shared" si="102"/>
        <v>490.00000000000006</v>
      </c>
      <c r="G3041" s="12">
        <f t="shared" si="103"/>
        <v>37.959183673469383</v>
      </c>
    </row>
    <row r="3042" spans="1:7" ht="15.75" customHeight="1">
      <c r="A3042" s="4" t="s">
        <v>121</v>
      </c>
      <c r="B3042" s="1">
        <v>7.5</v>
      </c>
      <c r="C3042" s="1">
        <v>380</v>
      </c>
      <c r="D3042" s="1" t="s">
        <v>43</v>
      </c>
      <c r="E3042" s="1" t="s">
        <v>17</v>
      </c>
      <c r="F3042" s="1">
        <f t="shared" si="102"/>
        <v>750</v>
      </c>
      <c r="G3042" s="12">
        <f t="shared" si="103"/>
        <v>50.666666666666664</v>
      </c>
    </row>
    <row r="3043" spans="1:7" ht="15.75" customHeight="1">
      <c r="A3043" s="4" t="s">
        <v>121</v>
      </c>
      <c r="B3043" s="1">
        <v>6.96</v>
      </c>
      <c r="C3043" s="1">
        <v>382</v>
      </c>
      <c r="D3043" s="1" t="s">
        <v>11</v>
      </c>
      <c r="E3043" s="1" t="s">
        <v>18</v>
      </c>
      <c r="F3043" s="1">
        <f t="shared" si="102"/>
        <v>696</v>
      </c>
      <c r="G3043" s="12">
        <f t="shared" si="103"/>
        <v>54.885057471264368</v>
      </c>
    </row>
    <row r="3044" spans="1:7" ht="15.75" customHeight="1">
      <c r="A3044" s="4" t="s">
        <v>121</v>
      </c>
      <c r="B3044" s="1">
        <v>6.56</v>
      </c>
      <c r="C3044" s="1">
        <v>296</v>
      </c>
      <c r="D3044" s="1" t="s">
        <v>11</v>
      </c>
      <c r="E3044" s="1" t="s">
        <v>18</v>
      </c>
      <c r="F3044" s="1">
        <f t="shared" si="102"/>
        <v>656</v>
      </c>
      <c r="G3044" s="12">
        <f t="shared" si="103"/>
        <v>45.121951219512198</v>
      </c>
    </row>
    <row r="3045" spans="1:7" ht="15.75" customHeight="1">
      <c r="A3045" s="4" t="s">
        <v>121</v>
      </c>
      <c r="B3045" s="1">
        <v>8.9</v>
      </c>
      <c r="C3045" s="1">
        <v>478</v>
      </c>
      <c r="D3045" s="1" t="s">
        <v>43</v>
      </c>
      <c r="E3045" s="1" t="s">
        <v>17</v>
      </c>
      <c r="F3045" s="1">
        <f t="shared" si="102"/>
        <v>890</v>
      </c>
      <c r="G3045" s="12">
        <f t="shared" si="103"/>
        <v>53.707865168539321</v>
      </c>
    </row>
    <row r="3046" spans="1:7" ht="15.75" customHeight="1">
      <c r="A3046" s="4" t="s">
        <v>121</v>
      </c>
      <c r="B3046" s="1">
        <v>9.1</v>
      </c>
      <c r="C3046" s="1">
        <v>451</v>
      </c>
      <c r="D3046" s="1" t="s">
        <v>38</v>
      </c>
      <c r="E3046" s="1" t="s">
        <v>14</v>
      </c>
      <c r="F3046" s="1">
        <f t="shared" si="102"/>
        <v>910</v>
      </c>
      <c r="G3046" s="12">
        <f t="shared" si="103"/>
        <v>49.560439560439562</v>
      </c>
    </row>
    <row r="3047" spans="1:7" ht="15.75" customHeight="1">
      <c r="A3047" s="4" t="s">
        <v>121</v>
      </c>
      <c r="B3047" s="1">
        <v>7.92</v>
      </c>
      <c r="C3047" s="1">
        <v>284</v>
      </c>
      <c r="D3047" s="1" t="s">
        <v>53</v>
      </c>
      <c r="E3047" s="1" t="s">
        <v>16</v>
      </c>
      <c r="F3047" s="1">
        <f t="shared" si="102"/>
        <v>792</v>
      </c>
      <c r="G3047" s="12">
        <f t="shared" si="103"/>
        <v>35.858585858585862</v>
      </c>
    </row>
    <row r="3048" spans="1:7" ht="15.75" customHeight="1">
      <c r="A3048" s="4" t="s">
        <v>121</v>
      </c>
      <c r="B3048" s="1">
        <v>4.5999999999999996</v>
      </c>
      <c r="C3048" s="1">
        <v>239</v>
      </c>
      <c r="D3048" s="1" t="s">
        <v>11</v>
      </c>
      <c r="E3048" s="1" t="s">
        <v>9</v>
      </c>
      <c r="F3048" s="1">
        <f t="shared" si="102"/>
        <v>459.99999999999994</v>
      </c>
      <c r="G3048" s="12">
        <f t="shared" si="103"/>
        <v>51.956521739130437</v>
      </c>
    </row>
    <row r="3049" spans="1:7" ht="15.75" customHeight="1">
      <c r="A3049" s="4" t="s">
        <v>121</v>
      </c>
      <c r="B3049" s="1">
        <v>8.6999999999999993</v>
      </c>
      <c r="C3049" s="1">
        <v>384</v>
      </c>
      <c r="D3049" s="1" t="s">
        <v>33</v>
      </c>
      <c r="E3049" s="1" t="s">
        <v>26</v>
      </c>
      <c r="F3049" s="1">
        <f t="shared" si="102"/>
        <v>869.99999999999989</v>
      </c>
      <c r="G3049" s="12">
        <f t="shared" si="103"/>
        <v>44.137931034482762</v>
      </c>
    </row>
    <row r="3050" spans="1:7" ht="15.75" customHeight="1">
      <c r="A3050" s="4" t="s">
        <v>121</v>
      </c>
      <c r="B3050" s="1">
        <v>7.8</v>
      </c>
      <c r="C3050" s="1">
        <v>351</v>
      </c>
      <c r="D3050" s="1" t="s">
        <v>11</v>
      </c>
      <c r="E3050" s="1" t="s">
        <v>10</v>
      </c>
      <c r="F3050" s="1">
        <f t="shared" si="102"/>
        <v>780</v>
      </c>
      <c r="G3050" s="12">
        <f t="shared" si="103"/>
        <v>45</v>
      </c>
    </row>
    <row r="3051" spans="1:7" ht="15.75" customHeight="1">
      <c r="A3051" s="4" t="s">
        <v>121</v>
      </c>
      <c r="B3051" s="1">
        <v>6.8</v>
      </c>
      <c r="C3051" s="1">
        <v>282</v>
      </c>
      <c r="D3051" s="1" t="s">
        <v>11</v>
      </c>
      <c r="E3051" s="1" t="s">
        <v>7</v>
      </c>
      <c r="F3051" s="1">
        <f t="shared" si="102"/>
        <v>680</v>
      </c>
      <c r="G3051" s="12">
        <f t="shared" si="103"/>
        <v>41.470588235294116</v>
      </c>
    </row>
    <row r="3052" spans="1:7" ht="15.75" customHeight="1">
      <c r="A3052" s="4" t="s">
        <v>121</v>
      </c>
      <c r="B3052" s="1">
        <v>6.96</v>
      </c>
      <c r="C3052" s="1">
        <v>428</v>
      </c>
      <c r="D3052" s="1" t="s">
        <v>38</v>
      </c>
      <c r="E3052" s="1" t="s">
        <v>15</v>
      </c>
      <c r="F3052" s="1">
        <f t="shared" si="102"/>
        <v>696</v>
      </c>
      <c r="G3052" s="12">
        <f t="shared" si="103"/>
        <v>61.494252873563219</v>
      </c>
    </row>
    <row r="3053" spans="1:7" ht="15.75" customHeight="1">
      <c r="A3053" s="4" t="s">
        <v>121</v>
      </c>
      <c r="B3053" s="1">
        <v>6.66</v>
      </c>
      <c r="C3053" s="1">
        <v>5.2</v>
      </c>
      <c r="D3053" s="1" t="s">
        <v>11</v>
      </c>
      <c r="E3053" s="1" t="s">
        <v>41</v>
      </c>
      <c r="F3053" s="1">
        <f t="shared" si="102"/>
        <v>666</v>
      </c>
      <c r="G3053" s="12">
        <f t="shared" si="103"/>
        <v>0.78078078078078084</v>
      </c>
    </row>
    <row r="3054" spans="1:7" ht="15.75" customHeight="1">
      <c r="A3054" s="4" t="s">
        <v>121</v>
      </c>
      <c r="B3054" s="1">
        <v>3.9</v>
      </c>
      <c r="C3054" s="1">
        <v>260</v>
      </c>
      <c r="D3054" s="1" t="s">
        <v>43</v>
      </c>
      <c r="E3054" s="1" t="s">
        <v>8</v>
      </c>
      <c r="F3054" s="1">
        <f t="shared" si="102"/>
        <v>390</v>
      </c>
      <c r="G3054" s="12">
        <f t="shared" si="103"/>
        <v>66.666666666666671</v>
      </c>
    </row>
    <row r="3055" spans="1:7" ht="15.75" customHeight="1">
      <c r="A3055" s="4" t="s">
        <v>121</v>
      </c>
      <c r="B3055" s="1">
        <v>7</v>
      </c>
      <c r="C3055" s="1">
        <v>388</v>
      </c>
      <c r="D3055" s="1" t="s">
        <v>44</v>
      </c>
      <c r="E3055" s="1" t="s">
        <v>22</v>
      </c>
      <c r="F3055" s="1">
        <f t="shared" si="102"/>
        <v>700</v>
      </c>
      <c r="G3055" s="12">
        <f t="shared" si="103"/>
        <v>55.428571428571431</v>
      </c>
    </row>
    <row r="3056" spans="1:7" ht="15.75" customHeight="1">
      <c r="A3056" s="4" t="s">
        <v>121</v>
      </c>
      <c r="B3056" s="1">
        <v>3.48</v>
      </c>
      <c r="C3056" s="1">
        <v>236</v>
      </c>
      <c r="D3056" s="1" t="s">
        <v>11</v>
      </c>
      <c r="E3056" s="1" t="s">
        <v>16</v>
      </c>
      <c r="F3056" s="1">
        <f t="shared" si="102"/>
        <v>348</v>
      </c>
      <c r="G3056" s="12">
        <f t="shared" si="103"/>
        <v>67.816091954022994</v>
      </c>
    </row>
    <row r="3057" spans="1:9" ht="15.75" customHeight="1">
      <c r="A3057" s="4" t="s">
        <v>121</v>
      </c>
      <c r="B3057" s="1">
        <v>7.3949999999999996</v>
      </c>
      <c r="C3057" s="1">
        <v>211</v>
      </c>
      <c r="D3057" s="1" t="s">
        <v>33</v>
      </c>
      <c r="E3057" s="1" t="s">
        <v>14</v>
      </c>
      <c r="F3057" s="1">
        <f t="shared" si="102"/>
        <v>739.5</v>
      </c>
      <c r="G3057" s="12">
        <f t="shared" si="103"/>
        <v>28.532792427315755</v>
      </c>
    </row>
    <row r="3058" spans="1:9" ht="15.75" customHeight="1">
      <c r="A3058" s="4" t="s">
        <v>121</v>
      </c>
      <c r="B3058" s="1">
        <v>5.9</v>
      </c>
      <c r="C3058" s="1">
        <v>318</v>
      </c>
      <c r="D3058" s="1" t="s">
        <v>11</v>
      </c>
      <c r="E3058" s="1" t="s">
        <v>32</v>
      </c>
      <c r="F3058" s="1">
        <f t="shared" si="102"/>
        <v>590</v>
      </c>
      <c r="G3058" s="12">
        <f t="shared" si="103"/>
        <v>53.898305084745758</v>
      </c>
    </row>
    <row r="3059" spans="1:9" ht="15.75" customHeight="1">
      <c r="A3059" s="4" t="s">
        <v>121</v>
      </c>
      <c r="B3059" s="1">
        <v>6.9</v>
      </c>
      <c r="C3059" s="1">
        <v>331</v>
      </c>
      <c r="D3059" s="1" t="s">
        <v>38</v>
      </c>
      <c r="E3059" s="1" t="s">
        <v>8</v>
      </c>
      <c r="F3059" s="1">
        <f t="shared" si="102"/>
        <v>690</v>
      </c>
      <c r="G3059" s="12">
        <f t="shared" si="103"/>
        <v>47.971014492753618</v>
      </c>
    </row>
    <row r="3060" spans="1:9" ht="15.75" customHeight="1">
      <c r="A3060" s="4" t="s">
        <v>121</v>
      </c>
      <c r="B3060" s="1">
        <v>5.2</v>
      </c>
      <c r="C3060" s="1">
        <v>356</v>
      </c>
      <c r="D3060" s="1" t="s">
        <v>11</v>
      </c>
      <c r="E3060" s="1" t="s">
        <v>16</v>
      </c>
      <c r="F3060" s="1">
        <f t="shared" si="102"/>
        <v>520</v>
      </c>
      <c r="G3060" s="12">
        <f t="shared" si="103"/>
        <v>68.461538461538453</v>
      </c>
    </row>
    <row r="3061" spans="1:9" ht="15.75" customHeight="1">
      <c r="A3061" s="4" t="s">
        <v>121</v>
      </c>
      <c r="B3061" s="1">
        <v>6</v>
      </c>
      <c r="C3061" s="1">
        <v>189</v>
      </c>
      <c r="D3061" s="1" t="s">
        <v>70</v>
      </c>
      <c r="E3061" s="1" t="s">
        <v>18</v>
      </c>
      <c r="F3061" s="1">
        <f t="shared" si="102"/>
        <v>600</v>
      </c>
      <c r="G3061" s="12">
        <f t="shared" si="103"/>
        <v>31.5</v>
      </c>
    </row>
    <row r="3062" spans="1:9" ht="15.75" customHeight="1">
      <c r="A3062" s="4" t="s">
        <v>121</v>
      </c>
      <c r="B3062" s="1">
        <v>6.6</v>
      </c>
      <c r="C3062" s="1">
        <v>420</v>
      </c>
      <c r="D3062" s="1" t="s">
        <v>39</v>
      </c>
      <c r="E3062" s="1" t="s">
        <v>26</v>
      </c>
      <c r="F3062" s="1">
        <f t="shared" si="102"/>
        <v>660</v>
      </c>
      <c r="G3062" s="12">
        <f t="shared" si="103"/>
        <v>63.63636363636364</v>
      </c>
    </row>
    <row r="3063" spans="1:9" ht="15.75" customHeight="1">
      <c r="A3063" s="4" t="s">
        <v>121</v>
      </c>
      <c r="B3063" s="1">
        <v>4.8</v>
      </c>
      <c r="C3063" s="1">
        <v>331</v>
      </c>
      <c r="D3063" s="1" t="s">
        <v>11</v>
      </c>
      <c r="E3063" s="1" t="s">
        <v>15</v>
      </c>
      <c r="F3063" s="1">
        <f t="shared" si="102"/>
        <v>480</v>
      </c>
      <c r="G3063" s="12">
        <f t="shared" si="103"/>
        <v>68.958333333333343</v>
      </c>
    </row>
    <row r="3064" spans="1:9" ht="15.75" customHeight="1">
      <c r="A3064" s="4" t="s">
        <v>121</v>
      </c>
      <c r="B3064" s="1">
        <v>6.13</v>
      </c>
      <c r="C3064" s="1">
        <v>218.2</v>
      </c>
      <c r="D3064" s="1" t="s">
        <v>40</v>
      </c>
      <c r="E3064" s="1" t="s">
        <v>17</v>
      </c>
      <c r="F3064" s="1">
        <f t="shared" si="102"/>
        <v>613</v>
      </c>
      <c r="G3064" s="12">
        <f t="shared" si="103"/>
        <v>35.595432300163132</v>
      </c>
    </row>
    <row r="3065" spans="1:9" ht="15.75" customHeight="1">
      <c r="A3065" s="4" t="s">
        <v>121</v>
      </c>
      <c r="B3065" s="1">
        <v>6.3</v>
      </c>
      <c r="C3065" s="1">
        <v>832</v>
      </c>
      <c r="D3065" s="1" t="s">
        <v>42</v>
      </c>
      <c r="E3065" s="1" t="s">
        <v>10</v>
      </c>
      <c r="F3065" s="1">
        <f t="shared" si="102"/>
        <v>630</v>
      </c>
      <c r="G3065" s="12">
        <f t="shared" si="103"/>
        <v>132.06349206349208</v>
      </c>
    </row>
    <row r="3066" spans="1:9" ht="15.75" customHeight="1">
      <c r="A3066" s="4" t="s">
        <v>121</v>
      </c>
      <c r="B3066" s="1">
        <v>5.39</v>
      </c>
      <c r="C3066" s="1">
        <v>391</v>
      </c>
      <c r="D3066" s="1" t="s">
        <v>11</v>
      </c>
      <c r="E3066" s="1" t="s">
        <v>26</v>
      </c>
      <c r="F3066" s="1">
        <f t="shared" si="102"/>
        <v>539</v>
      </c>
      <c r="G3066" s="12">
        <f t="shared" si="103"/>
        <v>72.541743970315409</v>
      </c>
    </row>
    <row r="3067" spans="1:9" ht="15.75" customHeight="1">
      <c r="A3067" s="4" t="s">
        <v>121</v>
      </c>
      <c r="B3067" s="1">
        <v>7.74</v>
      </c>
      <c r="C3067" s="1">
        <v>494</v>
      </c>
      <c r="D3067" s="1" t="s">
        <v>11</v>
      </c>
      <c r="E3067" s="1" t="s">
        <v>29</v>
      </c>
      <c r="F3067" s="1">
        <f t="shared" si="102"/>
        <v>774</v>
      </c>
      <c r="G3067" s="12">
        <f t="shared" si="103"/>
        <v>63.824289405684752</v>
      </c>
    </row>
    <row r="3068" spans="1:9" ht="15.75" customHeight="1">
      <c r="A3068" s="4" t="s">
        <v>121</v>
      </c>
      <c r="B3068" s="1">
        <v>9.5</v>
      </c>
      <c r="C3068" s="1">
        <v>337</v>
      </c>
      <c r="D3068" s="1" t="s">
        <v>79</v>
      </c>
      <c r="E3068" s="1" t="s">
        <v>8</v>
      </c>
      <c r="F3068" s="1">
        <f t="shared" si="102"/>
        <v>950</v>
      </c>
      <c r="G3068" s="12">
        <f t="shared" si="103"/>
        <v>35.473684210526315</v>
      </c>
      <c r="I3068">
        <f>AVERAGE(G2:G3068)</f>
        <v>85.626920661720277</v>
      </c>
    </row>
    <row r="3069" spans="1:9" ht="15.75" customHeight="1">
      <c r="A3069" s="4" t="s">
        <v>121</v>
      </c>
      <c r="B3069" s="1">
        <v>5.6</v>
      </c>
      <c r="C3069" s="1">
        <v>150</v>
      </c>
      <c r="D3069" s="1" t="s">
        <v>33</v>
      </c>
      <c r="E3069" s="1" t="s">
        <v>29</v>
      </c>
      <c r="F3069" s="1">
        <f t="shared" si="102"/>
        <v>560</v>
      </c>
      <c r="G3069" s="12">
        <f t="shared" si="103"/>
        <v>26.785714285714288</v>
      </c>
    </row>
    <row r="3070" spans="1:9" ht="15.75" customHeight="1">
      <c r="A3070" s="4" t="s">
        <v>121</v>
      </c>
      <c r="B3070" s="1">
        <v>3.48</v>
      </c>
      <c r="C3070" s="1">
        <v>162</v>
      </c>
      <c r="D3070" s="1" t="s">
        <v>47</v>
      </c>
      <c r="E3070" s="1" t="s">
        <v>7</v>
      </c>
      <c r="F3070" s="1">
        <f t="shared" si="102"/>
        <v>348</v>
      </c>
      <c r="G3070" s="12">
        <f t="shared" si="103"/>
        <v>46.551724137931032</v>
      </c>
    </row>
    <row r="3071" spans="1:9" ht="15.75" customHeight="1">
      <c r="A3071" s="4" t="s">
        <v>121</v>
      </c>
      <c r="B3071" s="1">
        <v>7.5</v>
      </c>
      <c r="C3071" s="1">
        <v>393</v>
      </c>
      <c r="D3071" s="1" t="s">
        <v>42</v>
      </c>
      <c r="E3071" s="1" t="s">
        <v>8</v>
      </c>
      <c r="F3071" s="1">
        <f t="shared" si="102"/>
        <v>750</v>
      </c>
      <c r="G3071" s="12">
        <f t="shared" si="103"/>
        <v>52.4</v>
      </c>
    </row>
    <row r="3072" spans="1:9" ht="15.75" customHeight="1">
      <c r="A3072" s="4" t="s">
        <v>122</v>
      </c>
      <c r="B3072" s="1">
        <v>5.39</v>
      </c>
      <c r="C3072" s="1">
        <v>134</v>
      </c>
      <c r="D3072" s="1" t="s">
        <v>44</v>
      </c>
      <c r="E3072" s="1" t="s">
        <v>15</v>
      </c>
      <c r="F3072" s="1">
        <f t="shared" si="102"/>
        <v>539</v>
      </c>
      <c r="G3072" s="12">
        <f t="shared" si="103"/>
        <v>24.860853432282006</v>
      </c>
    </row>
    <row r="3073" spans="1:7" ht="15.75" customHeight="1">
      <c r="A3073" s="4" t="s">
        <v>122</v>
      </c>
      <c r="B3073" s="1">
        <v>6</v>
      </c>
      <c r="C3073" s="1">
        <v>107</v>
      </c>
      <c r="D3073" s="1" t="s">
        <v>33</v>
      </c>
      <c r="E3073" s="1" t="s">
        <v>16</v>
      </c>
      <c r="F3073" s="1">
        <f t="shared" si="102"/>
        <v>600</v>
      </c>
      <c r="G3073" s="12">
        <f t="shared" si="103"/>
        <v>17.833333333333332</v>
      </c>
    </row>
    <row r="3074" spans="1:7" ht="15.75" customHeight="1">
      <c r="A3074" s="4" t="s">
        <v>122</v>
      </c>
      <c r="B3074" s="1">
        <v>7.56</v>
      </c>
      <c r="C3074" s="1">
        <v>77</v>
      </c>
      <c r="D3074" s="1" t="s">
        <v>11</v>
      </c>
      <c r="E3074" s="1" t="s">
        <v>7</v>
      </c>
      <c r="F3074" s="1">
        <f t="shared" si="102"/>
        <v>756</v>
      </c>
      <c r="G3074" s="12">
        <f t="shared" si="103"/>
        <v>10.185185185185185</v>
      </c>
    </row>
    <row r="3075" spans="1:7" ht="15.75" customHeight="1">
      <c r="A3075" s="4" t="s">
        <v>122</v>
      </c>
      <c r="B3075" s="1">
        <v>8.6999999999999993</v>
      </c>
      <c r="C3075" s="1">
        <v>285</v>
      </c>
      <c r="D3075" s="1" t="s">
        <v>11</v>
      </c>
      <c r="E3075" s="1" t="s">
        <v>10</v>
      </c>
      <c r="F3075" s="1">
        <f t="shared" ref="F3075:F3138" si="104">B3075*100</f>
        <v>869.99999999999989</v>
      </c>
      <c r="G3075" s="12">
        <f t="shared" ref="G3075:G3138" si="105">C3075/B3075</f>
        <v>32.758620689655174</v>
      </c>
    </row>
    <row r="3076" spans="1:7" ht="15.75" customHeight="1">
      <c r="A3076" s="4" t="s">
        <v>122</v>
      </c>
      <c r="B3076" s="1">
        <v>6.88</v>
      </c>
      <c r="C3076" s="1">
        <v>78</v>
      </c>
      <c r="D3076" s="1" t="s">
        <v>33</v>
      </c>
      <c r="E3076" s="1" t="s">
        <v>10</v>
      </c>
      <c r="F3076" s="1">
        <f t="shared" si="104"/>
        <v>688</v>
      </c>
      <c r="G3076" s="12">
        <f t="shared" si="105"/>
        <v>11.337209302325581</v>
      </c>
    </row>
    <row r="3077" spans="1:7" ht="15.75" customHeight="1">
      <c r="A3077" s="4" t="s">
        <v>122</v>
      </c>
      <c r="B3077" s="1">
        <v>4</v>
      </c>
      <c r="C3077" s="1">
        <v>67.19</v>
      </c>
      <c r="D3077" s="1" t="s">
        <v>43</v>
      </c>
      <c r="E3077" s="1" t="s">
        <v>22</v>
      </c>
      <c r="F3077" s="1">
        <f t="shared" si="104"/>
        <v>400</v>
      </c>
      <c r="G3077" s="12">
        <f t="shared" si="105"/>
        <v>16.797499999999999</v>
      </c>
    </row>
    <row r="3078" spans="1:7" ht="15.75" customHeight="1">
      <c r="A3078" s="4" t="s">
        <v>122</v>
      </c>
      <c r="B3078" s="1">
        <v>6.8</v>
      </c>
      <c r="C3078" s="1">
        <v>140</v>
      </c>
      <c r="D3078" s="1" t="s">
        <v>11</v>
      </c>
      <c r="E3078" s="1" t="s">
        <v>23</v>
      </c>
      <c r="F3078" s="1">
        <f t="shared" si="104"/>
        <v>680</v>
      </c>
      <c r="G3078" s="12">
        <f t="shared" si="105"/>
        <v>20.588235294117649</v>
      </c>
    </row>
    <row r="3079" spans="1:7" ht="15.75" customHeight="1">
      <c r="A3079" s="4" t="s">
        <v>122</v>
      </c>
      <c r="B3079" s="1">
        <v>6.5</v>
      </c>
      <c r="C3079" s="1">
        <v>160</v>
      </c>
      <c r="D3079" s="1" t="s">
        <v>39</v>
      </c>
      <c r="E3079" s="1" t="s">
        <v>16</v>
      </c>
      <c r="F3079" s="1">
        <f t="shared" si="104"/>
        <v>650</v>
      </c>
      <c r="G3079" s="12">
        <f t="shared" si="105"/>
        <v>24.615384615384617</v>
      </c>
    </row>
    <row r="3080" spans="1:7" ht="15.75" customHeight="1">
      <c r="A3080" s="4" t="s">
        <v>122</v>
      </c>
      <c r="B3080" s="1">
        <v>8.8000000000000007</v>
      </c>
      <c r="C3080" s="1">
        <v>218</v>
      </c>
      <c r="D3080" s="1" t="s">
        <v>111</v>
      </c>
      <c r="E3080" s="1" t="s">
        <v>32</v>
      </c>
      <c r="F3080" s="1">
        <f t="shared" si="104"/>
        <v>880.00000000000011</v>
      </c>
      <c r="G3080" s="12">
        <f t="shared" si="105"/>
        <v>24.77272727272727</v>
      </c>
    </row>
    <row r="3081" spans="1:7" ht="15.75" customHeight="1">
      <c r="A3081" s="4" t="s">
        <v>122</v>
      </c>
      <c r="B3081" s="1">
        <v>6.88</v>
      </c>
      <c r="C3081" s="1">
        <v>109</v>
      </c>
      <c r="D3081" s="1" t="s">
        <v>53</v>
      </c>
      <c r="E3081" s="1" t="s">
        <v>16</v>
      </c>
      <c r="F3081" s="1">
        <f t="shared" si="104"/>
        <v>688</v>
      </c>
      <c r="G3081" s="12">
        <f t="shared" si="105"/>
        <v>15.843023255813954</v>
      </c>
    </row>
    <row r="3082" spans="1:7" ht="15.75" customHeight="1">
      <c r="A3082" s="4" t="s">
        <v>122</v>
      </c>
      <c r="B3082" s="1">
        <v>10</v>
      </c>
      <c r="C3082" s="1">
        <v>131</v>
      </c>
      <c r="D3082" s="1" t="s">
        <v>111</v>
      </c>
      <c r="E3082" s="1" t="s">
        <v>27</v>
      </c>
      <c r="F3082" s="1">
        <f t="shared" si="104"/>
        <v>1000</v>
      </c>
      <c r="G3082" s="12">
        <f t="shared" si="105"/>
        <v>13.1</v>
      </c>
    </row>
    <row r="3083" spans="1:7" ht="15.75" customHeight="1">
      <c r="A3083" s="4" t="s">
        <v>122</v>
      </c>
      <c r="B3083" s="1">
        <v>7.4</v>
      </c>
      <c r="C3083" s="1">
        <v>44</v>
      </c>
      <c r="D3083" s="1" t="s">
        <v>55</v>
      </c>
      <c r="E3083" s="1" t="s">
        <v>17</v>
      </c>
      <c r="F3083" s="1">
        <f t="shared" si="104"/>
        <v>740</v>
      </c>
      <c r="G3083" s="12">
        <f t="shared" si="105"/>
        <v>5.9459459459459456</v>
      </c>
    </row>
    <row r="3084" spans="1:7" ht="15.75" customHeight="1">
      <c r="A3084" s="4" t="s">
        <v>122</v>
      </c>
      <c r="B3084" s="1">
        <v>4.3</v>
      </c>
      <c r="C3084" s="1">
        <v>103</v>
      </c>
      <c r="D3084" s="1" t="s">
        <v>11</v>
      </c>
      <c r="E3084" s="1" t="s">
        <v>12</v>
      </c>
      <c r="F3084" s="1">
        <f t="shared" si="104"/>
        <v>430</v>
      </c>
      <c r="G3084" s="12">
        <f t="shared" si="105"/>
        <v>23.953488372093023</v>
      </c>
    </row>
    <row r="3085" spans="1:7" ht="15.75" customHeight="1">
      <c r="A3085" s="4" t="s">
        <v>122</v>
      </c>
      <c r="B3085" s="1">
        <v>8</v>
      </c>
      <c r="C3085" s="1">
        <v>190</v>
      </c>
      <c r="D3085" s="1" t="s">
        <v>11</v>
      </c>
      <c r="E3085" s="1" t="s">
        <v>22</v>
      </c>
      <c r="F3085" s="1">
        <f t="shared" si="104"/>
        <v>800</v>
      </c>
      <c r="G3085" s="12">
        <f t="shared" si="105"/>
        <v>23.75</v>
      </c>
    </row>
    <row r="3086" spans="1:7" ht="15.75" customHeight="1">
      <c r="A3086" s="4" t="s">
        <v>122</v>
      </c>
      <c r="B3086" s="1">
        <v>6.4</v>
      </c>
      <c r="C3086" s="1">
        <v>117.6</v>
      </c>
      <c r="D3086" s="1" t="s">
        <v>35</v>
      </c>
      <c r="E3086" s="1" t="s">
        <v>18</v>
      </c>
      <c r="F3086" s="1">
        <f t="shared" si="104"/>
        <v>640</v>
      </c>
      <c r="G3086" s="12">
        <f t="shared" si="105"/>
        <v>18.374999999999996</v>
      </c>
    </row>
    <row r="3087" spans="1:7" ht="15.75" customHeight="1">
      <c r="A3087" s="4" t="s">
        <v>122</v>
      </c>
      <c r="B3087" s="1">
        <v>7.92</v>
      </c>
      <c r="C3087" s="1">
        <v>235</v>
      </c>
      <c r="D3087" s="1" t="s">
        <v>11</v>
      </c>
      <c r="E3087" s="1" t="s">
        <v>30</v>
      </c>
      <c r="F3087" s="1">
        <f t="shared" si="104"/>
        <v>792</v>
      </c>
      <c r="G3087" s="12">
        <f t="shared" si="105"/>
        <v>29.671717171717173</v>
      </c>
    </row>
    <row r="3088" spans="1:7" ht="15.75" customHeight="1">
      <c r="A3088" s="4" t="s">
        <v>122</v>
      </c>
      <c r="B3088" s="1">
        <v>6</v>
      </c>
      <c r="C3088" s="1">
        <v>144</v>
      </c>
      <c r="D3088" s="1" t="s">
        <v>11</v>
      </c>
      <c r="E3088" s="1" t="s">
        <v>8</v>
      </c>
      <c r="F3088" s="1">
        <f t="shared" si="104"/>
        <v>600</v>
      </c>
      <c r="G3088" s="12">
        <f t="shared" si="105"/>
        <v>24</v>
      </c>
    </row>
    <row r="3089" spans="1:7" ht="15.75" customHeight="1">
      <c r="A3089" s="4" t="s">
        <v>122</v>
      </c>
      <c r="B3089" s="1">
        <v>7.9</v>
      </c>
      <c r="C3089" s="1">
        <v>170</v>
      </c>
      <c r="D3089" s="1" t="s">
        <v>11</v>
      </c>
      <c r="E3089" s="1" t="s">
        <v>27</v>
      </c>
      <c r="F3089" s="1">
        <f t="shared" si="104"/>
        <v>790</v>
      </c>
      <c r="G3089" s="12">
        <f t="shared" si="105"/>
        <v>21.518987341772149</v>
      </c>
    </row>
    <row r="3090" spans="1:7" ht="15.75" customHeight="1">
      <c r="A3090" s="4" t="s">
        <v>122</v>
      </c>
      <c r="B3090" s="1">
        <v>6.09</v>
      </c>
      <c r="C3090" s="1">
        <v>152</v>
      </c>
      <c r="D3090" s="1" t="s">
        <v>11</v>
      </c>
      <c r="E3090" s="1" t="s">
        <v>26</v>
      </c>
      <c r="F3090" s="1">
        <f t="shared" si="104"/>
        <v>609</v>
      </c>
      <c r="G3090" s="12">
        <f t="shared" si="105"/>
        <v>24.958949096880133</v>
      </c>
    </row>
    <row r="3091" spans="1:7" ht="15.75" customHeight="1">
      <c r="A3091" s="4" t="s">
        <v>122</v>
      </c>
      <c r="B3091" s="1">
        <v>8.8000000000000007</v>
      </c>
      <c r="C3091" s="1">
        <v>98</v>
      </c>
      <c r="D3091" s="1" t="s">
        <v>35</v>
      </c>
      <c r="E3091" s="1" t="s">
        <v>20</v>
      </c>
      <c r="F3091" s="1">
        <f t="shared" si="104"/>
        <v>880.00000000000011</v>
      </c>
      <c r="G3091" s="12">
        <f t="shared" si="105"/>
        <v>11.136363636363635</v>
      </c>
    </row>
    <row r="3092" spans="1:7" ht="15.75" customHeight="1">
      <c r="A3092" s="4" t="s">
        <v>122</v>
      </c>
      <c r="B3092" s="1">
        <v>6</v>
      </c>
      <c r="C3092" s="1">
        <v>87</v>
      </c>
      <c r="D3092" s="1" t="s">
        <v>11</v>
      </c>
      <c r="E3092" s="1" t="s">
        <v>12</v>
      </c>
      <c r="F3092" s="1">
        <f t="shared" si="104"/>
        <v>600</v>
      </c>
      <c r="G3092" s="12">
        <f t="shared" si="105"/>
        <v>14.5</v>
      </c>
    </row>
    <row r="3093" spans="1:7" ht="15.75" customHeight="1">
      <c r="A3093" s="4" t="s">
        <v>122</v>
      </c>
      <c r="B3093" s="1">
        <v>7.2</v>
      </c>
      <c r="C3093" s="1">
        <v>115</v>
      </c>
      <c r="D3093" s="1" t="s">
        <v>33</v>
      </c>
      <c r="E3093" s="1" t="s">
        <v>15</v>
      </c>
      <c r="F3093" s="1">
        <f t="shared" si="104"/>
        <v>720</v>
      </c>
      <c r="G3093" s="12">
        <f t="shared" si="105"/>
        <v>15.972222222222221</v>
      </c>
    </row>
    <row r="3094" spans="1:7" ht="15.75" customHeight="1">
      <c r="A3094" s="4" t="s">
        <v>122</v>
      </c>
      <c r="B3094" s="1">
        <v>8.1</v>
      </c>
      <c r="C3094" s="1">
        <v>183</v>
      </c>
      <c r="D3094" s="1" t="s">
        <v>42</v>
      </c>
      <c r="E3094" s="1" t="s">
        <v>10</v>
      </c>
      <c r="F3094" s="1">
        <f t="shared" si="104"/>
        <v>810</v>
      </c>
      <c r="G3094" s="12">
        <f t="shared" si="105"/>
        <v>22.592592592592595</v>
      </c>
    </row>
    <row r="3095" spans="1:7" ht="15.75" customHeight="1">
      <c r="A3095" s="4" t="s">
        <v>122</v>
      </c>
      <c r="B3095" s="1">
        <v>4.9000000000000004</v>
      </c>
      <c r="C3095" s="1">
        <v>126</v>
      </c>
      <c r="D3095" s="1" t="s">
        <v>44</v>
      </c>
      <c r="E3095" s="1" t="s">
        <v>15</v>
      </c>
      <c r="F3095" s="1">
        <f t="shared" si="104"/>
        <v>490.00000000000006</v>
      </c>
      <c r="G3095" s="12">
        <f t="shared" si="105"/>
        <v>25.714285714285712</v>
      </c>
    </row>
    <row r="3096" spans="1:7" ht="15.75" customHeight="1">
      <c r="A3096" s="4" t="s">
        <v>122</v>
      </c>
      <c r="B3096" s="1">
        <v>8.6999999999999993</v>
      </c>
      <c r="C3096" s="1">
        <v>139</v>
      </c>
      <c r="D3096" s="1" t="s">
        <v>33</v>
      </c>
      <c r="E3096" s="1" t="s">
        <v>26</v>
      </c>
      <c r="F3096" s="1">
        <f t="shared" si="104"/>
        <v>869.99999999999989</v>
      </c>
      <c r="G3096" s="12">
        <f t="shared" si="105"/>
        <v>15.977011494252874</v>
      </c>
    </row>
    <row r="3097" spans="1:7" ht="15.75" customHeight="1">
      <c r="A3097" s="4" t="s">
        <v>122</v>
      </c>
      <c r="B3097" s="1">
        <v>3.915</v>
      </c>
      <c r="C3097" s="1">
        <v>1.95</v>
      </c>
      <c r="D3097" s="1" t="s">
        <v>35</v>
      </c>
      <c r="E3097" s="1" t="s">
        <v>10</v>
      </c>
      <c r="F3097" s="1">
        <f t="shared" si="104"/>
        <v>391.5</v>
      </c>
      <c r="G3097" s="12">
        <f t="shared" si="105"/>
        <v>0.49808429118773945</v>
      </c>
    </row>
    <row r="3098" spans="1:7" ht="15.75" customHeight="1">
      <c r="A3098" s="4" t="s">
        <v>122</v>
      </c>
      <c r="B3098" s="1">
        <v>7.74</v>
      </c>
      <c r="C3098" s="1">
        <v>115.4</v>
      </c>
      <c r="D3098" s="1" t="s">
        <v>37</v>
      </c>
      <c r="E3098" s="1" t="s">
        <v>7</v>
      </c>
      <c r="F3098" s="1">
        <f t="shared" si="104"/>
        <v>774</v>
      </c>
      <c r="G3098" s="12">
        <f t="shared" si="105"/>
        <v>14.909560723514213</v>
      </c>
    </row>
    <row r="3099" spans="1:7" ht="15.75" customHeight="1">
      <c r="A3099" s="4" t="s">
        <v>122</v>
      </c>
      <c r="B3099" s="1">
        <v>5</v>
      </c>
      <c r="C3099" s="1">
        <v>212</v>
      </c>
      <c r="D3099" s="1" t="s">
        <v>39</v>
      </c>
      <c r="E3099" s="1" t="s">
        <v>22</v>
      </c>
      <c r="F3099" s="1">
        <f t="shared" si="104"/>
        <v>500</v>
      </c>
      <c r="G3099" s="12">
        <f t="shared" si="105"/>
        <v>42.4</v>
      </c>
    </row>
    <row r="3100" spans="1:7" ht="15.75" customHeight="1">
      <c r="A3100" s="4" t="s">
        <v>122</v>
      </c>
      <c r="B3100" s="1">
        <v>6.2</v>
      </c>
      <c r="C3100" s="1">
        <v>157</v>
      </c>
      <c r="D3100" s="1" t="s">
        <v>11</v>
      </c>
      <c r="E3100" s="1" t="s">
        <v>7</v>
      </c>
      <c r="F3100" s="1">
        <f t="shared" si="104"/>
        <v>620</v>
      </c>
      <c r="G3100" s="12">
        <f t="shared" si="105"/>
        <v>25.322580645161288</v>
      </c>
    </row>
    <row r="3101" spans="1:7" ht="15.75" customHeight="1">
      <c r="A3101" s="4" t="s">
        <v>122</v>
      </c>
      <c r="B3101" s="1">
        <v>8</v>
      </c>
      <c r="C3101" s="1">
        <v>153</v>
      </c>
      <c r="D3101" s="1" t="s">
        <v>52</v>
      </c>
      <c r="E3101" s="1" t="s">
        <v>29</v>
      </c>
      <c r="F3101" s="1">
        <f t="shared" si="104"/>
        <v>800</v>
      </c>
      <c r="G3101" s="12">
        <f t="shared" si="105"/>
        <v>19.125</v>
      </c>
    </row>
    <row r="3102" spans="1:7" ht="15.75" customHeight="1">
      <c r="A3102" s="4" t="s">
        <v>122</v>
      </c>
      <c r="B3102" s="1">
        <v>3.44</v>
      </c>
      <c r="C3102" s="1">
        <v>103</v>
      </c>
      <c r="D3102" s="1" t="s">
        <v>43</v>
      </c>
      <c r="E3102" s="1" t="s">
        <v>8</v>
      </c>
      <c r="F3102" s="1">
        <f t="shared" si="104"/>
        <v>344</v>
      </c>
      <c r="G3102" s="12">
        <f t="shared" si="105"/>
        <v>29.941860465116278</v>
      </c>
    </row>
    <row r="3103" spans="1:7" ht="15.75" customHeight="1">
      <c r="A3103" s="4" t="s">
        <v>122</v>
      </c>
      <c r="B3103" s="1">
        <v>6.8</v>
      </c>
      <c r="C3103" s="1">
        <v>110</v>
      </c>
      <c r="D3103" s="1" t="s">
        <v>33</v>
      </c>
      <c r="E3103" s="1" t="s">
        <v>20</v>
      </c>
      <c r="F3103" s="1">
        <f t="shared" si="104"/>
        <v>680</v>
      </c>
      <c r="G3103" s="12">
        <f t="shared" si="105"/>
        <v>16.176470588235293</v>
      </c>
    </row>
    <row r="3104" spans="1:7" ht="15.75" customHeight="1">
      <c r="A3104" s="4" t="s">
        <v>122</v>
      </c>
      <c r="B3104" s="1">
        <v>5.5</v>
      </c>
      <c r="C3104" s="1">
        <v>59</v>
      </c>
      <c r="D3104" s="1" t="s">
        <v>102</v>
      </c>
      <c r="E3104" s="1" t="s">
        <v>26</v>
      </c>
      <c r="F3104" s="1">
        <f t="shared" si="104"/>
        <v>550</v>
      </c>
      <c r="G3104" s="12">
        <f t="shared" si="105"/>
        <v>10.727272727272727</v>
      </c>
    </row>
    <row r="3105" spans="1:7" ht="15.75" customHeight="1">
      <c r="A3105" s="4" t="s">
        <v>122</v>
      </c>
      <c r="B3105" s="1">
        <v>5.6</v>
      </c>
      <c r="C3105" s="1">
        <v>63</v>
      </c>
      <c r="D3105" s="1" t="s">
        <v>33</v>
      </c>
      <c r="E3105" s="1" t="s">
        <v>9</v>
      </c>
      <c r="F3105" s="1">
        <f t="shared" si="104"/>
        <v>560</v>
      </c>
      <c r="G3105" s="12">
        <f t="shared" si="105"/>
        <v>11.25</v>
      </c>
    </row>
    <row r="3106" spans="1:7" ht="15.75" customHeight="1">
      <c r="A3106" s="4" t="s">
        <v>122</v>
      </c>
      <c r="B3106" s="1">
        <v>5.4</v>
      </c>
      <c r="C3106" s="1">
        <v>161</v>
      </c>
      <c r="D3106" s="1" t="s">
        <v>38</v>
      </c>
      <c r="E3106" s="1" t="s">
        <v>8</v>
      </c>
      <c r="F3106" s="1">
        <f t="shared" si="104"/>
        <v>540</v>
      </c>
      <c r="G3106" s="12">
        <f t="shared" si="105"/>
        <v>29.814814814814813</v>
      </c>
    </row>
    <row r="3107" spans="1:7" ht="15.75" customHeight="1">
      <c r="A3107" s="4" t="s">
        <v>122</v>
      </c>
      <c r="B3107" s="1">
        <v>7.8</v>
      </c>
      <c r="C3107" s="1">
        <v>166</v>
      </c>
      <c r="D3107" s="1" t="s">
        <v>11</v>
      </c>
      <c r="E3107" s="1" t="s">
        <v>8</v>
      </c>
      <c r="F3107" s="1">
        <f t="shared" si="104"/>
        <v>780</v>
      </c>
      <c r="G3107" s="12">
        <f t="shared" si="105"/>
        <v>21.282051282051281</v>
      </c>
    </row>
    <row r="3108" spans="1:7" ht="15.75" customHeight="1">
      <c r="A3108" s="4" t="s">
        <v>122</v>
      </c>
      <c r="B3108" s="1">
        <v>6.02</v>
      </c>
      <c r="C3108" s="1">
        <v>107</v>
      </c>
      <c r="D3108" s="1" t="s">
        <v>38</v>
      </c>
      <c r="E3108" s="1" t="s">
        <v>8</v>
      </c>
      <c r="F3108" s="1">
        <f t="shared" si="104"/>
        <v>602</v>
      </c>
      <c r="G3108" s="12">
        <f t="shared" si="105"/>
        <v>17.774086378737543</v>
      </c>
    </row>
    <row r="3109" spans="1:7" ht="15.75" customHeight="1">
      <c r="A3109" s="4" t="s">
        <v>122</v>
      </c>
      <c r="B3109" s="1">
        <v>9.68</v>
      </c>
      <c r="C3109" s="1">
        <v>205</v>
      </c>
      <c r="D3109" s="1" t="s">
        <v>47</v>
      </c>
      <c r="E3109" s="1" t="s">
        <v>29</v>
      </c>
      <c r="F3109" s="1">
        <f t="shared" si="104"/>
        <v>968</v>
      </c>
      <c r="G3109" s="12">
        <f t="shared" si="105"/>
        <v>21.177685950413224</v>
      </c>
    </row>
    <row r="3110" spans="1:7" ht="15.75" customHeight="1">
      <c r="A3110" s="4" t="s">
        <v>122</v>
      </c>
      <c r="B3110" s="1">
        <v>6.44</v>
      </c>
      <c r="C3110" s="1">
        <v>133</v>
      </c>
      <c r="D3110" s="1" t="s">
        <v>42</v>
      </c>
      <c r="E3110" s="1" t="s">
        <v>18</v>
      </c>
      <c r="F3110" s="1">
        <f t="shared" si="104"/>
        <v>644</v>
      </c>
      <c r="G3110" s="12">
        <f t="shared" si="105"/>
        <v>20.652173913043477</v>
      </c>
    </row>
    <row r="3111" spans="1:7" ht="15.75" customHeight="1">
      <c r="A3111" s="4" t="s">
        <v>122</v>
      </c>
      <c r="B3111" s="1">
        <v>3.3</v>
      </c>
      <c r="C3111" s="1">
        <v>46</v>
      </c>
      <c r="D3111" s="1" t="s">
        <v>39</v>
      </c>
      <c r="E3111" s="1" t="s">
        <v>27</v>
      </c>
      <c r="F3111" s="1">
        <f t="shared" si="104"/>
        <v>330</v>
      </c>
      <c r="G3111" s="12">
        <f t="shared" si="105"/>
        <v>13.939393939393939</v>
      </c>
    </row>
    <row r="3112" spans="1:7" ht="15.75" customHeight="1">
      <c r="A3112" s="4" t="s">
        <v>122</v>
      </c>
      <c r="B3112" s="1">
        <v>5.16</v>
      </c>
      <c r="C3112" s="1">
        <v>84</v>
      </c>
      <c r="D3112" s="1" t="s">
        <v>48</v>
      </c>
      <c r="E3112" s="1" t="s">
        <v>30</v>
      </c>
      <c r="F3112" s="1">
        <f t="shared" si="104"/>
        <v>516</v>
      </c>
      <c r="G3112" s="12">
        <f t="shared" si="105"/>
        <v>16.279069767441861</v>
      </c>
    </row>
    <row r="3113" spans="1:7" ht="15.75" customHeight="1">
      <c r="A3113" s="4" t="s">
        <v>122</v>
      </c>
      <c r="B3113" s="1">
        <v>3</v>
      </c>
      <c r="C3113" s="1">
        <v>78</v>
      </c>
      <c r="D3113" s="1" t="s">
        <v>38</v>
      </c>
      <c r="E3113" s="1" t="s">
        <v>15</v>
      </c>
      <c r="F3113" s="1">
        <f t="shared" si="104"/>
        <v>300</v>
      </c>
      <c r="G3113" s="12">
        <f t="shared" si="105"/>
        <v>26</v>
      </c>
    </row>
    <row r="3114" spans="1:7" ht="15.75" customHeight="1">
      <c r="A3114" s="4" t="s">
        <v>122</v>
      </c>
      <c r="B3114" s="1">
        <v>10</v>
      </c>
      <c r="C3114" s="1">
        <v>3</v>
      </c>
      <c r="D3114" s="1" t="s">
        <v>33</v>
      </c>
      <c r="E3114" s="1" t="s">
        <v>28</v>
      </c>
      <c r="F3114" s="1">
        <f t="shared" si="104"/>
        <v>1000</v>
      </c>
      <c r="G3114" s="12">
        <f t="shared" si="105"/>
        <v>0.3</v>
      </c>
    </row>
    <row r="3115" spans="1:7" ht="15.75" customHeight="1">
      <c r="A3115" s="4" t="s">
        <v>122</v>
      </c>
      <c r="B3115" s="1">
        <v>8</v>
      </c>
      <c r="C3115" s="1">
        <v>220</v>
      </c>
      <c r="D3115" s="1" t="s">
        <v>47</v>
      </c>
      <c r="E3115" s="1" t="s">
        <v>22</v>
      </c>
      <c r="F3115" s="1">
        <f t="shared" si="104"/>
        <v>800</v>
      </c>
      <c r="G3115" s="12">
        <f t="shared" si="105"/>
        <v>27.5</v>
      </c>
    </row>
    <row r="3116" spans="1:7" ht="15.75" customHeight="1">
      <c r="A3116" s="4" t="s">
        <v>122</v>
      </c>
      <c r="B3116" s="1">
        <v>5.2</v>
      </c>
      <c r="C3116" s="1">
        <v>147</v>
      </c>
      <c r="D3116" s="1" t="s">
        <v>38</v>
      </c>
      <c r="E3116" s="1" t="s">
        <v>9</v>
      </c>
      <c r="F3116" s="1">
        <f t="shared" si="104"/>
        <v>520</v>
      </c>
      <c r="G3116" s="12">
        <f t="shared" si="105"/>
        <v>28.269230769230766</v>
      </c>
    </row>
    <row r="3117" spans="1:7" ht="15.75" customHeight="1">
      <c r="A3117" s="4" t="s">
        <v>122</v>
      </c>
      <c r="B3117" s="1">
        <v>7.36</v>
      </c>
      <c r="C3117" s="1">
        <v>129</v>
      </c>
      <c r="D3117" s="1" t="s">
        <v>37</v>
      </c>
      <c r="E3117" s="1" t="s">
        <v>15</v>
      </c>
      <c r="F3117" s="1">
        <f t="shared" si="104"/>
        <v>736</v>
      </c>
      <c r="G3117" s="12">
        <f t="shared" si="105"/>
        <v>17.527173913043477</v>
      </c>
    </row>
    <row r="3118" spans="1:7" ht="15.75" customHeight="1">
      <c r="A3118" s="4" t="s">
        <v>122</v>
      </c>
      <c r="B3118" s="1">
        <v>3.44</v>
      </c>
      <c r="C3118" s="1">
        <v>83</v>
      </c>
      <c r="D3118" s="1" t="s">
        <v>11</v>
      </c>
      <c r="E3118" s="1" t="s">
        <v>9</v>
      </c>
      <c r="F3118" s="1">
        <f t="shared" si="104"/>
        <v>344</v>
      </c>
      <c r="G3118" s="12">
        <f t="shared" si="105"/>
        <v>24.127906976744185</v>
      </c>
    </row>
    <row r="3119" spans="1:7" ht="15.75" customHeight="1">
      <c r="A3119" s="4" t="s">
        <v>122</v>
      </c>
      <c r="B3119" s="1">
        <v>6.1</v>
      </c>
      <c r="C3119" s="1">
        <v>157</v>
      </c>
      <c r="D3119" s="1" t="s">
        <v>11</v>
      </c>
      <c r="E3119" s="1" t="s">
        <v>69</v>
      </c>
      <c r="F3119" s="1">
        <f t="shared" si="104"/>
        <v>610</v>
      </c>
      <c r="G3119" s="12">
        <f t="shared" si="105"/>
        <v>25.73770491803279</v>
      </c>
    </row>
    <row r="3120" spans="1:7" ht="15.75" customHeight="1">
      <c r="A3120" s="4" t="s">
        <v>122</v>
      </c>
      <c r="B3120" s="1">
        <v>6.88</v>
      </c>
      <c r="C3120" s="1">
        <v>162</v>
      </c>
      <c r="D3120" s="1" t="s">
        <v>11</v>
      </c>
      <c r="E3120" s="1" t="s">
        <v>8</v>
      </c>
      <c r="F3120" s="1">
        <f t="shared" si="104"/>
        <v>688</v>
      </c>
      <c r="G3120" s="12">
        <f t="shared" si="105"/>
        <v>23.546511627906977</v>
      </c>
    </row>
    <row r="3121" spans="1:7" ht="15.75" customHeight="1">
      <c r="A3121" s="4" t="s">
        <v>122</v>
      </c>
      <c r="B3121" s="1">
        <v>6.6</v>
      </c>
      <c r="C3121" s="1">
        <v>114</v>
      </c>
      <c r="D3121" s="1" t="s">
        <v>11</v>
      </c>
      <c r="E3121" s="1" t="s">
        <v>8</v>
      </c>
      <c r="F3121" s="1">
        <f t="shared" si="104"/>
        <v>660</v>
      </c>
      <c r="G3121" s="12">
        <f t="shared" si="105"/>
        <v>17.272727272727273</v>
      </c>
    </row>
    <row r="3122" spans="1:7" ht="15.75" customHeight="1">
      <c r="A3122" s="4" t="s">
        <v>122</v>
      </c>
      <c r="B3122" s="1">
        <v>6</v>
      </c>
      <c r="C3122" s="1">
        <v>122</v>
      </c>
      <c r="D3122" s="1" t="s">
        <v>47</v>
      </c>
      <c r="E3122" s="1" t="s">
        <v>19</v>
      </c>
      <c r="F3122" s="1">
        <f t="shared" si="104"/>
        <v>600</v>
      </c>
      <c r="G3122" s="12">
        <f t="shared" si="105"/>
        <v>20.333333333333332</v>
      </c>
    </row>
    <row r="3123" spans="1:7" ht="15.75" customHeight="1">
      <c r="A3123" s="4" t="s">
        <v>122</v>
      </c>
      <c r="B3123" s="1">
        <v>6.88</v>
      </c>
      <c r="C3123" s="1">
        <v>117</v>
      </c>
      <c r="D3123" s="1" t="s">
        <v>45</v>
      </c>
      <c r="E3123" s="1" t="s">
        <v>10</v>
      </c>
      <c r="F3123" s="1">
        <f t="shared" si="104"/>
        <v>688</v>
      </c>
      <c r="G3123" s="12">
        <f t="shared" si="105"/>
        <v>17.005813953488371</v>
      </c>
    </row>
    <row r="3124" spans="1:7" ht="15.75" customHeight="1">
      <c r="A3124" s="4" t="s">
        <v>122</v>
      </c>
      <c r="B3124" s="1">
        <v>4.3</v>
      </c>
      <c r="C3124" s="1">
        <v>82</v>
      </c>
      <c r="D3124" s="1" t="s">
        <v>37</v>
      </c>
      <c r="E3124" s="1" t="s">
        <v>15</v>
      </c>
      <c r="F3124" s="1">
        <f t="shared" si="104"/>
        <v>430</v>
      </c>
      <c r="G3124" s="12">
        <f t="shared" si="105"/>
        <v>19.069767441860467</v>
      </c>
    </row>
    <row r="3125" spans="1:7" ht="15.75" customHeight="1">
      <c r="A3125" s="4" t="s">
        <v>122</v>
      </c>
      <c r="B3125" s="1">
        <v>7.4</v>
      </c>
      <c r="C3125" s="1">
        <v>133</v>
      </c>
      <c r="D3125" s="1" t="s">
        <v>33</v>
      </c>
      <c r="E3125" s="1" t="s">
        <v>23</v>
      </c>
      <c r="F3125" s="1">
        <f t="shared" si="104"/>
        <v>740</v>
      </c>
      <c r="G3125" s="12">
        <f t="shared" si="105"/>
        <v>17.972972972972972</v>
      </c>
    </row>
    <row r="3126" spans="1:7" ht="15.75" customHeight="1">
      <c r="A3126" s="4" t="s">
        <v>122</v>
      </c>
      <c r="B3126" s="1">
        <v>10</v>
      </c>
      <c r="C3126" s="1">
        <v>173</v>
      </c>
      <c r="D3126" s="1" t="s">
        <v>33</v>
      </c>
      <c r="E3126" s="1" t="s">
        <v>20</v>
      </c>
      <c r="F3126" s="1">
        <f t="shared" si="104"/>
        <v>1000</v>
      </c>
      <c r="G3126" s="12">
        <f t="shared" si="105"/>
        <v>17.3</v>
      </c>
    </row>
    <row r="3127" spans="1:7" ht="15.75" customHeight="1">
      <c r="A3127" s="4" t="s">
        <v>122</v>
      </c>
      <c r="B3127" s="1">
        <v>40</v>
      </c>
      <c r="C3127" s="1">
        <v>780</v>
      </c>
      <c r="D3127" s="1" t="s">
        <v>88</v>
      </c>
      <c r="E3127" s="1" t="s">
        <v>21</v>
      </c>
      <c r="F3127" s="1">
        <f t="shared" si="104"/>
        <v>4000</v>
      </c>
      <c r="G3127" s="12">
        <f t="shared" si="105"/>
        <v>19.5</v>
      </c>
    </row>
    <row r="3128" spans="1:7" ht="15.75" customHeight="1">
      <c r="A3128" s="4" t="s">
        <v>122</v>
      </c>
      <c r="B3128" s="1">
        <v>4.9800000000000004</v>
      </c>
      <c r="C3128" s="1">
        <v>67</v>
      </c>
      <c r="D3128" s="1" t="s">
        <v>11</v>
      </c>
      <c r="E3128" s="1" t="s">
        <v>25</v>
      </c>
      <c r="F3128" s="1">
        <f t="shared" si="104"/>
        <v>498.00000000000006</v>
      </c>
      <c r="G3128" s="12">
        <f t="shared" si="105"/>
        <v>13.453815261044175</v>
      </c>
    </row>
    <row r="3129" spans="1:7" ht="15.75" customHeight="1">
      <c r="A3129" s="4" t="s">
        <v>122</v>
      </c>
      <c r="B3129" s="1">
        <v>7.4</v>
      </c>
      <c r="C3129" s="1">
        <v>108</v>
      </c>
      <c r="D3129" s="1" t="s">
        <v>33</v>
      </c>
      <c r="E3129" s="1" t="s">
        <v>15</v>
      </c>
      <c r="F3129" s="1">
        <f t="shared" si="104"/>
        <v>740</v>
      </c>
      <c r="G3129" s="12">
        <f t="shared" si="105"/>
        <v>14.594594594594595</v>
      </c>
    </row>
    <row r="3130" spans="1:7" ht="15.75" customHeight="1">
      <c r="A3130" s="4" t="s">
        <v>122</v>
      </c>
      <c r="B3130" s="1">
        <v>7.3</v>
      </c>
      <c r="C3130" s="1">
        <v>147.5</v>
      </c>
      <c r="D3130" s="1" t="s">
        <v>47</v>
      </c>
      <c r="E3130" s="1" t="s">
        <v>28</v>
      </c>
      <c r="F3130" s="1">
        <f t="shared" si="104"/>
        <v>730</v>
      </c>
      <c r="G3130" s="12">
        <f t="shared" si="105"/>
        <v>20.205479452054796</v>
      </c>
    </row>
    <row r="3131" spans="1:7" ht="15.75" customHeight="1">
      <c r="A3131" s="4" t="s">
        <v>122</v>
      </c>
      <c r="B3131" s="1">
        <v>5.5</v>
      </c>
      <c r="C3131" s="1">
        <v>171</v>
      </c>
      <c r="D3131" s="1" t="s">
        <v>11</v>
      </c>
      <c r="E3131" s="1" t="s">
        <v>25</v>
      </c>
      <c r="F3131" s="1">
        <f t="shared" si="104"/>
        <v>550</v>
      </c>
      <c r="G3131" s="12">
        <f t="shared" si="105"/>
        <v>31.09090909090909</v>
      </c>
    </row>
    <row r="3132" spans="1:7" ht="15.75" customHeight="1">
      <c r="A3132" s="4" t="s">
        <v>122</v>
      </c>
      <c r="B3132" s="1">
        <v>5.9</v>
      </c>
      <c r="C3132" s="1">
        <v>162</v>
      </c>
      <c r="D3132" s="1" t="s">
        <v>11</v>
      </c>
      <c r="E3132" s="1" t="s">
        <v>10</v>
      </c>
      <c r="F3132" s="1">
        <f t="shared" si="104"/>
        <v>590</v>
      </c>
      <c r="G3132" s="12">
        <f t="shared" si="105"/>
        <v>27.457627118644066</v>
      </c>
    </row>
    <row r="3133" spans="1:7" ht="15.75" customHeight="1">
      <c r="A3133" s="4" t="s">
        <v>122</v>
      </c>
      <c r="B3133" s="1">
        <v>7.92</v>
      </c>
      <c r="C3133" s="1">
        <v>168</v>
      </c>
      <c r="D3133" s="1" t="s">
        <v>43</v>
      </c>
      <c r="E3133" s="1" t="s">
        <v>19</v>
      </c>
      <c r="F3133" s="1">
        <f t="shared" si="104"/>
        <v>792</v>
      </c>
      <c r="G3133" s="12">
        <f t="shared" si="105"/>
        <v>21.212121212121211</v>
      </c>
    </row>
    <row r="3134" spans="1:7" ht="15.75" customHeight="1">
      <c r="A3134" s="4" t="s">
        <v>122</v>
      </c>
      <c r="B3134" s="1">
        <v>7.74</v>
      </c>
      <c r="C3134" s="1">
        <v>269.5</v>
      </c>
      <c r="D3134" s="1" t="s">
        <v>11</v>
      </c>
      <c r="E3134" s="1" t="s">
        <v>29</v>
      </c>
      <c r="F3134" s="1">
        <f t="shared" si="104"/>
        <v>774</v>
      </c>
      <c r="G3134" s="12">
        <f t="shared" si="105"/>
        <v>34.819121447028422</v>
      </c>
    </row>
    <row r="3135" spans="1:7" ht="15.75" customHeight="1">
      <c r="A3135" s="4" t="s">
        <v>122</v>
      </c>
      <c r="B3135" s="1">
        <v>6.7</v>
      </c>
      <c r="C3135" s="1">
        <v>113</v>
      </c>
      <c r="D3135" s="1" t="s">
        <v>33</v>
      </c>
      <c r="E3135" s="1" t="s">
        <v>21</v>
      </c>
      <c r="F3135" s="1">
        <f t="shared" si="104"/>
        <v>670</v>
      </c>
      <c r="G3135" s="12">
        <f t="shared" si="105"/>
        <v>16.865671641791046</v>
      </c>
    </row>
    <row r="3136" spans="1:7" ht="15.75" customHeight="1">
      <c r="A3136" s="4" t="s">
        <v>122</v>
      </c>
      <c r="B3136" s="1">
        <v>9.6</v>
      </c>
      <c r="C3136" s="1">
        <v>0.46</v>
      </c>
      <c r="D3136" s="1" t="s">
        <v>11</v>
      </c>
      <c r="E3136" s="1" t="s">
        <v>29</v>
      </c>
      <c r="F3136" s="1">
        <f t="shared" si="104"/>
        <v>960</v>
      </c>
      <c r="G3136" s="12">
        <f t="shared" si="105"/>
        <v>4.791666666666667E-2</v>
      </c>
    </row>
    <row r="3137" spans="1:7" ht="15.75" customHeight="1">
      <c r="A3137" s="4" t="s">
        <v>122</v>
      </c>
      <c r="B3137" s="1">
        <v>8</v>
      </c>
      <c r="C3137" s="1">
        <v>122</v>
      </c>
      <c r="D3137" s="1" t="s">
        <v>39</v>
      </c>
      <c r="E3137" s="1" t="s">
        <v>26</v>
      </c>
      <c r="F3137" s="1">
        <f t="shared" si="104"/>
        <v>800</v>
      </c>
      <c r="G3137" s="12">
        <f t="shared" si="105"/>
        <v>15.25</v>
      </c>
    </row>
    <row r="3138" spans="1:7" ht="15.75" customHeight="1">
      <c r="A3138" s="4" t="s">
        <v>122</v>
      </c>
      <c r="B3138" s="1">
        <v>6.2</v>
      </c>
      <c r="C3138" s="1">
        <v>184</v>
      </c>
      <c r="D3138" s="1" t="s">
        <v>39</v>
      </c>
      <c r="E3138" s="1" t="s">
        <v>10</v>
      </c>
      <c r="F3138" s="1">
        <f t="shared" si="104"/>
        <v>620</v>
      </c>
      <c r="G3138" s="12">
        <f t="shared" si="105"/>
        <v>29.677419354838708</v>
      </c>
    </row>
    <row r="3139" spans="1:7" ht="15.75" customHeight="1">
      <c r="A3139" s="4" t="s">
        <v>122</v>
      </c>
      <c r="B3139" s="1">
        <v>4</v>
      </c>
      <c r="C3139" s="1">
        <v>38</v>
      </c>
      <c r="D3139" s="1" t="s">
        <v>70</v>
      </c>
      <c r="E3139" s="1" t="s">
        <v>68</v>
      </c>
      <c r="F3139" s="1">
        <f t="shared" ref="F3139:F3202" si="106">B3139*100</f>
        <v>400</v>
      </c>
      <c r="G3139" s="12">
        <f t="shared" ref="G3139:G3202" si="107">C3139/B3139</f>
        <v>9.5</v>
      </c>
    </row>
    <row r="3140" spans="1:7" ht="15.75" customHeight="1">
      <c r="A3140" s="4" t="s">
        <v>122</v>
      </c>
      <c r="B3140" s="1">
        <v>5.2</v>
      </c>
      <c r="C3140" s="1">
        <v>150</v>
      </c>
      <c r="D3140" s="1" t="s">
        <v>11</v>
      </c>
      <c r="E3140" s="1" t="s">
        <v>27</v>
      </c>
      <c r="F3140" s="1">
        <f t="shared" si="106"/>
        <v>520</v>
      </c>
      <c r="G3140" s="12">
        <f t="shared" si="107"/>
        <v>28.846153846153847</v>
      </c>
    </row>
    <row r="3141" spans="1:7" ht="15.75" customHeight="1">
      <c r="A3141" s="4" t="s">
        <v>122</v>
      </c>
      <c r="B3141" s="1">
        <v>7.9</v>
      </c>
      <c r="C3141" s="1">
        <v>176</v>
      </c>
      <c r="D3141" s="1" t="s">
        <v>35</v>
      </c>
      <c r="E3141" s="1" t="s">
        <v>22</v>
      </c>
      <c r="F3141" s="1">
        <f t="shared" si="106"/>
        <v>790</v>
      </c>
      <c r="G3141" s="12">
        <f t="shared" si="107"/>
        <v>22.278481012658226</v>
      </c>
    </row>
    <row r="3142" spans="1:7" ht="15.75" customHeight="1">
      <c r="A3142" s="4" t="s">
        <v>122</v>
      </c>
      <c r="B3142" s="1">
        <v>5.6</v>
      </c>
      <c r="C3142" s="1">
        <v>240</v>
      </c>
      <c r="D3142" s="1" t="s">
        <v>11</v>
      </c>
      <c r="E3142" s="1" t="s">
        <v>8</v>
      </c>
      <c r="F3142" s="1">
        <f t="shared" si="106"/>
        <v>560</v>
      </c>
      <c r="G3142" s="12">
        <f t="shared" si="107"/>
        <v>42.857142857142861</v>
      </c>
    </row>
    <row r="3143" spans="1:7" ht="15.75" customHeight="1">
      <c r="A3143" s="4" t="s">
        <v>122</v>
      </c>
      <c r="B3143" s="1">
        <v>4.05</v>
      </c>
      <c r="C3143" s="1">
        <v>60</v>
      </c>
      <c r="D3143" s="1" t="s">
        <v>38</v>
      </c>
      <c r="E3143" s="1" t="s">
        <v>30</v>
      </c>
      <c r="F3143" s="1">
        <f t="shared" si="106"/>
        <v>405</v>
      </c>
      <c r="G3143" s="12">
        <f t="shared" si="107"/>
        <v>14.814814814814815</v>
      </c>
    </row>
    <row r="3144" spans="1:7" ht="15.75" customHeight="1">
      <c r="A3144" s="4" t="s">
        <v>122</v>
      </c>
      <c r="B3144" s="1">
        <v>7.83</v>
      </c>
      <c r="C3144" s="1">
        <v>153</v>
      </c>
      <c r="D3144" s="1" t="s">
        <v>11</v>
      </c>
      <c r="E3144" s="1" t="s">
        <v>12</v>
      </c>
      <c r="F3144" s="1">
        <f t="shared" si="106"/>
        <v>783</v>
      </c>
      <c r="G3144" s="12">
        <f t="shared" si="107"/>
        <v>19.540229885057471</v>
      </c>
    </row>
    <row r="3145" spans="1:7" ht="15.75" customHeight="1">
      <c r="A3145" s="4" t="s">
        <v>122</v>
      </c>
      <c r="B3145" s="1">
        <v>6.09</v>
      </c>
      <c r="C3145" s="1">
        <v>94</v>
      </c>
      <c r="D3145" s="1" t="s">
        <v>42</v>
      </c>
      <c r="E3145" s="1" t="s">
        <v>15</v>
      </c>
      <c r="F3145" s="1">
        <f t="shared" si="106"/>
        <v>609</v>
      </c>
      <c r="G3145" s="12">
        <f t="shared" si="107"/>
        <v>15.435139573070607</v>
      </c>
    </row>
    <row r="3146" spans="1:7" ht="15.75" customHeight="1">
      <c r="A3146" s="4" t="s">
        <v>122</v>
      </c>
      <c r="B3146" s="1">
        <v>4</v>
      </c>
      <c r="C3146" s="1">
        <v>92</v>
      </c>
      <c r="D3146" s="1" t="s">
        <v>11</v>
      </c>
      <c r="E3146" s="1" t="s">
        <v>28</v>
      </c>
      <c r="F3146" s="1">
        <f t="shared" si="106"/>
        <v>400</v>
      </c>
      <c r="G3146" s="12">
        <f t="shared" si="107"/>
        <v>23</v>
      </c>
    </row>
    <row r="3147" spans="1:7" ht="15.75" customHeight="1">
      <c r="A3147" s="4" t="s">
        <v>122</v>
      </c>
      <c r="B3147" s="1">
        <v>4</v>
      </c>
      <c r="C3147" s="1">
        <v>69</v>
      </c>
      <c r="D3147" s="1" t="s">
        <v>11</v>
      </c>
      <c r="E3147" s="1" t="s">
        <v>14</v>
      </c>
      <c r="F3147" s="1">
        <f t="shared" si="106"/>
        <v>400</v>
      </c>
      <c r="G3147" s="12">
        <f t="shared" si="107"/>
        <v>17.25</v>
      </c>
    </row>
    <row r="3148" spans="1:7" ht="15.75" customHeight="1">
      <c r="A3148" s="4" t="s">
        <v>122</v>
      </c>
      <c r="B3148" s="1">
        <v>6.88</v>
      </c>
      <c r="C3148" s="1">
        <v>144</v>
      </c>
      <c r="D3148" s="1" t="s">
        <v>38</v>
      </c>
      <c r="E3148" s="1" t="s">
        <v>22</v>
      </c>
      <c r="F3148" s="1">
        <f t="shared" si="106"/>
        <v>688</v>
      </c>
      <c r="G3148" s="12">
        <f t="shared" si="107"/>
        <v>20.930232558139537</v>
      </c>
    </row>
    <row r="3149" spans="1:7" ht="15.75" customHeight="1">
      <c r="A3149" s="4" t="s">
        <v>122</v>
      </c>
      <c r="B3149" s="1">
        <v>6</v>
      </c>
      <c r="C3149" s="1">
        <v>147</v>
      </c>
      <c r="D3149" s="1" t="s">
        <v>11</v>
      </c>
      <c r="E3149" s="1" t="s">
        <v>17</v>
      </c>
      <c r="F3149" s="1">
        <f t="shared" si="106"/>
        <v>600</v>
      </c>
      <c r="G3149" s="12">
        <f t="shared" si="107"/>
        <v>24.5</v>
      </c>
    </row>
    <row r="3150" spans="1:7" ht="15.75" customHeight="1">
      <c r="A3150" s="4" t="s">
        <v>122</v>
      </c>
      <c r="B3150" s="1">
        <v>8.4</v>
      </c>
      <c r="C3150" s="1">
        <v>132</v>
      </c>
      <c r="D3150" s="1" t="s">
        <v>33</v>
      </c>
      <c r="E3150" s="1" t="s">
        <v>15</v>
      </c>
      <c r="F3150" s="1">
        <f t="shared" si="106"/>
        <v>840</v>
      </c>
      <c r="G3150" s="12">
        <f t="shared" si="107"/>
        <v>15.714285714285714</v>
      </c>
    </row>
    <row r="3151" spans="1:7" ht="15.75" customHeight="1">
      <c r="A3151" s="4" t="s">
        <v>122</v>
      </c>
      <c r="B3151" s="1">
        <v>10.199999999999999</v>
      </c>
      <c r="C3151" s="1">
        <v>275.76</v>
      </c>
      <c r="D3151" s="1" t="s">
        <v>43</v>
      </c>
      <c r="E3151" s="1" t="s">
        <v>24</v>
      </c>
      <c r="F3151" s="1">
        <f t="shared" si="106"/>
        <v>1019.9999999999999</v>
      </c>
      <c r="G3151" s="12">
        <f t="shared" si="107"/>
        <v>27.035294117647059</v>
      </c>
    </row>
    <row r="3152" spans="1:7" ht="15.75" customHeight="1">
      <c r="A3152" s="4" t="s">
        <v>122</v>
      </c>
      <c r="B3152" s="1">
        <v>8.6999999999999993</v>
      </c>
      <c r="C3152" s="1">
        <v>235</v>
      </c>
      <c r="D3152" s="1" t="s">
        <v>11</v>
      </c>
      <c r="E3152" s="1" t="s">
        <v>20</v>
      </c>
      <c r="F3152" s="1">
        <f t="shared" si="106"/>
        <v>869.99999999999989</v>
      </c>
      <c r="G3152" s="12">
        <f t="shared" si="107"/>
        <v>27.011494252873565</v>
      </c>
    </row>
    <row r="3153" spans="1:7" ht="15.75" customHeight="1">
      <c r="A3153" s="4" t="s">
        <v>122</v>
      </c>
      <c r="B3153" s="1">
        <v>2.87</v>
      </c>
      <c r="C3153" s="1">
        <v>70</v>
      </c>
      <c r="D3153" s="1" t="s">
        <v>11</v>
      </c>
      <c r="E3153" s="1" t="s">
        <v>8</v>
      </c>
      <c r="F3153" s="1">
        <f t="shared" si="106"/>
        <v>287</v>
      </c>
      <c r="G3153" s="12">
        <f t="shared" si="107"/>
        <v>24.390243902439025</v>
      </c>
    </row>
    <row r="3154" spans="1:7" ht="15.75" customHeight="1">
      <c r="A3154" s="4" t="s">
        <v>122</v>
      </c>
      <c r="B3154" s="1">
        <v>8.1999999999999993</v>
      </c>
      <c r="C3154" s="1">
        <v>110</v>
      </c>
      <c r="D3154" s="1" t="s">
        <v>11</v>
      </c>
      <c r="E3154" s="1" t="s">
        <v>12</v>
      </c>
      <c r="F3154" s="1">
        <f t="shared" si="106"/>
        <v>819.99999999999989</v>
      </c>
      <c r="G3154" s="12">
        <f t="shared" si="107"/>
        <v>13.414634146341465</v>
      </c>
    </row>
    <row r="3155" spans="1:7" ht="15.75" customHeight="1">
      <c r="A3155" s="4" t="s">
        <v>122</v>
      </c>
      <c r="B3155" s="1">
        <v>4</v>
      </c>
      <c r="C3155" s="1">
        <v>115</v>
      </c>
      <c r="D3155" s="1" t="s">
        <v>11</v>
      </c>
      <c r="E3155" s="1" t="s">
        <v>24</v>
      </c>
      <c r="F3155" s="1">
        <f t="shared" si="106"/>
        <v>400</v>
      </c>
      <c r="G3155" s="12">
        <f t="shared" si="107"/>
        <v>28.75</v>
      </c>
    </row>
    <row r="3156" spans="1:7" ht="15.75" customHeight="1">
      <c r="A3156" s="4" t="s">
        <v>122</v>
      </c>
      <c r="B3156" s="1">
        <v>9.1999999999999993</v>
      </c>
      <c r="C3156" s="1">
        <v>191</v>
      </c>
      <c r="D3156" s="1" t="s">
        <v>43</v>
      </c>
      <c r="E3156" s="1" t="s">
        <v>14</v>
      </c>
      <c r="F3156" s="1">
        <f t="shared" si="106"/>
        <v>919.99999999999989</v>
      </c>
      <c r="G3156" s="12">
        <f t="shared" si="107"/>
        <v>20.760869565217394</v>
      </c>
    </row>
    <row r="3157" spans="1:7" ht="15.75" customHeight="1">
      <c r="A3157" s="4" t="s">
        <v>122</v>
      </c>
      <c r="B3157" s="1">
        <v>4.2</v>
      </c>
      <c r="C3157" s="1">
        <v>149</v>
      </c>
      <c r="D3157" s="1" t="s">
        <v>11</v>
      </c>
      <c r="E3157" s="1" t="s">
        <v>15</v>
      </c>
      <c r="F3157" s="1">
        <f t="shared" si="106"/>
        <v>420</v>
      </c>
      <c r="G3157" s="12">
        <f t="shared" si="107"/>
        <v>35.476190476190474</v>
      </c>
    </row>
    <row r="3158" spans="1:7" ht="15.75" customHeight="1">
      <c r="A3158" s="4" t="s">
        <v>122</v>
      </c>
      <c r="B3158" s="1">
        <v>5.39</v>
      </c>
      <c r="C3158" s="1">
        <v>149</v>
      </c>
      <c r="D3158" s="1" t="s">
        <v>11</v>
      </c>
      <c r="E3158" s="1" t="s">
        <v>26</v>
      </c>
      <c r="F3158" s="1">
        <f t="shared" si="106"/>
        <v>539</v>
      </c>
      <c r="G3158" s="12">
        <f t="shared" si="107"/>
        <v>27.64378478664193</v>
      </c>
    </row>
    <row r="3159" spans="1:7" ht="15.75" customHeight="1">
      <c r="A3159" s="4" t="s">
        <v>122</v>
      </c>
      <c r="B3159" s="1">
        <v>118</v>
      </c>
      <c r="C3159" s="1">
        <v>6</v>
      </c>
      <c r="D3159" s="1" t="s">
        <v>38</v>
      </c>
      <c r="E3159" s="1" t="s">
        <v>19</v>
      </c>
      <c r="F3159" s="1">
        <f t="shared" si="106"/>
        <v>11800</v>
      </c>
      <c r="G3159" s="12">
        <f t="shared" si="107"/>
        <v>5.0847457627118647E-2</v>
      </c>
    </row>
    <row r="3160" spans="1:7" ht="15.75" customHeight="1">
      <c r="A3160" s="4" t="s">
        <v>122</v>
      </c>
      <c r="B3160" s="1">
        <v>8.1999999999999993</v>
      </c>
      <c r="C3160" s="1">
        <v>136</v>
      </c>
      <c r="D3160" s="1" t="s">
        <v>100</v>
      </c>
      <c r="E3160" s="1" t="s">
        <v>9</v>
      </c>
      <c r="F3160" s="1">
        <f t="shared" si="106"/>
        <v>819.99999999999989</v>
      </c>
      <c r="G3160" s="12">
        <f t="shared" si="107"/>
        <v>16.585365853658537</v>
      </c>
    </row>
    <row r="3161" spans="1:7" ht="15.75" customHeight="1">
      <c r="A3161" s="4" t="s">
        <v>122</v>
      </c>
      <c r="B3161" s="1">
        <v>3.44</v>
      </c>
      <c r="C3161" s="1">
        <v>89.8</v>
      </c>
      <c r="D3161" s="1" t="s">
        <v>39</v>
      </c>
      <c r="E3161" s="1" t="s">
        <v>15</v>
      </c>
      <c r="F3161" s="1">
        <f t="shared" si="106"/>
        <v>344</v>
      </c>
      <c r="G3161" s="12">
        <f t="shared" si="107"/>
        <v>26.104651162790699</v>
      </c>
    </row>
    <row r="3162" spans="1:7" ht="15.75" customHeight="1">
      <c r="A3162" s="4" t="s">
        <v>122</v>
      </c>
      <c r="B3162" s="1">
        <v>6.4</v>
      </c>
      <c r="C3162" s="1">
        <v>145</v>
      </c>
      <c r="D3162" s="1" t="s">
        <v>43</v>
      </c>
      <c r="E3162" s="1" t="s">
        <v>15</v>
      </c>
      <c r="F3162" s="1">
        <f t="shared" si="106"/>
        <v>640</v>
      </c>
      <c r="G3162" s="12">
        <f t="shared" si="107"/>
        <v>22.65625</v>
      </c>
    </row>
    <row r="3163" spans="1:7" ht="15.75" customHeight="1">
      <c r="A3163" s="4" t="s">
        <v>122</v>
      </c>
      <c r="B3163" s="1">
        <v>6.24</v>
      </c>
      <c r="C3163" s="1">
        <v>218</v>
      </c>
      <c r="D3163" s="1" t="s">
        <v>11</v>
      </c>
      <c r="E3163" s="1" t="s">
        <v>17</v>
      </c>
      <c r="F3163" s="1">
        <f t="shared" si="106"/>
        <v>624</v>
      </c>
      <c r="G3163" s="12">
        <f t="shared" si="107"/>
        <v>34.935897435897438</v>
      </c>
    </row>
    <row r="3164" spans="1:7" ht="15.75" customHeight="1">
      <c r="A3164" s="4" t="s">
        <v>122</v>
      </c>
      <c r="B3164" s="1">
        <v>3.85</v>
      </c>
      <c r="C3164" s="1">
        <v>113</v>
      </c>
      <c r="D3164" s="1" t="s">
        <v>55</v>
      </c>
      <c r="E3164" s="1" t="s">
        <v>15</v>
      </c>
      <c r="F3164" s="1">
        <f t="shared" si="106"/>
        <v>385</v>
      </c>
      <c r="G3164" s="12">
        <f t="shared" si="107"/>
        <v>29.350649350649348</v>
      </c>
    </row>
    <row r="3165" spans="1:7" ht="15.75" customHeight="1">
      <c r="A3165" s="4" t="s">
        <v>122</v>
      </c>
      <c r="B3165" s="1">
        <v>5.92</v>
      </c>
      <c r="C3165" s="1">
        <v>130</v>
      </c>
      <c r="D3165" s="1" t="s">
        <v>11</v>
      </c>
      <c r="E3165" s="1" t="s">
        <v>17</v>
      </c>
      <c r="F3165" s="1">
        <f t="shared" si="106"/>
        <v>592</v>
      </c>
      <c r="G3165" s="12">
        <f t="shared" si="107"/>
        <v>21.95945945945946</v>
      </c>
    </row>
    <row r="3166" spans="1:7" ht="15.75" customHeight="1">
      <c r="A3166" s="4" t="s">
        <v>122</v>
      </c>
      <c r="B3166" s="1">
        <v>4</v>
      </c>
      <c r="C3166" s="1">
        <v>73</v>
      </c>
      <c r="D3166" s="1" t="s">
        <v>37</v>
      </c>
      <c r="E3166" s="1" t="s">
        <v>8</v>
      </c>
      <c r="F3166" s="1">
        <f t="shared" si="106"/>
        <v>400</v>
      </c>
      <c r="G3166" s="12">
        <f t="shared" si="107"/>
        <v>18.25</v>
      </c>
    </row>
    <row r="3167" spans="1:7" ht="15.75" customHeight="1">
      <c r="A3167" s="4" t="s">
        <v>122</v>
      </c>
      <c r="B3167" s="1">
        <v>5.2</v>
      </c>
      <c r="C3167" s="1">
        <v>115</v>
      </c>
      <c r="D3167" s="1" t="s">
        <v>50</v>
      </c>
      <c r="E3167" s="1" t="s">
        <v>15</v>
      </c>
      <c r="F3167" s="1">
        <f t="shared" si="106"/>
        <v>520</v>
      </c>
      <c r="G3167" s="12">
        <f t="shared" si="107"/>
        <v>22.115384615384613</v>
      </c>
    </row>
    <row r="3168" spans="1:7" ht="15.75" customHeight="1">
      <c r="A3168" s="4" t="s">
        <v>122</v>
      </c>
      <c r="B3168" s="1">
        <v>5.59</v>
      </c>
      <c r="C3168" s="1">
        <v>93</v>
      </c>
      <c r="D3168" s="1" t="s">
        <v>36</v>
      </c>
      <c r="E3168" s="1" t="s">
        <v>9</v>
      </c>
      <c r="F3168" s="1">
        <f t="shared" si="106"/>
        <v>559</v>
      </c>
      <c r="G3168" s="12">
        <f t="shared" si="107"/>
        <v>16.636851520572453</v>
      </c>
    </row>
    <row r="3169" spans="1:7" ht="15.75" customHeight="1">
      <c r="A3169" s="4" t="s">
        <v>122</v>
      </c>
      <c r="B3169" s="1">
        <v>6.4</v>
      </c>
      <c r="C3169" s="1">
        <v>180</v>
      </c>
      <c r="D3169" s="1" t="s">
        <v>38</v>
      </c>
      <c r="E3169" s="1" t="s">
        <v>24</v>
      </c>
      <c r="F3169" s="1">
        <f t="shared" si="106"/>
        <v>640</v>
      </c>
      <c r="G3169" s="12">
        <f t="shared" si="107"/>
        <v>28.125</v>
      </c>
    </row>
    <row r="3170" spans="1:7" ht="15.75" customHeight="1">
      <c r="A3170" s="4" t="s">
        <v>122</v>
      </c>
      <c r="B3170" s="1">
        <v>7.2</v>
      </c>
      <c r="C3170" s="1">
        <v>229</v>
      </c>
      <c r="D3170" s="1" t="s">
        <v>11</v>
      </c>
      <c r="E3170" s="1" t="s">
        <v>7</v>
      </c>
      <c r="F3170" s="1">
        <f t="shared" si="106"/>
        <v>720</v>
      </c>
      <c r="G3170" s="12">
        <f t="shared" si="107"/>
        <v>31.805555555555554</v>
      </c>
    </row>
    <row r="3171" spans="1:7" ht="15.75" customHeight="1">
      <c r="A3171" s="4" t="s">
        <v>122</v>
      </c>
      <c r="B3171" s="1">
        <v>5.81</v>
      </c>
      <c r="C3171" s="1">
        <v>166</v>
      </c>
      <c r="D3171" s="1" t="s">
        <v>38</v>
      </c>
      <c r="E3171" s="1" t="s">
        <v>8</v>
      </c>
      <c r="F3171" s="1">
        <f t="shared" si="106"/>
        <v>581</v>
      </c>
      <c r="G3171" s="12">
        <f t="shared" si="107"/>
        <v>28.571428571428573</v>
      </c>
    </row>
    <row r="3172" spans="1:7" ht="15.75" customHeight="1">
      <c r="A3172" s="4" t="s">
        <v>122</v>
      </c>
      <c r="B3172" s="1">
        <v>8.1</v>
      </c>
      <c r="C3172" s="1">
        <v>122</v>
      </c>
      <c r="D3172" s="1" t="s">
        <v>33</v>
      </c>
      <c r="E3172" s="1" t="s">
        <v>17</v>
      </c>
      <c r="F3172" s="1">
        <f t="shared" si="106"/>
        <v>810</v>
      </c>
      <c r="G3172" s="12">
        <f t="shared" si="107"/>
        <v>15.06172839506173</v>
      </c>
    </row>
    <row r="3173" spans="1:7" ht="15.75" customHeight="1">
      <c r="A3173" s="4" t="s">
        <v>122</v>
      </c>
      <c r="B3173" s="1">
        <v>6.8</v>
      </c>
      <c r="C3173" s="1">
        <v>114.05</v>
      </c>
      <c r="D3173" s="1" t="s">
        <v>38</v>
      </c>
      <c r="E3173" s="1" t="s">
        <v>7</v>
      </c>
      <c r="F3173" s="1">
        <f t="shared" si="106"/>
        <v>680</v>
      </c>
      <c r="G3173" s="12">
        <f t="shared" si="107"/>
        <v>16.772058823529413</v>
      </c>
    </row>
    <row r="3174" spans="1:7" ht="15.75" customHeight="1">
      <c r="A3174" s="4" t="s">
        <v>122</v>
      </c>
      <c r="B3174" s="1">
        <v>6.8</v>
      </c>
      <c r="C3174" s="1">
        <v>142</v>
      </c>
      <c r="D3174" s="1" t="s">
        <v>100</v>
      </c>
      <c r="E3174" s="1" t="s">
        <v>29</v>
      </c>
      <c r="F3174" s="1">
        <f t="shared" si="106"/>
        <v>680</v>
      </c>
      <c r="G3174" s="12">
        <f t="shared" si="107"/>
        <v>20.882352941176471</v>
      </c>
    </row>
    <row r="3175" spans="1:7" ht="15.75" customHeight="1">
      <c r="A3175" s="4" t="s">
        <v>122</v>
      </c>
      <c r="B3175" s="1">
        <v>7.4</v>
      </c>
      <c r="C3175" s="1">
        <v>183</v>
      </c>
      <c r="D3175" s="1" t="s">
        <v>11</v>
      </c>
      <c r="E3175" s="1" t="s">
        <v>21</v>
      </c>
      <c r="F3175" s="1">
        <f t="shared" si="106"/>
        <v>740</v>
      </c>
      <c r="G3175" s="12">
        <f t="shared" si="107"/>
        <v>24.72972972972973</v>
      </c>
    </row>
    <row r="3176" spans="1:7" ht="15.75" customHeight="1">
      <c r="A3176" s="4" t="s">
        <v>122</v>
      </c>
      <c r="B3176" s="1">
        <v>6.5</v>
      </c>
      <c r="C3176" s="1">
        <v>178</v>
      </c>
      <c r="D3176" s="1" t="s">
        <v>11</v>
      </c>
      <c r="E3176" s="1" t="s">
        <v>8</v>
      </c>
      <c r="F3176" s="1">
        <f t="shared" si="106"/>
        <v>650</v>
      </c>
      <c r="G3176" s="12">
        <f t="shared" si="107"/>
        <v>27.384615384615383</v>
      </c>
    </row>
    <row r="3177" spans="1:7" ht="15.75" customHeight="1">
      <c r="A3177" s="4" t="s">
        <v>122</v>
      </c>
      <c r="B3177" s="1">
        <v>8.33</v>
      </c>
      <c r="C3177" s="1">
        <v>158</v>
      </c>
      <c r="D3177" s="1" t="s">
        <v>47</v>
      </c>
      <c r="E3177" s="1" t="s">
        <v>7</v>
      </c>
      <c r="F3177" s="1">
        <f t="shared" si="106"/>
        <v>833</v>
      </c>
      <c r="G3177" s="12">
        <f t="shared" si="107"/>
        <v>18.967587034813924</v>
      </c>
    </row>
    <row r="3178" spans="1:7" ht="15.75" customHeight="1">
      <c r="A3178" s="4" t="s">
        <v>122</v>
      </c>
      <c r="B3178" s="1">
        <v>6.4</v>
      </c>
      <c r="C3178" s="1">
        <v>73</v>
      </c>
      <c r="D3178" s="1" t="s">
        <v>85</v>
      </c>
      <c r="E3178" s="1" t="s">
        <v>8</v>
      </c>
      <c r="F3178" s="1">
        <f t="shared" si="106"/>
        <v>640</v>
      </c>
      <c r="G3178" s="12">
        <f t="shared" si="107"/>
        <v>11.40625</v>
      </c>
    </row>
    <row r="3179" spans="1:7" ht="15.75" customHeight="1">
      <c r="A3179" s="4" t="s">
        <v>122</v>
      </c>
      <c r="B3179" s="1">
        <v>8.6</v>
      </c>
      <c r="C3179" s="1">
        <v>249</v>
      </c>
      <c r="D3179" s="1" t="s">
        <v>42</v>
      </c>
      <c r="E3179" s="1" t="s">
        <v>8</v>
      </c>
      <c r="F3179" s="1">
        <f t="shared" si="106"/>
        <v>860</v>
      </c>
      <c r="G3179" s="12">
        <f t="shared" si="107"/>
        <v>28.953488372093023</v>
      </c>
    </row>
    <row r="3180" spans="1:7" ht="15.75" customHeight="1">
      <c r="A3180" s="4" t="s">
        <v>122</v>
      </c>
      <c r="B3180" s="1">
        <v>6.88</v>
      </c>
      <c r="C3180" s="1">
        <v>170</v>
      </c>
      <c r="D3180" s="1" t="s">
        <v>58</v>
      </c>
      <c r="E3180" s="1" t="s">
        <v>16</v>
      </c>
      <c r="F3180" s="1">
        <f t="shared" si="106"/>
        <v>688</v>
      </c>
      <c r="G3180" s="12">
        <f t="shared" si="107"/>
        <v>24.709302325581397</v>
      </c>
    </row>
    <row r="3181" spans="1:7" ht="15.75" customHeight="1">
      <c r="A3181" s="4" t="s">
        <v>122</v>
      </c>
      <c r="B3181" s="1">
        <v>3.915</v>
      </c>
      <c r="C3181" s="1">
        <v>109</v>
      </c>
      <c r="D3181" s="1" t="s">
        <v>43</v>
      </c>
      <c r="E3181" s="1" t="s">
        <v>8</v>
      </c>
      <c r="F3181" s="1">
        <f t="shared" si="106"/>
        <v>391.5</v>
      </c>
      <c r="G3181" s="12">
        <f t="shared" si="107"/>
        <v>27.84163473818646</v>
      </c>
    </row>
    <row r="3182" spans="1:7" ht="15.75" customHeight="1">
      <c r="A3182" s="4" t="s">
        <v>122</v>
      </c>
      <c r="B3182" s="1">
        <v>9.3000000000000007</v>
      </c>
      <c r="C3182" s="1">
        <v>179</v>
      </c>
      <c r="D3182" s="1" t="s">
        <v>45</v>
      </c>
      <c r="E3182" s="1" t="s">
        <v>10</v>
      </c>
      <c r="F3182" s="1">
        <f t="shared" si="106"/>
        <v>930.00000000000011</v>
      </c>
      <c r="G3182" s="12">
        <f t="shared" si="107"/>
        <v>19.247311827956988</v>
      </c>
    </row>
    <row r="3183" spans="1:7" ht="15.75" customHeight="1">
      <c r="A3183" s="4" t="s">
        <v>122</v>
      </c>
      <c r="B3183" s="1">
        <v>7</v>
      </c>
      <c r="C3183" s="1">
        <v>114</v>
      </c>
      <c r="D3183" s="1" t="s">
        <v>33</v>
      </c>
      <c r="E3183" s="1" t="s">
        <v>20</v>
      </c>
      <c r="F3183" s="1">
        <f t="shared" si="106"/>
        <v>700</v>
      </c>
      <c r="G3183" s="12">
        <f t="shared" si="107"/>
        <v>16.285714285714285</v>
      </c>
    </row>
    <row r="3184" spans="1:7" ht="15.75" customHeight="1">
      <c r="A3184" s="4" t="s">
        <v>122</v>
      </c>
      <c r="B3184" s="1">
        <v>8.5</v>
      </c>
      <c r="C3184" s="1">
        <v>246</v>
      </c>
      <c r="D3184" s="1" t="s">
        <v>11</v>
      </c>
      <c r="E3184" s="1" t="s">
        <v>68</v>
      </c>
      <c r="F3184" s="1">
        <f t="shared" si="106"/>
        <v>850</v>
      </c>
      <c r="G3184" s="12">
        <f t="shared" si="107"/>
        <v>28.941176470588236</v>
      </c>
    </row>
    <row r="3185" spans="1:7" ht="15.75" customHeight="1">
      <c r="A3185" s="4" t="s">
        <v>122</v>
      </c>
      <c r="B3185" s="1">
        <v>7.39</v>
      </c>
      <c r="C3185" s="1">
        <v>148</v>
      </c>
      <c r="D3185" s="1" t="s">
        <v>42</v>
      </c>
      <c r="E3185" s="1" t="s">
        <v>25</v>
      </c>
      <c r="F3185" s="1">
        <f t="shared" si="106"/>
        <v>739</v>
      </c>
      <c r="G3185" s="12">
        <f t="shared" si="107"/>
        <v>20.027063599458728</v>
      </c>
    </row>
    <row r="3186" spans="1:7" ht="15.75" customHeight="1">
      <c r="A3186" s="4" t="s">
        <v>122</v>
      </c>
      <c r="B3186" s="1">
        <v>9.56</v>
      </c>
      <c r="C3186" s="1">
        <v>230</v>
      </c>
      <c r="D3186" s="1" t="s">
        <v>11</v>
      </c>
      <c r="E3186" s="1" t="s">
        <v>7</v>
      </c>
      <c r="F3186" s="1">
        <f t="shared" si="106"/>
        <v>956</v>
      </c>
      <c r="G3186" s="12">
        <f t="shared" si="107"/>
        <v>24.05857740585774</v>
      </c>
    </row>
    <row r="3187" spans="1:7" ht="15.75" customHeight="1">
      <c r="A3187" s="4" t="s">
        <v>122</v>
      </c>
      <c r="B3187" s="1">
        <v>7.83</v>
      </c>
      <c r="C3187" s="1">
        <v>151</v>
      </c>
      <c r="D3187" s="1" t="s">
        <v>11</v>
      </c>
      <c r="E3187" s="1" t="s">
        <v>32</v>
      </c>
      <c r="F3187" s="1">
        <f t="shared" si="106"/>
        <v>783</v>
      </c>
      <c r="G3187" s="12">
        <f t="shared" si="107"/>
        <v>19.284802043422733</v>
      </c>
    </row>
    <row r="3188" spans="1:7" ht="15.75" customHeight="1">
      <c r="A3188" s="4" t="s">
        <v>122</v>
      </c>
      <c r="B3188" s="1">
        <v>9.1</v>
      </c>
      <c r="C3188" s="1">
        <v>176</v>
      </c>
      <c r="D3188" s="1" t="s">
        <v>35</v>
      </c>
      <c r="E3188" s="1" t="s">
        <v>10</v>
      </c>
      <c r="F3188" s="1">
        <f t="shared" si="106"/>
        <v>910</v>
      </c>
      <c r="G3188" s="12">
        <f t="shared" si="107"/>
        <v>19.340659340659343</v>
      </c>
    </row>
    <row r="3189" spans="1:7" ht="15.75" customHeight="1">
      <c r="A3189" s="4" t="s">
        <v>122</v>
      </c>
      <c r="B3189" s="1">
        <v>7.65</v>
      </c>
      <c r="C3189" s="1">
        <v>194</v>
      </c>
      <c r="D3189" s="1" t="s">
        <v>11</v>
      </c>
      <c r="E3189" s="1" t="s">
        <v>22</v>
      </c>
      <c r="F3189" s="1">
        <f t="shared" si="106"/>
        <v>765</v>
      </c>
      <c r="G3189" s="12">
        <f t="shared" si="107"/>
        <v>25.359477124183005</v>
      </c>
    </row>
    <row r="3190" spans="1:7" ht="15.75" customHeight="1">
      <c r="A3190" s="4" t="s">
        <v>122</v>
      </c>
      <c r="B3190" s="1">
        <v>7.3</v>
      </c>
      <c r="C3190" s="1">
        <v>420</v>
      </c>
      <c r="D3190" s="1" t="s">
        <v>39</v>
      </c>
      <c r="E3190" s="1" t="s">
        <v>21</v>
      </c>
      <c r="F3190" s="1">
        <f t="shared" si="106"/>
        <v>730</v>
      </c>
      <c r="G3190" s="12">
        <f t="shared" si="107"/>
        <v>57.534246575342465</v>
      </c>
    </row>
    <row r="3191" spans="1:7" ht="15.75" customHeight="1">
      <c r="A3191" s="4" t="s">
        <v>122</v>
      </c>
      <c r="B3191" s="1">
        <v>7.3</v>
      </c>
      <c r="C3191" s="1">
        <v>112</v>
      </c>
      <c r="D3191" s="1" t="s">
        <v>33</v>
      </c>
      <c r="E3191" s="1" t="s">
        <v>16</v>
      </c>
      <c r="F3191" s="1">
        <f t="shared" si="106"/>
        <v>730</v>
      </c>
      <c r="G3191" s="12">
        <f t="shared" si="107"/>
        <v>15.342465753424658</v>
      </c>
    </row>
    <row r="3192" spans="1:7" ht="15.75" customHeight="1">
      <c r="A3192" s="4" t="s">
        <v>122</v>
      </c>
      <c r="B3192" s="1">
        <v>4.5999999999999996</v>
      </c>
      <c r="C3192" s="1">
        <v>95</v>
      </c>
      <c r="D3192" s="1" t="s">
        <v>11</v>
      </c>
      <c r="E3192" s="1" t="s">
        <v>14</v>
      </c>
      <c r="F3192" s="1">
        <f t="shared" si="106"/>
        <v>459.99999999999994</v>
      </c>
      <c r="G3192" s="12">
        <f t="shared" si="107"/>
        <v>20.65217391304348</v>
      </c>
    </row>
    <row r="3193" spans="1:7" ht="15.75" customHeight="1">
      <c r="A3193" s="4" t="s">
        <v>122</v>
      </c>
      <c r="B3193" s="1">
        <v>7.3</v>
      </c>
      <c r="C3193" s="1">
        <v>116</v>
      </c>
      <c r="D3193" s="1" t="s">
        <v>11</v>
      </c>
      <c r="E3193" s="1" t="s">
        <v>12</v>
      </c>
      <c r="F3193" s="1">
        <f t="shared" si="106"/>
        <v>730</v>
      </c>
      <c r="G3193" s="12">
        <f t="shared" si="107"/>
        <v>15.890410958904109</v>
      </c>
    </row>
    <row r="3194" spans="1:7" ht="15.75" customHeight="1">
      <c r="A3194" s="4" t="s">
        <v>122</v>
      </c>
      <c r="B3194" s="1">
        <v>5.46</v>
      </c>
      <c r="C3194" s="1">
        <v>151</v>
      </c>
      <c r="D3194" s="1" t="s">
        <v>43</v>
      </c>
      <c r="E3194" s="1" t="s">
        <v>15</v>
      </c>
      <c r="F3194" s="1">
        <f t="shared" si="106"/>
        <v>546</v>
      </c>
      <c r="G3194" s="12">
        <f t="shared" si="107"/>
        <v>27.655677655677657</v>
      </c>
    </row>
    <row r="3195" spans="1:7" ht="15.75" customHeight="1">
      <c r="A3195" s="4" t="s">
        <v>122</v>
      </c>
      <c r="B3195" s="1">
        <v>7.56</v>
      </c>
      <c r="C3195" s="1">
        <v>220</v>
      </c>
      <c r="D3195" s="1" t="s">
        <v>11</v>
      </c>
      <c r="E3195" s="1" t="s">
        <v>27</v>
      </c>
      <c r="F3195" s="1">
        <f t="shared" si="106"/>
        <v>756</v>
      </c>
      <c r="G3195" s="12">
        <f t="shared" si="107"/>
        <v>29.100529100529101</v>
      </c>
    </row>
    <row r="3196" spans="1:7" ht="15.75" customHeight="1">
      <c r="A3196" s="4" t="s">
        <v>122</v>
      </c>
      <c r="B3196" s="1">
        <v>12.04</v>
      </c>
      <c r="C3196" s="1">
        <v>160</v>
      </c>
      <c r="D3196" s="1" t="s">
        <v>11</v>
      </c>
      <c r="E3196" s="1" t="s">
        <v>8</v>
      </c>
      <c r="F3196" s="1">
        <f t="shared" si="106"/>
        <v>1204</v>
      </c>
      <c r="G3196" s="12">
        <f t="shared" si="107"/>
        <v>13.2890365448505</v>
      </c>
    </row>
    <row r="3197" spans="1:7" ht="15.75" customHeight="1">
      <c r="A3197" s="4" t="s">
        <v>122</v>
      </c>
      <c r="B3197" s="1">
        <v>6.5</v>
      </c>
      <c r="C3197" s="1">
        <v>142</v>
      </c>
      <c r="D3197" s="1" t="s">
        <v>38</v>
      </c>
      <c r="E3197" s="1" t="s">
        <v>14</v>
      </c>
      <c r="F3197" s="1">
        <f t="shared" si="106"/>
        <v>650</v>
      </c>
      <c r="G3197" s="12">
        <f t="shared" si="107"/>
        <v>21.846153846153847</v>
      </c>
    </row>
    <row r="3198" spans="1:7" ht="15.75" customHeight="1">
      <c r="A3198" s="4" t="s">
        <v>122</v>
      </c>
      <c r="B3198" s="1">
        <v>3.5</v>
      </c>
      <c r="C3198" s="1">
        <v>55</v>
      </c>
      <c r="D3198" s="1" t="s">
        <v>42</v>
      </c>
      <c r="E3198" s="1" t="s">
        <v>10</v>
      </c>
      <c r="F3198" s="1">
        <f t="shared" si="106"/>
        <v>350</v>
      </c>
      <c r="G3198" s="12">
        <f t="shared" si="107"/>
        <v>15.714285714285714</v>
      </c>
    </row>
    <row r="3199" spans="1:7" ht="15.75" customHeight="1">
      <c r="A3199" s="4" t="s">
        <v>122</v>
      </c>
      <c r="B3199" s="1">
        <v>8</v>
      </c>
      <c r="C3199" s="1">
        <v>184</v>
      </c>
      <c r="D3199" s="1" t="s">
        <v>11</v>
      </c>
      <c r="E3199" s="1" t="s">
        <v>31</v>
      </c>
      <c r="F3199" s="1">
        <f t="shared" si="106"/>
        <v>800</v>
      </c>
      <c r="G3199" s="12">
        <f t="shared" si="107"/>
        <v>23</v>
      </c>
    </row>
    <row r="3200" spans="1:7" ht="15.75" customHeight="1">
      <c r="A3200" s="4" t="s">
        <v>122</v>
      </c>
      <c r="B3200" s="1">
        <v>7.92</v>
      </c>
      <c r="C3200" s="1">
        <v>117</v>
      </c>
      <c r="D3200" s="1" t="s">
        <v>64</v>
      </c>
      <c r="E3200" s="1" t="s">
        <v>16</v>
      </c>
      <c r="F3200" s="1">
        <f t="shared" si="106"/>
        <v>792</v>
      </c>
      <c r="G3200" s="12">
        <f t="shared" si="107"/>
        <v>14.772727272727273</v>
      </c>
    </row>
    <row r="3201" spans="1:7" ht="15.75" customHeight="1">
      <c r="A3201" s="4" t="s">
        <v>122</v>
      </c>
      <c r="B3201" s="1">
        <v>9.1999999999999993</v>
      </c>
      <c r="C3201" s="1">
        <v>341</v>
      </c>
      <c r="D3201" s="1" t="s">
        <v>11</v>
      </c>
      <c r="E3201" s="1" t="s">
        <v>7</v>
      </c>
      <c r="F3201" s="1">
        <f t="shared" si="106"/>
        <v>919.99999999999989</v>
      </c>
      <c r="G3201" s="12">
        <f t="shared" si="107"/>
        <v>37.065217391304351</v>
      </c>
    </row>
    <row r="3202" spans="1:7" ht="15.75" customHeight="1">
      <c r="A3202" s="4" t="s">
        <v>122</v>
      </c>
      <c r="B3202" s="1">
        <v>5.16</v>
      </c>
      <c r="C3202" s="1">
        <v>115</v>
      </c>
      <c r="D3202" s="1" t="s">
        <v>44</v>
      </c>
      <c r="E3202" s="1" t="s">
        <v>10</v>
      </c>
      <c r="F3202" s="1">
        <f t="shared" si="106"/>
        <v>516</v>
      </c>
      <c r="G3202" s="12">
        <f t="shared" si="107"/>
        <v>22.286821705426355</v>
      </c>
    </row>
    <row r="3203" spans="1:7" ht="15.75" customHeight="1">
      <c r="A3203" s="4" t="s">
        <v>122</v>
      </c>
      <c r="B3203" s="1">
        <v>5</v>
      </c>
      <c r="C3203" s="1">
        <v>180.9</v>
      </c>
      <c r="D3203" s="1" t="s">
        <v>11</v>
      </c>
      <c r="E3203" s="1" t="s">
        <v>22</v>
      </c>
      <c r="F3203" s="1">
        <f t="shared" ref="F3203:F3266" si="108">B3203*100</f>
        <v>500</v>
      </c>
      <c r="G3203" s="12">
        <f t="shared" ref="G3203:G3266" si="109">C3203/B3203</f>
        <v>36.18</v>
      </c>
    </row>
    <row r="3204" spans="1:7" ht="15.75" customHeight="1">
      <c r="A3204" s="4" t="s">
        <v>122</v>
      </c>
      <c r="B3204" s="1">
        <v>5.6</v>
      </c>
      <c r="C3204" s="1">
        <v>199</v>
      </c>
      <c r="D3204" s="1" t="s">
        <v>33</v>
      </c>
      <c r="E3204" s="1" t="s">
        <v>12</v>
      </c>
      <c r="F3204" s="1">
        <f t="shared" si="108"/>
        <v>560</v>
      </c>
      <c r="G3204" s="12">
        <f t="shared" si="109"/>
        <v>35.535714285714285</v>
      </c>
    </row>
    <row r="3205" spans="1:7" ht="15.75" customHeight="1">
      <c r="A3205" s="4" t="s">
        <v>122</v>
      </c>
      <c r="B3205" s="1">
        <v>7.76</v>
      </c>
      <c r="C3205" s="1">
        <v>209</v>
      </c>
      <c r="D3205" s="1" t="s">
        <v>11</v>
      </c>
      <c r="E3205" s="1" t="s">
        <v>16</v>
      </c>
      <c r="F3205" s="1">
        <f t="shared" si="108"/>
        <v>776</v>
      </c>
      <c r="G3205" s="12">
        <f t="shared" si="109"/>
        <v>26.932989690721651</v>
      </c>
    </row>
    <row r="3206" spans="1:7" ht="15.75" customHeight="1">
      <c r="A3206" s="4" t="s">
        <v>122</v>
      </c>
      <c r="B3206" s="1">
        <v>5</v>
      </c>
      <c r="C3206" s="1">
        <v>104</v>
      </c>
      <c r="D3206" s="1" t="s">
        <v>11</v>
      </c>
      <c r="E3206" s="1" t="s">
        <v>14</v>
      </c>
      <c r="F3206" s="1">
        <f t="shared" si="108"/>
        <v>500</v>
      </c>
      <c r="G3206" s="12">
        <f t="shared" si="109"/>
        <v>20.8</v>
      </c>
    </row>
    <row r="3207" spans="1:7" ht="15.75" customHeight="1">
      <c r="A3207" s="4" t="s">
        <v>122</v>
      </c>
      <c r="B3207" s="1">
        <v>7.4</v>
      </c>
      <c r="C3207" s="1">
        <v>242</v>
      </c>
      <c r="D3207" s="1" t="s">
        <v>11</v>
      </c>
      <c r="E3207" s="1" t="s">
        <v>10</v>
      </c>
      <c r="F3207" s="1">
        <f t="shared" si="108"/>
        <v>740</v>
      </c>
      <c r="G3207" s="12">
        <f t="shared" si="109"/>
        <v>32.702702702702702</v>
      </c>
    </row>
    <row r="3208" spans="1:7" ht="15.75" customHeight="1">
      <c r="A3208" s="4" t="s">
        <v>122</v>
      </c>
      <c r="B3208" s="1">
        <v>7.92</v>
      </c>
      <c r="C3208" s="1">
        <v>254</v>
      </c>
      <c r="D3208" s="1" t="s">
        <v>11</v>
      </c>
      <c r="E3208" s="1" t="s">
        <v>9</v>
      </c>
      <c r="F3208" s="1">
        <f t="shared" si="108"/>
        <v>792</v>
      </c>
      <c r="G3208" s="12">
        <f t="shared" si="109"/>
        <v>32.070707070707073</v>
      </c>
    </row>
    <row r="3209" spans="1:7" ht="15.75" customHeight="1">
      <c r="A3209" s="4" t="s">
        <v>122</v>
      </c>
      <c r="B3209" s="1">
        <v>5.5</v>
      </c>
      <c r="C3209" s="1">
        <v>357</v>
      </c>
      <c r="D3209" s="1" t="s">
        <v>11</v>
      </c>
      <c r="E3209" s="1" t="s">
        <v>8</v>
      </c>
      <c r="F3209" s="1">
        <f t="shared" si="108"/>
        <v>550</v>
      </c>
      <c r="G3209" s="12">
        <f t="shared" si="109"/>
        <v>64.909090909090907</v>
      </c>
    </row>
    <row r="3210" spans="1:7" ht="15.75" customHeight="1">
      <c r="A3210" s="4" t="s">
        <v>122</v>
      </c>
      <c r="B3210" s="1">
        <v>5.0999999999999996</v>
      </c>
      <c r="C3210" s="1">
        <v>77</v>
      </c>
      <c r="D3210" s="1" t="s">
        <v>40</v>
      </c>
      <c r="E3210" s="1" t="s">
        <v>15</v>
      </c>
      <c r="F3210" s="1">
        <f t="shared" si="108"/>
        <v>509.99999999999994</v>
      </c>
      <c r="G3210" s="12">
        <f t="shared" si="109"/>
        <v>15.098039215686276</v>
      </c>
    </row>
    <row r="3211" spans="1:7" ht="15.75" customHeight="1">
      <c r="A3211" s="4" t="s">
        <v>122</v>
      </c>
      <c r="B3211" s="1">
        <v>6.09</v>
      </c>
      <c r="C3211" s="1">
        <v>115</v>
      </c>
      <c r="D3211" s="1" t="s">
        <v>36</v>
      </c>
      <c r="E3211" s="1" t="s">
        <v>15</v>
      </c>
      <c r="F3211" s="1">
        <f t="shared" si="108"/>
        <v>609</v>
      </c>
      <c r="G3211" s="12">
        <f t="shared" si="109"/>
        <v>18.883415435139572</v>
      </c>
    </row>
    <row r="3212" spans="1:7" ht="15.75" customHeight="1">
      <c r="A3212" s="4" t="s">
        <v>122</v>
      </c>
      <c r="B3212" s="1">
        <v>6</v>
      </c>
      <c r="C3212" s="1">
        <v>119</v>
      </c>
      <c r="D3212" s="1" t="s">
        <v>38</v>
      </c>
      <c r="E3212" s="1" t="s">
        <v>16</v>
      </c>
      <c r="F3212" s="1">
        <f t="shared" si="108"/>
        <v>600</v>
      </c>
      <c r="G3212" s="12">
        <f t="shared" si="109"/>
        <v>19.833333333333332</v>
      </c>
    </row>
    <row r="3213" spans="1:7" ht="15.75" customHeight="1">
      <c r="A3213" s="4" t="s">
        <v>122</v>
      </c>
      <c r="B3213" s="1">
        <v>5.2</v>
      </c>
      <c r="C3213" s="1">
        <v>169</v>
      </c>
      <c r="D3213" s="1" t="s">
        <v>11</v>
      </c>
      <c r="E3213" s="1" t="s">
        <v>16</v>
      </c>
      <c r="F3213" s="1">
        <f t="shared" si="108"/>
        <v>520</v>
      </c>
      <c r="G3213" s="12">
        <f t="shared" si="109"/>
        <v>32.5</v>
      </c>
    </row>
    <row r="3214" spans="1:7" ht="15.75" customHeight="1">
      <c r="A3214" s="4" t="s">
        <v>122</v>
      </c>
      <c r="B3214" s="1">
        <v>4.5</v>
      </c>
      <c r="C3214" s="1">
        <v>75</v>
      </c>
      <c r="D3214" s="1" t="s">
        <v>11</v>
      </c>
      <c r="E3214" s="1" t="s">
        <v>16</v>
      </c>
      <c r="F3214" s="1">
        <f t="shared" si="108"/>
        <v>450</v>
      </c>
      <c r="G3214" s="12">
        <f t="shared" si="109"/>
        <v>16.666666666666668</v>
      </c>
    </row>
    <row r="3215" spans="1:7" ht="15.75" customHeight="1">
      <c r="A3215" s="4" t="s">
        <v>122</v>
      </c>
      <c r="B3215" s="1">
        <v>7.3949999999999996</v>
      </c>
      <c r="C3215" s="1">
        <v>157</v>
      </c>
      <c r="D3215" s="1" t="s">
        <v>42</v>
      </c>
      <c r="E3215" s="1" t="s">
        <v>25</v>
      </c>
      <c r="F3215" s="1">
        <f t="shared" si="108"/>
        <v>739.5</v>
      </c>
      <c r="G3215" s="12">
        <f t="shared" si="109"/>
        <v>21.230561189993239</v>
      </c>
    </row>
    <row r="3216" spans="1:7" ht="15.75" customHeight="1">
      <c r="A3216" s="4" t="s">
        <v>122</v>
      </c>
      <c r="B3216" s="1">
        <v>6.2</v>
      </c>
      <c r="C3216" s="1">
        <v>88</v>
      </c>
      <c r="D3216" s="1" t="s">
        <v>33</v>
      </c>
      <c r="E3216" s="1" t="s">
        <v>14</v>
      </c>
      <c r="F3216" s="1">
        <f t="shared" si="108"/>
        <v>620</v>
      </c>
      <c r="G3216" s="12">
        <f t="shared" si="109"/>
        <v>14.193548387096774</v>
      </c>
    </row>
    <row r="3217" spans="1:7" ht="15.75" customHeight="1">
      <c r="A3217" s="4" t="s">
        <v>122</v>
      </c>
      <c r="B3217" s="1">
        <v>6.56</v>
      </c>
      <c r="C3217" s="1">
        <v>94</v>
      </c>
      <c r="D3217" s="1" t="s">
        <v>11</v>
      </c>
      <c r="E3217" s="1" t="s">
        <v>18</v>
      </c>
      <c r="F3217" s="1">
        <f t="shared" si="108"/>
        <v>656</v>
      </c>
      <c r="G3217" s="12">
        <f t="shared" si="109"/>
        <v>14.329268292682928</v>
      </c>
    </row>
    <row r="3218" spans="1:7" ht="15.75" customHeight="1">
      <c r="A3218" s="4" t="s">
        <v>122</v>
      </c>
      <c r="B3218" s="1">
        <v>8.375</v>
      </c>
      <c r="C3218" s="1">
        <v>172</v>
      </c>
      <c r="D3218" s="1" t="s">
        <v>11</v>
      </c>
      <c r="E3218" s="1" t="s">
        <v>15</v>
      </c>
      <c r="F3218" s="1">
        <f t="shared" si="108"/>
        <v>837.5</v>
      </c>
      <c r="G3218" s="12">
        <f t="shared" si="109"/>
        <v>20.53731343283582</v>
      </c>
    </row>
    <row r="3219" spans="1:7" ht="15.75" customHeight="1">
      <c r="A3219" s="4" t="s">
        <v>122</v>
      </c>
      <c r="B3219" s="1">
        <v>5.2</v>
      </c>
      <c r="C3219" s="1">
        <v>93</v>
      </c>
      <c r="D3219" s="1" t="s">
        <v>11</v>
      </c>
      <c r="E3219" s="1" t="s">
        <v>15</v>
      </c>
      <c r="F3219" s="1">
        <f t="shared" si="108"/>
        <v>520</v>
      </c>
      <c r="G3219" s="12">
        <f t="shared" si="109"/>
        <v>17.884615384615383</v>
      </c>
    </row>
    <row r="3220" spans="1:7" ht="15.75" customHeight="1">
      <c r="A3220" s="4" t="s">
        <v>122</v>
      </c>
      <c r="B3220" s="1">
        <v>4.38</v>
      </c>
      <c r="C3220" s="1">
        <v>102</v>
      </c>
      <c r="D3220" s="1" t="s">
        <v>43</v>
      </c>
      <c r="E3220" s="1" t="s">
        <v>24</v>
      </c>
      <c r="F3220" s="1">
        <f t="shared" si="108"/>
        <v>438</v>
      </c>
      <c r="G3220" s="12">
        <f t="shared" si="109"/>
        <v>23.287671232876711</v>
      </c>
    </row>
    <row r="3221" spans="1:7" ht="15.75" customHeight="1">
      <c r="A3221" s="4" t="s">
        <v>122</v>
      </c>
      <c r="B3221" s="1">
        <v>6.8</v>
      </c>
      <c r="C3221" s="1">
        <v>170</v>
      </c>
      <c r="D3221" s="1" t="s">
        <v>11</v>
      </c>
      <c r="E3221" s="1" t="s">
        <v>26</v>
      </c>
      <c r="F3221" s="1">
        <f t="shared" si="108"/>
        <v>680</v>
      </c>
      <c r="G3221" s="12">
        <f t="shared" si="109"/>
        <v>25</v>
      </c>
    </row>
    <row r="3222" spans="1:7" ht="15.75" customHeight="1">
      <c r="A3222" s="4" t="s">
        <v>122</v>
      </c>
      <c r="B3222" s="1">
        <v>6.96</v>
      </c>
      <c r="C3222" s="1">
        <v>187</v>
      </c>
      <c r="D3222" s="1" t="s">
        <v>11</v>
      </c>
      <c r="E3222" s="1" t="s">
        <v>8</v>
      </c>
      <c r="F3222" s="1">
        <f t="shared" si="108"/>
        <v>696</v>
      </c>
      <c r="G3222" s="12">
        <f t="shared" si="109"/>
        <v>26.867816091954023</v>
      </c>
    </row>
    <row r="3223" spans="1:7" ht="15.75" customHeight="1">
      <c r="A3223" s="4" t="s">
        <v>122</v>
      </c>
      <c r="B3223" s="1">
        <v>7.9</v>
      </c>
      <c r="C3223" s="1">
        <v>103</v>
      </c>
      <c r="D3223" s="1" t="s">
        <v>53</v>
      </c>
      <c r="E3223" s="1" t="s">
        <v>9</v>
      </c>
      <c r="F3223" s="1">
        <f t="shared" si="108"/>
        <v>790</v>
      </c>
      <c r="G3223" s="12">
        <f t="shared" si="109"/>
        <v>13.037974683544304</v>
      </c>
    </row>
    <row r="3224" spans="1:7" ht="15.75" customHeight="1">
      <c r="A3224" s="4" t="s">
        <v>122</v>
      </c>
      <c r="B3224" s="1">
        <v>5.22</v>
      </c>
      <c r="C3224" s="1">
        <v>123</v>
      </c>
      <c r="D3224" s="1" t="s">
        <v>11</v>
      </c>
      <c r="E3224" s="1" t="s">
        <v>12</v>
      </c>
      <c r="F3224" s="1">
        <f t="shared" si="108"/>
        <v>522</v>
      </c>
      <c r="G3224" s="12">
        <f t="shared" si="109"/>
        <v>23.5632183908046</v>
      </c>
    </row>
    <row r="3225" spans="1:7" ht="15.75" customHeight="1">
      <c r="A3225" s="4" t="s">
        <v>122</v>
      </c>
      <c r="B3225" s="1">
        <v>5.6</v>
      </c>
      <c r="C3225" s="1">
        <v>88</v>
      </c>
      <c r="D3225" s="1" t="s">
        <v>106</v>
      </c>
      <c r="E3225" s="1" t="s">
        <v>8</v>
      </c>
      <c r="F3225" s="1">
        <f t="shared" si="108"/>
        <v>560</v>
      </c>
      <c r="G3225" s="12">
        <f t="shared" si="109"/>
        <v>15.714285714285715</v>
      </c>
    </row>
    <row r="3226" spans="1:7" ht="15.75" customHeight="1">
      <c r="A3226" s="4" t="s">
        <v>122</v>
      </c>
      <c r="B3226" s="1">
        <v>8.3000000000000007</v>
      </c>
      <c r="C3226" s="1">
        <v>98</v>
      </c>
      <c r="D3226" s="1" t="s">
        <v>33</v>
      </c>
      <c r="E3226" s="1" t="s">
        <v>7</v>
      </c>
      <c r="F3226" s="1">
        <f t="shared" si="108"/>
        <v>830.00000000000011</v>
      </c>
      <c r="G3226" s="12">
        <f t="shared" si="109"/>
        <v>11.80722891566265</v>
      </c>
    </row>
    <row r="3227" spans="1:7" ht="15.75" customHeight="1">
      <c r="A3227" s="4" t="s">
        <v>122</v>
      </c>
      <c r="B3227" s="1">
        <v>8.64</v>
      </c>
      <c r="C3227" s="1">
        <v>208</v>
      </c>
      <c r="D3227" s="1" t="s">
        <v>11</v>
      </c>
      <c r="E3227" s="1" t="s">
        <v>9</v>
      </c>
      <c r="F3227" s="1">
        <f t="shared" si="108"/>
        <v>864</v>
      </c>
      <c r="G3227" s="12">
        <f t="shared" si="109"/>
        <v>24.074074074074073</v>
      </c>
    </row>
    <row r="3228" spans="1:7" ht="15.75" customHeight="1">
      <c r="A3228" s="4" t="s">
        <v>122</v>
      </c>
      <c r="B3228" s="1">
        <v>5.16</v>
      </c>
      <c r="C3228" s="1">
        <v>64</v>
      </c>
      <c r="D3228" s="1" t="s">
        <v>42</v>
      </c>
      <c r="E3228" s="1" t="s">
        <v>22</v>
      </c>
      <c r="F3228" s="1">
        <f t="shared" si="108"/>
        <v>516</v>
      </c>
      <c r="G3228" s="12">
        <f t="shared" si="109"/>
        <v>12.403100775193797</v>
      </c>
    </row>
    <row r="3229" spans="1:7" ht="15.75" customHeight="1">
      <c r="A3229" s="4" t="s">
        <v>122</v>
      </c>
      <c r="B3229" s="1">
        <v>7.7</v>
      </c>
      <c r="C3229" s="1">
        <v>58</v>
      </c>
      <c r="D3229" s="1" t="s">
        <v>33</v>
      </c>
      <c r="E3229" s="1" t="s">
        <v>16</v>
      </c>
      <c r="F3229" s="1">
        <f t="shared" si="108"/>
        <v>770</v>
      </c>
      <c r="G3229" s="12">
        <f t="shared" si="109"/>
        <v>7.5324675324675319</v>
      </c>
    </row>
    <row r="3230" spans="1:7" ht="15.75" customHeight="1">
      <c r="A3230" s="4" t="s">
        <v>122</v>
      </c>
      <c r="B3230" s="1">
        <v>7.6</v>
      </c>
      <c r="C3230" s="1">
        <v>126</v>
      </c>
      <c r="D3230" s="1" t="s">
        <v>59</v>
      </c>
      <c r="E3230" s="1" t="s">
        <v>49</v>
      </c>
      <c r="F3230" s="1">
        <f t="shared" si="108"/>
        <v>760</v>
      </c>
      <c r="G3230" s="12">
        <f t="shared" si="109"/>
        <v>16.578947368421055</v>
      </c>
    </row>
    <row r="3231" spans="1:7" ht="15.75" customHeight="1">
      <c r="A3231" s="4" t="s">
        <v>122</v>
      </c>
      <c r="B3231" s="1">
        <v>11.25</v>
      </c>
      <c r="C3231" s="1">
        <v>218</v>
      </c>
      <c r="D3231" s="1" t="s">
        <v>45</v>
      </c>
      <c r="E3231" s="1" t="s">
        <v>8</v>
      </c>
      <c r="F3231" s="1">
        <f t="shared" si="108"/>
        <v>1125</v>
      </c>
      <c r="G3231" s="12">
        <f t="shared" si="109"/>
        <v>19.377777777777776</v>
      </c>
    </row>
    <row r="3232" spans="1:7" ht="15.75" customHeight="1">
      <c r="A3232" s="4" t="s">
        <v>122</v>
      </c>
      <c r="B3232" s="1">
        <v>7.2</v>
      </c>
      <c r="C3232" s="1">
        <v>151</v>
      </c>
      <c r="D3232" s="1" t="s">
        <v>47</v>
      </c>
      <c r="E3232" s="1" t="s">
        <v>17</v>
      </c>
      <c r="F3232" s="1">
        <f t="shared" si="108"/>
        <v>720</v>
      </c>
      <c r="G3232" s="12">
        <f t="shared" si="109"/>
        <v>20.972222222222221</v>
      </c>
    </row>
    <row r="3233" spans="1:7" ht="15.75" customHeight="1">
      <c r="A3233" s="4" t="s">
        <v>122</v>
      </c>
      <c r="B3233" s="1">
        <v>10</v>
      </c>
      <c r="C3233" s="1">
        <v>221</v>
      </c>
      <c r="D3233" s="1" t="s">
        <v>44</v>
      </c>
      <c r="E3233" s="1" t="s">
        <v>12</v>
      </c>
      <c r="F3233" s="1">
        <f t="shared" si="108"/>
        <v>1000</v>
      </c>
      <c r="G3233" s="12">
        <f t="shared" si="109"/>
        <v>22.1</v>
      </c>
    </row>
    <row r="3234" spans="1:7" ht="15.75" customHeight="1">
      <c r="A3234" s="4" t="s">
        <v>122</v>
      </c>
      <c r="B3234" s="1">
        <v>7.74</v>
      </c>
      <c r="C3234" s="1">
        <v>134</v>
      </c>
      <c r="D3234" s="1" t="s">
        <v>38</v>
      </c>
      <c r="E3234" s="1" t="s">
        <v>14</v>
      </c>
      <c r="F3234" s="1">
        <f t="shared" si="108"/>
        <v>774</v>
      </c>
      <c r="G3234" s="12">
        <f t="shared" si="109"/>
        <v>17.31266149870801</v>
      </c>
    </row>
    <row r="3235" spans="1:7" ht="15.75" customHeight="1">
      <c r="A3235" s="4" t="s">
        <v>122</v>
      </c>
      <c r="B3235" s="1">
        <v>5.88</v>
      </c>
      <c r="C3235" s="1">
        <v>72</v>
      </c>
      <c r="D3235" s="1" t="s">
        <v>38</v>
      </c>
      <c r="E3235" s="1" t="s">
        <v>22</v>
      </c>
      <c r="F3235" s="1">
        <f t="shared" si="108"/>
        <v>588</v>
      </c>
      <c r="G3235" s="12">
        <f t="shared" si="109"/>
        <v>12.244897959183673</v>
      </c>
    </row>
    <row r="3236" spans="1:7" ht="15.75" customHeight="1">
      <c r="A3236" s="4" t="s">
        <v>122</v>
      </c>
      <c r="B3236" s="1">
        <v>6.4</v>
      </c>
      <c r="C3236" s="1">
        <v>100.8</v>
      </c>
      <c r="D3236" s="1" t="s">
        <v>33</v>
      </c>
      <c r="E3236" s="1" t="s">
        <v>15</v>
      </c>
      <c r="F3236" s="1">
        <f t="shared" si="108"/>
        <v>640</v>
      </c>
      <c r="G3236" s="12">
        <f t="shared" si="109"/>
        <v>15.749999999999998</v>
      </c>
    </row>
    <row r="3237" spans="1:7" ht="15.75" customHeight="1">
      <c r="A3237" s="4" t="s">
        <v>122</v>
      </c>
      <c r="B3237" s="1">
        <v>7.8</v>
      </c>
      <c r="C3237" s="1">
        <v>164</v>
      </c>
      <c r="D3237" s="1" t="s">
        <v>43</v>
      </c>
      <c r="E3237" s="1" t="s">
        <v>9</v>
      </c>
      <c r="F3237" s="1">
        <f t="shared" si="108"/>
        <v>780</v>
      </c>
      <c r="G3237" s="12">
        <f t="shared" si="109"/>
        <v>21.025641025641026</v>
      </c>
    </row>
    <row r="3238" spans="1:7" ht="15.75" customHeight="1">
      <c r="A3238" s="4" t="s">
        <v>122</v>
      </c>
      <c r="B3238" s="1">
        <v>7.29</v>
      </c>
      <c r="C3238" s="1">
        <v>170</v>
      </c>
      <c r="D3238" s="1" t="s">
        <v>11</v>
      </c>
      <c r="E3238" s="1" t="s">
        <v>27</v>
      </c>
      <c r="F3238" s="1">
        <f t="shared" si="108"/>
        <v>729</v>
      </c>
      <c r="G3238" s="12">
        <f t="shared" si="109"/>
        <v>23.319615912208505</v>
      </c>
    </row>
    <row r="3239" spans="1:7" ht="15.75" customHeight="1">
      <c r="A3239" s="4" t="s">
        <v>122</v>
      </c>
      <c r="B3239" s="1">
        <v>7.74</v>
      </c>
      <c r="C3239" s="1">
        <v>126</v>
      </c>
      <c r="D3239" s="1" t="s">
        <v>33</v>
      </c>
      <c r="E3239" s="1" t="s">
        <v>16</v>
      </c>
      <c r="F3239" s="1">
        <f t="shared" si="108"/>
        <v>774</v>
      </c>
      <c r="G3239" s="12">
        <f t="shared" si="109"/>
        <v>16.279069767441861</v>
      </c>
    </row>
    <row r="3240" spans="1:7" ht="15.75" customHeight="1">
      <c r="A3240" s="4" t="s">
        <v>122</v>
      </c>
      <c r="B3240" s="1">
        <v>9.68</v>
      </c>
      <c r="C3240" s="1">
        <v>124</v>
      </c>
      <c r="D3240" s="1" t="s">
        <v>36</v>
      </c>
      <c r="E3240" s="1" t="s">
        <v>7</v>
      </c>
      <c r="F3240" s="1">
        <f t="shared" si="108"/>
        <v>968</v>
      </c>
      <c r="G3240" s="12">
        <f t="shared" si="109"/>
        <v>12.809917355371901</v>
      </c>
    </row>
    <row r="3241" spans="1:7" ht="15.75" customHeight="1">
      <c r="A3241" s="4" t="s">
        <v>122</v>
      </c>
      <c r="B3241" s="1">
        <v>3.68</v>
      </c>
      <c r="C3241" s="1">
        <v>113</v>
      </c>
      <c r="D3241" s="1" t="s">
        <v>43</v>
      </c>
      <c r="E3241" s="1" t="s">
        <v>18</v>
      </c>
      <c r="F3241" s="1">
        <f t="shared" si="108"/>
        <v>368</v>
      </c>
      <c r="G3241" s="12">
        <f t="shared" si="109"/>
        <v>30.706521739130434</v>
      </c>
    </row>
    <row r="3242" spans="1:7" ht="15.75" customHeight="1">
      <c r="A3242" s="4" t="s">
        <v>122</v>
      </c>
      <c r="B3242" s="1">
        <v>7.29</v>
      </c>
      <c r="C3242" s="1">
        <v>178</v>
      </c>
      <c r="D3242" s="1" t="s">
        <v>11</v>
      </c>
      <c r="E3242" s="1" t="s">
        <v>7</v>
      </c>
      <c r="F3242" s="1">
        <f t="shared" si="108"/>
        <v>729</v>
      </c>
      <c r="G3242" s="12">
        <f t="shared" si="109"/>
        <v>24.417009602194788</v>
      </c>
    </row>
    <row r="3243" spans="1:7" ht="15.75" customHeight="1">
      <c r="A3243" s="4" t="s">
        <v>122</v>
      </c>
      <c r="B3243" s="1">
        <v>6.72</v>
      </c>
      <c r="C3243" s="1">
        <v>61</v>
      </c>
      <c r="D3243" s="1" t="s">
        <v>39</v>
      </c>
      <c r="E3243" s="1" t="s">
        <v>25</v>
      </c>
      <c r="F3243" s="1">
        <f t="shared" si="108"/>
        <v>672</v>
      </c>
      <c r="G3243" s="12">
        <f t="shared" si="109"/>
        <v>9.0773809523809526</v>
      </c>
    </row>
    <row r="3244" spans="1:7" ht="15.75" customHeight="1">
      <c r="A3244" s="4" t="s">
        <v>122</v>
      </c>
      <c r="B3244" s="1">
        <v>6.96</v>
      </c>
      <c r="C3244" s="1">
        <v>102</v>
      </c>
      <c r="D3244" s="1" t="s">
        <v>33</v>
      </c>
      <c r="E3244" s="1" t="s">
        <v>12</v>
      </c>
      <c r="F3244" s="1">
        <f t="shared" si="108"/>
        <v>696</v>
      </c>
      <c r="G3244" s="12">
        <f t="shared" si="109"/>
        <v>14.655172413793103</v>
      </c>
    </row>
    <row r="3245" spans="1:7" ht="15.75" customHeight="1">
      <c r="A3245" s="4" t="s">
        <v>122</v>
      </c>
      <c r="B3245" s="1">
        <v>4.3499999999999996</v>
      </c>
      <c r="C3245" s="1">
        <v>77</v>
      </c>
      <c r="D3245" s="1" t="s">
        <v>11</v>
      </c>
      <c r="E3245" s="1" t="s">
        <v>15</v>
      </c>
      <c r="F3245" s="1">
        <f t="shared" si="108"/>
        <v>434.99999999999994</v>
      </c>
      <c r="G3245" s="12">
        <f t="shared" si="109"/>
        <v>17.701149425287358</v>
      </c>
    </row>
    <row r="3246" spans="1:7" ht="15.75" customHeight="1">
      <c r="A3246" s="4" t="s">
        <v>122</v>
      </c>
      <c r="B3246" s="1">
        <v>6.8</v>
      </c>
      <c r="C3246" s="1">
        <v>50</v>
      </c>
      <c r="D3246" s="1" t="s">
        <v>37</v>
      </c>
      <c r="E3246" s="1" t="s">
        <v>14</v>
      </c>
      <c r="F3246" s="1">
        <f t="shared" si="108"/>
        <v>680</v>
      </c>
      <c r="G3246" s="12">
        <f t="shared" si="109"/>
        <v>7.3529411764705888</v>
      </c>
    </row>
    <row r="3247" spans="1:7" ht="15.75" customHeight="1">
      <c r="A3247" s="4" t="s">
        <v>122</v>
      </c>
      <c r="B3247" s="1">
        <v>5.6</v>
      </c>
      <c r="C3247" s="1">
        <v>132</v>
      </c>
      <c r="D3247" s="1" t="s">
        <v>54</v>
      </c>
      <c r="E3247" s="1" t="s">
        <v>22</v>
      </c>
      <c r="F3247" s="1">
        <f t="shared" si="108"/>
        <v>560</v>
      </c>
      <c r="G3247" s="12">
        <f t="shared" si="109"/>
        <v>23.571428571428573</v>
      </c>
    </row>
    <row r="3248" spans="1:7" ht="15.75" customHeight="1">
      <c r="A3248" s="4" t="s">
        <v>122</v>
      </c>
      <c r="B3248" s="1">
        <v>8.6</v>
      </c>
      <c r="C3248" s="1">
        <v>143</v>
      </c>
      <c r="D3248" s="1" t="s">
        <v>33</v>
      </c>
      <c r="E3248" s="1" t="s">
        <v>23</v>
      </c>
      <c r="F3248" s="1">
        <f t="shared" si="108"/>
        <v>860</v>
      </c>
      <c r="G3248" s="12">
        <f t="shared" si="109"/>
        <v>16.627906976744185</v>
      </c>
    </row>
    <row r="3249" spans="1:7" ht="15.75" customHeight="1">
      <c r="A3249" s="4" t="s">
        <v>122</v>
      </c>
      <c r="B3249" s="1">
        <v>3</v>
      </c>
      <c r="C3249" s="1">
        <v>81</v>
      </c>
      <c r="D3249" s="1" t="s">
        <v>11</v>
      </c>
      <c r="E3249" s="1" t="s">
        <v>15</v>
      </c>
      <c r="F3249" s="1">
        <f t="shared" si="108"/>
        <v>300</v>
      </c>
      <c r="G3249" s="12">
        <f t="shared" si="109"/>
        <v>27</v>
      </c>
    </row>
    <row r="3250" spans="1:7" ht="15.75" customHeight="1">
      <c r="A3250" s="4" t="s">
        <v>122</v>
      </c>
      <c r="B3250" s="1">
        <v>5.4</v>
      </c>
      <c r="C3250" s="1">
        <v>99.2</v>
      </c>
      <c r="D3250" s="1" t="s">
        <v>33</v>
      </c>
      <c r="E3250" s="1" t="s">
        <v>17</v>
      </c>
      <c r="F3250" s="1">
        <f t="shared" si="108"/>
        <v>540</v>
      </c>
      <c r="G3250" s="12">
        <f t="shared" si="109"/>
        <v>18.37037037037037</v>
      </c>
    </row>
    <row r="3251" spans="1:7" ht="15.75" customHeight="1">
      <c r="A3251" s="4" t="s">
        <v>122</v>
      </c>
      <c r="B3251" s="1">
        <v>6.96</v>
      </c>
      <c r="C3251" s="1">
        <v>133</v>
      </c>
      <c r="D3251" s="1" t="s">
        <v>11</v>
      </c>
      <c r="E3251" s="1" t="s">
        <v>16</v>
      </c>
      <c r="F3251" s="1">
        <f t="shared" si="108"/>
        <v>696</v>
      </c>
      <c r="G3251" s="12">
        <f t="shared" si="109"/>
        <v>19.109195402298852</v>
      </c>
    </row>
    <row r="3252" spans="1:7" ht="15.75" customHeight="1">
      <c r="A3252" s="4" t="s">
        <v>122</v>
      </c>
      <c r="B3252" s="1">
        <v>6.96</v>
      </c>
      <c r="C3252" s="1">
        <v>85</v>
      </c>
      <c r="D3252" s="1" t="s">
        <v>39</v>
      </c>
      <c r="E3252" s="1" t="s">
        <v>62</v>
      </c>
      <c r="F3252" s="1">
        <f t="shared" si="108"/>
        <v>696</v>
      </c>
      <c r="G3252" s="12">
        <f t="shared" si="109"/>
        <v>12.212643678160919</v>
      </c>
    </row>
    <row r="3253" spans="1:7" ht="15.75" customHeight="1">
      <c r="A3253" s="4" t="s">
        <v>122</v>
      </c>
      <c r="B3253" s="1">
        <v>8.9</v>
      </c>
      <c r="C3253" s="1">
        <v>190</v>
      </c>
      <c r="D3253" s="1" t="s">
        <v>42</v>
      </c>
      <c r="E3253" s="1" t="s">
        <v>17</v>
      </c>
      <c r="F3253" s="1">
        <f t="shared" si="108"/>
        <v>890</v>
      </c>
      <c r="G3253" s="12">
        <f t="shared" si="109"/>
        <v>21.348314606741571</v>
      </c>
    </row>
    <row r="3254" spans="1:7" ht="15.75" customHeight="1">
      <c r="A3254" s="4" t="s">
        <v>122</v>
      </c>
      <c r="B3254" s="1">
        <v>6.7</v>
      </c>
      <c r="C3254" s="1">
        <v>159</v>
      </c>
      <c r="D3254" s="1" t="s">
        <v>11</v>
      </c>
      <c r="E3254" s="1" t="s">
        <v>16</v>
      </c>
      <c r="F3254" s="1">
        <f t="shared" si="108"/>
        <v>670</v>
      </c>
      <c r="G3254" s="12">
        <f t="shared" si="109"/>
        <v>23.731343283582088</v>
      </c>
    </row>
    <row r="3255" spans="1:7" ht="15.75" customHeight="1">
      <c r="A3255" s="4" t="s">
        <v>122</v>
      </c>
      <c r="B3255" s="1">
        <v>6</v>
      </c>
      <c r="C3255" s="1">
        <v>146</v>
      </c>
      <c r="D3255" s="1" t="s">
        <v>11</v>
      </c>
      <c r="E3255" s="1" t="s">
        <v>30</v>
      </c>
      <c r="F3255" s="1">
        <f t="shared" si="108"/>
        <v>600</v>
      </c>
      <c r="G3255" s="12">
        <f t="shared" si="109"/>
        <v>24.333333333333332</v>
      </c>
    </row>
    <row r="3256" spans="1:7" ht="15.75" customHeight="1">
      <c r="A3256" s="4" t="s">
        <v>122</v>
      </c>
      <c r="B3256" s="1">
        <v>6.6</v>
      </c>
      <c r="C3256" s="1">
        <v>146</v>
      </c>
      <c r="D3256" s="1" t="s">
        <v>11</v>
      </c>
      <c r="E3256" s="1" t="s">
        <v>8</v>
      </c>
      <c r="F3256" s="1">
        <f t="shared" si="108"/>
        <v>660</v>
      </c>
      <c r="G3256" s="12">
        <f t="shared" si="109"/>
        <v>22.121212121212121</v>
      </c>
    </row>
    <row r="3257" spans="1:7" ht="15.75" customHeight="1">
      <c r="A3257" s="4" t="s">
        <v>122</v>
      </c>
      <c r="B3257" s="1">
        <v>5.6</v>
      </c>
      <c r="C3257" s="1">
        <v>87</v>
      </c>
      <c r="D3257" s="1" t="s">
        <v>33</v>
      </c>
      <c r="E3257" s="1" t="s">
        <v>14</v>
      </c>
      <c r="F3257" s="1">
        <f t="shared" si="108"/>
        <v>560</v>
      </c>
      <c r="G3257" s="12">
        <f t="shared" si="109"/>
        <v>15.535714285714286</v>
      </c>
    </row>
    <row r="3258" spans="1:7" ht="15.75" customHeight="1">
      <c r="A3258" s="4" t="s">
        <v>122</v>
      </c>
      <c r="B3258" s="1">
        <v>4.9000000000000004</v>
      </c>
      <c r="C3258" s="1">
        <v>111.2</v>
      </c>
      <c r="D3258" s="1" t="s">
        <v>35</v>
      </c>
      <c r="E3258" s="1" t="s">
        <v>19</v>
      </c>
      <c r="F3258" s="1">
        <f t="shared" si="108"/>
        <v>490.00000000000006</v>
      </c>
      <c r="G3258" s="12">
        <f t="shared" si="109"/>
        <v>22.693877551020407</v>
      </c>
    </row>
    <row r="3259" spans="1:7" ht="15.75" customHeight="1">
      <c r="A3259" s="4" t="s">
        <v>122</v>
      </c>
      <c r="B3259" s="1">
        <v>6.8</v>
      </c>
      <c r="C3259" s="1">
        <v>143</v>
      </c>
      <c r="D3259" s="1" t="s">
        <v>11</v>
      </c>
      <c r="E3259" s="1" t="s">
        <v>26</v>
      </c>
      <c r="F3259" s="1">
        <f t="shared" si="108"/>
        <v>680</v>
      </c>
      <c r="G3259" s="12">
        <f t="shared" si="109"/>
        <v>21.029411764705884</v>
      </c>
    </row>
    <row r="3260" spans="1:7" ht="15.75" customHeight="1">
      <c r="A3260" s="4" t="s">
        <v>122</v>
      </c>
      <c r="B3260" s="1">
        <v>6.72</v>
      </c>
      <c r="C3260" s="1">
        <v>158</v>
      </c>
      <c r="D3260" s="1" t="s">
        <v>11</v>
      </c>
      <c r="E3260" s="1" t="s">
        <v>15</v>
      </c>
      <c r="F3260" s="1">
        <f t="shared" si="108"/>
        <v>672</v>
      </c>
      <c r="G3260" s="12">
        <f t="shared" si="109"/>
        <v>23.511904761904763</v>
      </c>
    </row>
    <row r="3261" spans="1:7" ht="15.75" customHeight="1">
      <c r="A3261" s="4" t="s">
        <v>122</v>
      </c>
      <c r="B3261" s="1">
        <v>5.7</v>
      </c>
      <c r="C3261" s="1">
        <v>124</v>
      </c>
      <c r="D3261" s="1" t="s">
        <v>11</v>
      </c>
      <c r="E3261" s="1" t="s">
        <v>12</v>
      </c>
      <c r="F3261" s="1">
        <f t="shared" si="108"/>
        <v>570</v>
      </c>
      <c r="G3261" s="12">
        <f t="shared" si="109"/>
        <v>21.754385964912281</v>
      </c>
    </row>
    <row r="3262" spans="1:7" ht="15.75" customHeight="1">
      <c r="A3262" s="4" t="s">
        <v>122</v>
      </c>
      <c r="B3262" s="1">
        <v>8.6999999999999993</v>
      </c>
      <c r="C3262" s="1">
        <v>155</v>
      </c>
      <c r="D3262" s="1" t="s">
        <v>11</v>
      </c>
      <c r="E3262" s="1" t="s">
        <v>9</v>
      </c>
      <c r="F3262" s="1">
        <f t="shared" si="108"/>
        <v>869.99999999999989</v>
      </c>
      <c r="G3262" s="12">
        <f t="shared" si="109"/>
        <v>17.816091954022991</v>
      </c>
    </row>
    <row r="3263" spans="1:7" ht="15.75" customHeight="1">
      <c r="A3263" s="4" t="s">
        <v>122</v>
      </c>
      <c r="B3263" s="1">
        <v>4</v>
      </c>
      <c r="C3263" s="1">
        <v>76</v>
      </c>
      <c r="D3263" s="1" t="s">
        <v>44</v>
      </c>
      <c r="E3263" s="1" t="s">
        <v>21</v>
      </c>
      <c r="F3263" s="1">
        <f t="shared" si="108"/>
        <v>400</v>
      </c>
      <c r="G3263" s="12">
        <f t="shared" si="109"/>
        <v>19</v>
      </c>
    </row>
    <row r="3264" spans="1:7" ht="15.75" customHeight="1">
      <c r="A3264" s="4" t="s">
        <v>122</v>
      </c>
      <c r="B3264" s="1">
        <v>6.6</v>
      </c>
      <c r="C3264" s="1">
        <v>176</v>
      </c>
      <c r="D3264" s="1" t="s">
        <v>11</v>
      </c>
      <c r="E3264" s="1" t="s">
        <v>9</v>
      </c>
      <c r="F3264" s="1">
        <f t="shared" si="108"/>
        <v>660</v>
      </c>
      <c r="G3264" s="12">
        <f t="shared" si="109"/>
        <v>26.666666666666668</v>
      </c>
    </row>
    <row r="3265" spans="1:7" ht="15.75" customHeight="1">
      <c r="A3265" s="4" t="s">
        <v>122</v>
      </c>
      <c r="B3265" s="1">
        <v>5.95</v>
      </c>
      <c r="C3265" s="1">
        <v>139</v>
      </c>
      <c r="D3265" s="1" t="s">
        <v>11</v>
      </c>
      <c r="E3265" s="1" t="s">
        <v>32</v>
      </c>
      <c r="F3265" s="1">
        <f t="shared" si="108"/>
        <v>595</v>
      </c>
      <c r="G3265" s="12">
        <f t="shared" si="109"/>
        <v>23.361344537815125</v>
      </c>
    </row>
    <row r="3266" spans="1:7" ht="15.75" customHeight="1">
      <c r="A3266" s="4" t="s">
        <v>122</v>
      </c>
      <c r="B3266" s="1">
        <v>8.6999999999999993</v>
      </c>
      <c r="C3266" s="1">
        <v>240</v>
      </c>
      <c r="D3266" s="1" t="s">
        <v>11</v>
      </c>
      <c r="E3266" s="1" t="s">
        <v>27</v>
      </c>
      <c r="F3266" s="1">
        <f t="shared" si="108"/>
        <v>869.99999999999989</v>
      </c>
      <c r="G3266" s="12">
        <f t="shared" si="109"/>
        <v>27.586206896551726</v>
      </c>
    </row>
    <row r="3267" spans="1:7" ht="15.75" customHeight="1">
      <c r="A3267" s="4" t="s">
        <v>122</v>
      </c>
      <c r="B3267" s="1">
        <v>8.6999999999999993</v>
      </c>
      <c r="C3267" s="1">
        <v>277</v>
      </c>
      <c r="D3267" s="1" t="s">
        <v>11</v>
      </c>
      <c r="E3267" s="1" t="s">
        <v>24</v>
      </c>
      <c r="F3267" s="1">
        <f t="shared" ref="F3267:F3330" si="110">B3267*100</f>
        <v>869.99999999999989</v>
      </c>
      <c r="G3267" s="12">
        <f t="shared" ref="G3267:G3320" si="111">C3267/B3267</f>
        <v>31.839080459770116</v>
      </c>
    </row>
    <row r="3268" spans="1:7" ht="15.75" customHeight="1">
      <c r="A3268" s="4" t="s">
        <v>122</v>
      </c>
      <c r="B3268" s="1">
        <v>6.6</v>
      </c>
      <c r="C3268" s="1">
        <v>266</v>
      </c>
      <c r="D3268" s="1" t="s">
        <v>11</v>
      </c>
      <c r="E3268" s="1" t="s">
        <v>9</v>
      </c>
      <c r="F3268" s="1">
        <f t="shared" si="110"/>
        <v>660</v>
      </c>
      <c r="G3268" s="12">
        <f t="shared" si="111"/>
        <v>40.303030303030305</v>
      </c>
    </row>
    <row r="3269" spans="1:7" ht="15.75" customHeight="1">
      <c r="A3269" s="4" t="s">
        <v>122</v>
      </c>
      <c r="B3269" s="1">
        <v>6.09</v>
      </c>
      <c r="C3269" s="1">
        <v>125</v>
      </c>
      <c r="D3269" s="1" t="s">
        <v>11</v>
      </c>
      <c r="E3269" s="1" t="s">
        <v>28</v>
      </c>
      <c r="F3269" s="1">
        <f t="shared" si="110"/>
        <v>609</v>
      </c>
      <c r="G3269" s="12">
        <f t="shared" si="111"/>
        <v>20.525451559934318</v>
      </c>
    </row>
    <row r="3270" spans="1:7" ht="15.75" customHeight="1">
      <c r="A3270" s="4" t="s">
        <v>122</v>
      </c>
      <c r="B3270" s="1">
        <v>8.6999999999999993</v>
      </c>
      <c r="C3270" s="1">
        <v>175</v>
      </c>
      <c r="D3270" s="1" t="s">
        <v>45</v>
      </c>
      <c r="E3270" s="1" t="s">
        <v>20</v>
      </c>
      <c r="F3270" s="1">
        <f t="shared" si="110"/>
        <v>869.99999999999989</v>
      </c>
      <c r="G3270" s="12">
        <f t="shared" si="111"/>
        <v>20.114942528735632</v>
      </c>
    </row>
    <row r="3271" spans="1:7" ht="15.75" customHeight="1">
      <c r="A3271" s="4" t="s">
        <v>122</v>
      </c>
      <c r="B3271" s="1">
        <v>6.5</v>
      </c>
      <c r="C3271" s="1">
        <v>108</v>
      </c>
      <c r="D3271" s="1" t="s">
        <v>45</v>
      </c>
      <c r="E3271" s="1" t="s">
        <v>20</v>
      </c>
      <c r="F3271" s="1">
        <f t="shared" si="110"/>
        <v>650</v>
      </c>
      <c r="G3271" s="12">
        <f t="shared" si="111"/>
        <v>16.615384615384617</v>
      </c>
    </row>
    <row r="3272" spans="1:7" ht="15.75" customHeight="1">
      <c r="A3272" s="4" t="s">
        <v>122</v>
      </c>
      <c r="B3272" s="1">
        <v>20</v>
      </c>
      <c r="C3272" s="1">
        <v>210</v>
      </c>
      <c r="D3272" s="1" t="s">
        <v>33</v>
      </c>
      <c r="E3272" s="1" t="s">
        <v>20</v>
      </c>
      <c r="F3272" s="1">
        <f t="shared" si="110"/>
        <v>2000</v>
      </c>
      <c r="G3272" s="12">
        <f t="shared" si="111"/>
        <v>10.5</v>
      </c>
    </row>
    <row r="3273" spans="1:7" ht="15.75" customHeight="1">
      <c r="A3273" s="4" t="s">
        <v>122</v>
      </c>
      <c r="B3273" s="1">
        <v>5.4</v>
      </c>
      <c r="C3273" s="1">
        <v>66</v>
      </c>
      <c r="D3273" s="1" t="s">
        <v>33</v>
      </c>
      <c r="E3273" s="1" t="s">
        <v>15</v>
      </c>
      <c r="F3273" s="1">
        <f t="shared" si="110"/>
        <v>540</v>
      </c>
      <c r="G3273" s="12">
        <f t="shared" si="111"/>
        <v>12.222222222222221</v>
      </c>
    </row>
    <row r="3274" spans="1:7" ht="15.75" customHeight="1">
      <c r="A3274" s="4" t="s">
        <v>122</v>
      </c>
      <c r="B3274" s="1">
        <v>8.1999999999999993</v>
      </c>
      <c r="C3274" s="1">
        <v>183</v>
      </c>
      <c r="D3274" s="1" t="s">
        <v>43</v>
      </c>
      <c r="E3274" s="1" t="s">
        <v>25</v>
      </c>
      <c r="F3274" s="1">
        <f t="shared" si="110"/>
        <v>819.99999999999989</v>
      </c>
      <c r="G3274" s="12">
        <f t="shared" si="111"/>
        <v>22.31707317073171</v>
      </c>
    </row>
    <row r="3275" spans="1:7" ht="15.75" customHeight="1">
      <c r="A3275" s="4" t="s">
        <v>122</v>
      </c>
      <c r="B3275" s="1">
        <v>5.6</v>
      </c>
      <c r="C3275" s="1">
        <v>136</v>
      </c>
      <c r="D3275" s="1" t="s">
        <v>11</v>
      </c>
      <c r="E3275" s="1" t="s">
        <v>8</v>
      </c>
      <c r="F3275" s="1">
        <f t="shared" si="110"/>
        <v>560</v>
      </c>
      <c r="G3275" s="12">
        <f t="shared" si="111"/>
        <v>24.285714285714288</v>
      </c>
    </row>
    <row r="3276" spans="1:7" ht="15.75" customHeight="1">
      <c r="A3276" s="4" t="s">
        <v>122</v>
      </c>
      <c r="B3276" s="1">
        <v>6.09</v>
      </c>
      <c r="C3276" s="1">
        <v>106</v>
      </c>
      <c r="D3276" s="1" t="s">
        <v>38</v>
      </c>
      <c r="E3276" s="1" t="s">
        <v>9</v>
      </c>
      <c r="F3276" s="1">
        <f t="shared" si="110"/>
        <v>609</v>
      </c>
      <c r="G3276" s="12">
        <f t="shared" si="111"/>
        <v>17.405582922824301</v>
      </c>
    </row>
    <row r="3277" spans="1:7" ht="15.75" customHeight="1">
      <c r="A3277" s="4" t="s">
        <v>122</v>
      </c>
      <c r="B3277" s="1">
        <v>5</v>
      </c>
      <c r="C3277" s="1">
        <v>174</v>
      </c>
      <c r="D3277" s="1" t="s">
        <v>11</v>
      </c>
      <c r="E3277" s="1" t="s">
        <v>15</v>
      </c>
      <c r="F3277" s="1">
        <f t="shared" si="110"/>
        <v>500</v>
      </c>
      <c r="G3277" s="12">
        <f t="shared" si="111"/>
        <v>34.799999999999997</v>
      </c>
    </row>
    <row r="3278" spans="1:7" ht="15.75" customHeight="1">
      <c r="A3278" s="4" t="s">
        <v>122</v>
      </c>
      <c r="B3278" s="1">
        <v>6.4</v>
      </c>
      <c r="C3278" s="1">
        <v>195</v>
      </c>
      <c r="D3278" s="1" t="s">
        <v>11</v>
      </c>
      <c r="E3278" s="1" t="s">
        <v>16</v>
      </c>
      <c r="F3278" s="1">
        <f t="shared" si="110"/>
        <v>640</v>
      </c>
      <c r="G3278" s="12">
        <f t="shared" si="111"/>
        <v>30.46875</v>
      </c>
    </row>
    <row r="3279" spans="1:7" ht="15.75" customHeight="1">
      <c r="A3279" s="4" t="s">
        <v>122</v>
      </c>
      <c r="B3279" s="1">
        <v>7.4</v>
      </c>
      <c r="C3279" s="1">
        <v>174</v>
      </c>
      <c r="D3279" s="1" t="s">
        <v>42</v>
      </c>
      <c r="E3279" s="1" t="s">
        <v>49</v>
      </c>
      <c r="F3279" s="1">
        <f t="shared" si="110"/>
        <v>740</v>
      </c>
      <c r="G3279" s="12">
        <f t="shared" si="111"/>
        <v>23.513513513513512</v>
      </c>
    </row>
    <row r="3280" spans="1:7" ht="15.75" customHeight="1">
      <c r="A3280" s="4" t="s">
        <v>122</v>
      </c>
      <c r="B3280" s="1">
        <v>7.74</v>
      </c>
      <c r="C3280" s="1">
        <v>163</v>
      </c>
      <c r="D3280" s="1" t="s">
        <v>37</v>
      </c>
      <c r="E3280" s="1" t="s">
        <v>16</v>
      </c>
      <c r="F3280" s="1">
        <f t="shared" si="110"/>
        <v>774</v>
      </c>
      <c r="G3280" s="12">
        <f t="shared" si="111"/>
        <v>21.059431524547804</v>
      </c>
    </row>
    <row r="3281" spans="1:7" ht="15.75" customHeight="1">
      <c r="A3281" s="4" t="s">
        <v>122</v>
      </c>
      <c r="B3281" s="1">
        <v>6.08</v>
      </c>
      <c r="C3281" s="1">
        <v>166</v>
      </c>
      <c r="D3281" s="1" t="s">
        <v>11</v>
      </c>
      <c r="E3281" s="1" t="s">
        <v>7</v>
      </c>
      <c r="F3281" s="1">
        <f t="shared" si="110"/>
        <v>608</v>
      </c>
      <c r="G3281" s="12">
        <f t="shared" si="111"/>
        <v>27.302631578947366</v>
      </c>
    </row>
    <row r="3282" spans="1:7" ht="15.75" customHeight="1">
      <c r="A3282" s="4" t="s">
        <v>122</v>
      </c>
      <c r="B3282" s="1">
        <v>5.28</v>
      </c>
      <c r="C3282" s="1">
        <v>83</v>
      </c>
      <c r="D3282" s="1" t="s">
        <v>33</v>
      </c>
      <c r="E3282" s="1" t="s">
        <v>21</v>
      </c>
      <c r="F3282" s="1">
        <f t="shared" si="110"/>
        <v>528</v>
      </c>
      <c r="G3282" s="12">
        <f t="shared" si="111"/>
        <v>15.719696969696969</v>
      </c>
    </row>
    <row r="3283" spans="1:7" ht="15.75" customHeight="1">
      <c r="A3283" s="4" t="s">
        <v>122</v>
      </c>
      <c r="B3283" s="1">
        <v>8.8000000000000007</v>
      </c>
      <c r="C3283" s="1">
        <v>157</v>
      </c>
      <c r="D3283" s="1" t="s">
        <v>88</v>
      </c>
      <c r="E3283" s="1" t="s">
        <v>22</v>
      </c>
      <c r="F3283" s="1">
        <f t="shared" si="110"/>
        <v>880.00000000000011</v>
      </c>
      <c r="G3283" s="12">
        <f t="shared" si="111"/>
        <v>17.84090909090909</v>
      </c>
    </row>
    <row r="3284" spans="1:7" ht="15.75" customHeight="1">
      <c r="A3284" s="4" t="s">
        <v>122</v>
      </c>
      <c r="B3284" s="1">
        <v>7.6</v>
      </c>
      <c r="C3284" s="1">
        <v>250</v>
      </c>
      <c r="D3284" s="1" t="s">
        <v>11</v>
      </c>
      <c r="E3284" s="1" t="s">
        <v>8</v>
      </c>
      <c r="F3284" s="1">
        <f t="shared" si="110"/>
        <v>760</v>
      </c>
      <c r="G3284" s="12">
        <f t="shared" si="111"/>
        <v>32.894736842105267</v>
      </c>
    </row>
    <row r="3285" spans="1:7" ht="15.75" customHeight="1">
      <c r="A3285" s="4" t="s">
        <v>122</v>
      </c>
      <c r="B3285" s="1">
        <v>5.0999999999999996</v>
      </c>
      <c r="C3285" s="1">
        <v>70</v>
      </c>
      <c r="D3285" s="1" t="s">
        <v>33</v>
      </c>
      <c r="E3285" s="1" t="s">
        <v>15</v>
      </c>
      <c r="F3285" s="1">
        <f t="shared" si="110"/>
        <v>509.99999999999994</v>
      </c>
      <c r="G3285" s="12">
        <f t="shared" si="111"/>
        <v>13.725490196078432</v>
      </c>
    </row>
    <row r="3286" spans="1:7" ht="15.75" customHeight="1">
      <c r="A3286" s="4" t="s">
        <v>122</v>
      </c>
      <c r="B3286" s="1">
        <v>5.5</v>
      </c>
      <c r="C3286" s="1">
        <v>182</v>
      </c>
      <c r="D3286" s="1" t="s">
        <v>11</v>
      </c>
      <c r="E3286" s="1" t="s">
        <v>15</v>
      </c>
      <c r="F3286" s="1">
        <f t="shared" si="110"/>
        <v>550</v>
      </c>
      <c r="G3286" s="12">
        <f t="shared" si="111"/>
        <v>33.090909090909093</v>
      </c>
    </row>
    <row r="3287" spans="1:7" ht="15.75" customHeight="1">
      <c r="A3287" s="4" t="s">
        <v>122</v>
      </c>
      <c r="B3287" s="1">
        <v>6.9</v>
      </c>
      <c r="C3287" s="1">
        <v>122</v>
      </c>
      <c r="D3287" s="1" t="s">
        <v>11</v>
      </c>
      <c r="E3287" s="1" t="s">
        <v>26</v>
      </c>
      <c r="F3287" s="1">
        <f t="shared" si="110"/>
        <v>690</v>
      </c>
      <c r="G3287" s="12">
        <f t="shared" si="111"/>
        <v>17.681159420289855</v>
      </c>
    </row>
    <row r="3288" spans="1:7" ht="15.75" customHeight="1">
      <c r="A3288" s="4" t="s">
        <v>122</v>
      </c>
      <c r="B3288" s="1">
        <v>4.5599999999999996</v>
      </c>
      <c r="C3288" s="1">
        <v>67.5</v>
      </c>
      <c r="D3288" s="1" t="s">
        <v>33</v>
      </c>
      <c r="E3288" s="1" t="s">
        <v>17</v>
      </c>
      <c r="F3288" s="1">
        <f t="shared" si="110"/>
        <v>455.99999999999994</v>
      </c>
      <c r="G3288" s="12">
        <f t="shared" si="111"/>
        <v>14.80263157894737</v>
      </c>
    </row>
    <row r="3289" spans="1:7" ht="15.75" customHeight="1">
      <c r="A3289" s="4" t="s">
        <v>122</v>
      </c>
      <c r="B3289" s="1">
        <v>5.6</v>
      </c>
      <c r="C3289" s="1">
        <v>57</v>
      </c>
      <c r="D3289" s="1" t="s">
        <v>33</v>
      </c>
      <c r="E3289" s="1" t="s">
        <v>29</v>
      </c>
      <c r="F3289" s="1">
        <f t="shared" si="110"/>
        <v>560</v>
      </c>
      <c r="G3289" s="12">
        <f t="shared" si="111"/>
        <v>10.178571428571429</v>
      </c>
    </row>
    <row r="3290" spans="1:7" ht="15.75" customHeight="1">
      <c r="A3290" s="4" t="s">
        <v>122</v>
      </c>
      <c r="B3290" s="1">
        <v>6.5</v>
      </c>
      <c r="C3290" s="1">
        <v>196</v>
      </c>
      <c r="D3290" s="1" t="s">
        <v>11</v>
      </c>
      <c r="E3290" s="1" t="s">
        <v>15</v>
      </c>
      <c r="F3290" s="1">
        <f t="shared" si="110"/>
        <v>650</v>
      </c>
      <c r="G3290" s="12">
        <f t="shared" si="111"/>
        <v>30.153846153846153</v>
      </c>
    </row>
    <row r="3291" spans="1:7" ht="15.75" customHeight="1">
      <c r="A3291" s="4" t="s">
        <v>122</v>
      </c>
      <c r="B3291" s="1">
        <v>8.58</v>
      </c>
      <c r="C3291" s="1">
        <v>117</v>
      </c>
      <c r="D3291" s="1" t="s">
        <v>80</v>
      </c>
      <c r="E3291" s="1" t="s">
        <v>17</v>
      </c>
      <c r="F3291" s="1">
        <f t="shared" si="110"/>
        <v>858</v>
      </c>
      <c r="G3291" s="12">
        <f t="shared" si="111"/>
        <v>13.636363636363637</v>
      </c>
    </row>
    <row r="3292" spans="1:7" ht="15.75" customHeight="1">
      <c r="A3292" s="4" t="s">
        <v>122</v>
      </c>
      <c r="B3292" s="1">
        <v>4</v>
      </c>
      <c r="C3292" s="1">
        <v>97</v>
      </c>
      <c r="D3292" s="1" t="s">
        <v>11</v>
      </c>
      <c r="E3292" s="1" t="s">
        <v>9</v>
      </c>
      <c r="F3292" s="1">
        <f t="shared" si="110"/>
        <v>400</v>
      </c>
      <c r="G3292" s="12">
        <f t="shared" si="111"/>
        <v>24.25</v>
      </c>
    </row>
    <row r="3293" spans="1:7" ht="15.75" customHeight="1">
      <c r="A3293" s="4" t="s">
        <v>122</v>
      </c>
      <c r="B3293" s="1">
        <v>4.3499999999999996</v>
      </c>
      <c r="C3293" s="1">
        <v>117</v>
      </c>
      <c r="D3293" s="1" t="s">
        <v>11</v>
      </c>
      <c r="E3293" s="1" t="s">
        <v>8</v>
      </c>
      <c r="F3293" s="1">
        <f t="shared" si="110"/>
        <v>434.99999999999994</v>
      </c>
      <c r="G3293" s="12">
        <f t="shared" si="111"/>
        <v>26.896551724137932</v>
      </c>
    </row>
    <row r="3294" spans="1:7" ht="15.75" customHeight="1">
      <c r="A3294" s="4" t="s">
        <v>122</v>
      </c>
      <c r="B3294" s="1">
        <v>7.56</v>
      </c>
      <c r="C3294" s="1">
        <v>154</v>
      </c>
      <c r="D3294" s="1" t="s">
        <v>11</v>
      </c>
      <c r="E3294" s="1" t="s">
        <v>25</v>
      </c>
      <c r="F3294" s="1">
        <f t="shared" si="110"/>
        <v>756</v>
      </c>
      <c r="G3294" s="12">
        <f t="shared" si="111"/>
        <v>20.37037037037037</v>
      </c>
    </row>
    <row r="3295" spans="1:7" ht="15.75" customHeight="1">
      <c r="A3295" s="4" t="s">
        <v>122</v>
      </c>
      <c r="B3295" s="1">
        <v>6.4</v>
      </c>
      <c r="C3295" s="1">
        <v>102</v>
      </c>
      <c r="D3295" s="1" t="s">
        <v>33</v>
      </c>
      <c r="E3295" s="1" t="s">
        <v>8</v>
      </c>
      <c r="F3295" s="1">
        <f t="shared" si="110"/>
        <v>640</v>
      </c>
      <c r="G3295" s="12">
        <f t="shared" si="111"/>
        <v>15.9375</v>
      </c>
    </row>
    <row r="3296" spans="1:7" ht="15.75" customHeight="1">
      <c r="A3296" s="4" t="s">
        <v>122</v>
      </c>
      <c r="B3296" s="1">
        <v>6.25</v>
      </c>
      <c r="C3296" s="1">
        <v>195</v>
      </c>
      <c r="D3296" s="1" t="s">
        <v>11</v>
      </c>
      <c r="E3296" s="1" t="s">
        <v>32</v>
      </c>
      <c r="F3296" s="1">
        <f t="shared" si="110"/>
        <v>625</v>
      </c>
      <c r="G3296" s="12">
        <f t="shared" si="111"/>
        <v>31.2</v>
      </c>
    </row>
    <row r="3297" spans="1:9" ht="15.75" customHeight="1">
      <c r="A3297" s="4" t="s">
        <v>122</v>
      </c>
      <c r="B3297" s="1">
        <v>6.9</v>
      </c>
      <c r="C3297" s="1">
        <v>124</v>
      </c>
      <c r="D3297" s="1" t="s">
        <v>38</v>
      </c>
      <c r="E3297" s="1" t="s">
        <v>8</v>
      </c>
      <c r="F3297" s="1">
        <f t="shared" si="110"/>
        <v>690</v>
      </c>
      <c r="G3297" s="12">
        <f t="shared" si="111"/>
        <v>17.971014492753621</v>
      </c>
    </row>
    <row r="3298" spans="1:9" ht="15.75" customHeight="1">
      <c r="A3298" s="4" t="s">
        <v>122</v>
      </c>
      <c r="B3298" s="1">
        <v>3.48</v>
      </c>
      <c r="C3298" s="1">
        <v>83</v>
      </c>
      <c r="D3298" s="1" t="s">
        <v>11</v>
      </c>
      <c r="E3298" s="1" t="s">
        <v>7</v>
      </c>
      <c r="F3298" s="1">
        <f t="shared" si="110"/>
        <v>348</v>
      </c>
      <c r="G3298" s="12">
        <f t="shared" si="111"/>
        <v>23.850574712643677</v>
      </c>
    </row>
    <row r="3299" spans="1:9" ht="15.75" customHeight="1">
      <c r="A3299" s="4" t="s">
        <v>122</v>
      </c>
      <c r="B3299" s="1">
        <v>7.6</v>
      </c>
      <c r="C3299" s="1">
        <v>58</v>
      </c>
      <c r="D3299" s="1" t="s">
        <v>33</v>
      </c>
      <c r="E3299" s="1" t="s">
        <v>17</v>
      </c>
      <c r="F3299" s="1">
        <f t="shared" si="110"/>
        <v>760</v>
      </c>
      <c r="G3299" s="12">
        <f t="shared" si="111"/>
        <v>7.6315789473684212</v>
      </c>
    </row>
    <row r="3300" spans="1:9" ht="15.75" customHeight="1">
      <c r="A3300" s="4" t="s">
        <v>122</v>
      </c>
      <c r="B3300" s="1">
        <v>7.3</v>
      </c>
      <c r="C3300" s="1">
        <v>225</v>
      </c>
      <c r="D3300" s="1" t="s">
        <v>38</v>
      </c>
      <c r="E3300" s="1" t="s">
        <v>9</v>
      </c>
      <c r="F3300" s="1">
        <f t="shared" si="110"/>
        <v>730</v>
      </c>
      <c r="G3300" s="12">
        <f t="shared" si="111"/>
        <v>30.82191780821918</v>
      </c>
    </row>
    <row r="3301" spans="1:9" ht="15.75" customHeight="1">
      <c r="A3301" s="4" t="s">
        <v>122</v>
      </c>
      <c r="B3301" s="1">
        <v>9.1999999999999993</v>
      </c>
      <c r="C3301" s="1">
        <v>57</v>
      </c>
      <c r="D3301" s="1" t="s">
        <v>33</v>
      </c>
      <c r="E3301" s="1" t="s">
        <v>20</v>
      </c>
      <c r="F3301" s="1">
        <f t="shared" si="110"/>
        <v>919.99999999999989</v>
      </c>
      <c r="G3301" s="12">
        <f t="shared" si="111"/>
        <v>6.1956521739130439</v>
      </c>
    </row>
    <row r="3302" spans="1:9" ht="15.75" customHeight="1">
      <c r="A3302" s="4" t="s">
        <v>122</v>
      </c>
      <c r="B3302" s="1">
        <v>4.7300000000000004</v>
      </c>
      <c r="C3302" s="1">
        <v>110</v>
      </c>
      <c r="D3302" s="1" t="s">
        <v>39</v>
      </c>
      <c r="E3302" s="1" t="s">
        <v>9</v>
      </c>
      <c r="F3302" s="1">
        <f t="shared" si="110"/>
        <v>473.00000000000006</v>
      </c>
      <c r="G3302" s="12">
        <f t="shared" si="111"/>
        <v>23.255813953488371</v>
      </c>
    </row>
    <row r="3303" spans="1:9" ht="15.75" customHeight="1">
      <c r="A3303" s="4" t="s">
        <v>122</v>
      </c>
      <c r="B3303" s="1">
        <v>6.38</v>
      </c>
      <c r="C3303" s="1">
        <v>155</v>
      </c>
      <c r="D3303" s="1" t="s">
        <v>11</v>
      </c>
      <c r="E3303" s="1" t="s">
        <v>12</v>
      </c>
      <c r="F3303" s="1">
        <f t="shared" si="110"/>
        <v>638</v>
      </c>
      <c r="G3303" s="12">
        <f t="shared" si="111"/>
        <v>24.294670846394986</v>
      </c>
    </row>
    <row r="3304" spans="1:9" ht="15.75" customHeight="1">
      <c r="A3304" s="4" t="s">
        <v>122</v>
      </c>
      <c r="B3304" s="1">
        <v>6.7</v>
      </c>
      <c r="C3304" s="1">
        <v>159.58000000000001</v>
      </c>
      <c r="D3304" s="1" t="s">
        <v>11</v>
      </c>
      <c r="E3304" s="1" t="s">
        <v>17</v>
      </c>
      <c r="F3304" s="1">
        <f t="shared" si="110"/>
        <v>670</v>
      </c>
      <c r="G3304" s="12">
        <f t="shared" si="111"/>
        <v>23.817910447761196</v>
      </c>
    </row>
    <row r="3305" spans="1:9" ht="15.75" customHeight="1">
      <c r="A3305" s="4" t="s">
        <v>122</v>
      </c>
      <c r="B3305" s="1">
        <v>6.72</v>
      </c>
      <c r="C3305" s="1">
        <v>98</v>
      </c>
      <c r="D3305" s="1" t="s">
        <v>33</v>
      </c>
      <c r="E3305" s="1" t="s">
        <v>27</v>
      </c>
      <c r="F3305" s="1">
        <f t="shared" si="110"/>
        <v>672</v>
      </c>
      <c r="G3305" s="12">
        <f t="shared" si="111"/>
        <v>14.583333333333334</v>
      </c>
    </row>
    <row r="3306" spans="1:9" ht="15.75" customHeight="1">
      <c r="A3306" s="4" t="s">
        <v>122</v>
      </c>
      <c r="B3306" s="1">
        <v>6.7</v>
      </c>
      <c r="C3306" s="1">
        <v>150</v>
      </c>
      <c r="D3306" s="1" t="s">
        <v>43</v>
      </c>
      <c r="E3306" s="1" t="s">
        <v>49</v>
      </c>
      <c r="F3306" s="1">
        <f t="shared" si="110"/>
        <v>670</v>
      </c>
      <c r="G3306" s="12">
        <f t="shared" si="111"/>
        <v>22.388059701492537</v>
      </c>
    </row>
    <row r="3307" spans="1:9" ht="15.75" customHeight="1">
      <c r="A3307" s="4" t="s">
        <v>122</v>
      </c>
      <c r="B3307" s="1">
        <v>7.5</v>
      </c>
      <c r="C3307" s="1">
        <v>95</v>
      </c>
      <c r="D3307" s="1" t="s">
        <v>11</v>
      </c>
      <c r="E3307" s="1" t="s">
        <v>16</v>
      </c>
      <c r="F3307" s="1">
        <f t="shared" si="110"/>
        <v>750</v>
      </c>
      <c r="G3307" s="12">
        <f t="shared" si="111"/>
        <v>12.666666666666666</v>
      </c>
    </row>
    <row r="3308" spans="1:9" ht="15.75" customHeight="1">
      <c r="A3308" s="4" t="s">
        <v>122</v>
      </c>
      <c r="B3308" s="1">
        <v>8.3000000000000007</v>
      </c>
      <c r="C3308" s="1">
        <v>100</v>
      </c>
      <c r="D3308" s="1" t="s">
        <v>43</v>
      </c>
      <c r="E3308" s="1" t="s">
        <v>12</v>
      </c>
      <c r="F3308" s="1">
        <f t="shared" si="110"/>
        <v>830.00000000000011</v>
      </c>
      <c r="G3308" s="12">
        <f t="shared" si="111"/>
        <v>12.048192771084336</v>
      </c>
    </row>
    <row r="3309" spans="1:9" ht="15.75" customHeight="1">
      <c r="A3309" s="4" t="s">
        <v>122</v>
      </c>
      <c r="B3309" s="1">
        <v>8.19</v>
      </c>
      <c r="C3309" s="1">
        <v>111</v>
      </c>
      <c r="D3309" s="1" t="s">
        <v>33</v>
      </c>
      <c r="E3309" s="1" t="s">
        <v>16</v>
      </c>
      <c r="F3309" s="1">
        <f t="shared" si="110"/>
        <v>819</v>
      </c>
      <c r="G3309" s="12">
        <f t="shared" si="111"/>
        <v>13.553113553113555</v>
      </c>
      <c r="I3309" s="7"/>
    </row>
    <row r="3310" spans="1:9" ht="15.75" customHeight="1">
      <c r="A3310" s="4" t="s">
        <v>122</v>
      </c>
      <c r="B3310" s="1">
        <v>5.2</v>
      </c>
      <c r="C3310" s="1">
        <v>145</v>
      </c>
      <c r="D3310" s="1" t="s">
        <v>11</v>
      </c>
      <c r="E3310" s="1" t="s">
        <v>16</v>
      </c>
      <c r="F3310" s="1">
        <f t="shared" si="110"/>
        <v>520</v>
      </c>
      <c r="G3310" s="12">
        <f t="shared" si="111"/>
        <v>27.884615384615383</v>
      </c>
      <c r="I3310" s="7"/>
    </row>
    <row r="3311" spans="1:9" ht="15.75" customHeight="1">
      <c r="A3311" s="4" t="s">
        <v>122</v>
      </c>
      <c r="B3311" s="1">
        <v>4.3499999999999996</v>
      </c>
      <c r="C3311" s="1">
        <v>102</v>
      </c>
      <c r="D3311" s="1" t="s">
        <v>11</v>
      </c>
      <c r="E3311" s="1" t="s">
        <v>16</v>
      </c>
      <c r="F3311" s="1">
        <f t="shared" si="110"/>
        <v>434.99999999999994</v>
      </c>
      <c r="G3311" s="12">
        <f t="shared" si="111"/>
        <v>23.448275862068968</v>
      </c>
      <c r="I3311" s="7"/>
    </row>
    <row r="3312" spans="1:9" ht="15.75" customHeight="1">
      <c r="A3312" s="4" t="s">
        <v>122</v>
      </c>
      <c r="B3312" s="1">
        <v>7.74</v>
      </c>
      <c r="C3312" s="1">
        <v>110</v>
      </c>
      <c r="D3312" s="1" t="s">
        <v>11</v>
      </c>
      <c r="E3312" s="1" t="s">
        <v>17</v>
      </c>
      <c r="F3312" s="1">
        <f t="shared" si="110"/>
        <v>774</v>
      </c>
      <c r="G3312" s="12">
        <f t="shared" si="111"/>
        <v>14.211886304909561</v>
      </c>
    </row>
    <row r="3313" spans="1:7" ht="15.75" customHeight="1">
      <c r="A3313" s="4" t="s">
        <v>122</v>
      </c>
      <c r="B3313" s="1">
        <v>5.6</v>
      </c>
      <c r="C3313" s="1">
        <v>97</v>
      </c>
      <c r="D3313" s="1" t="s">
        <v>11</v>
      </c>
      <c r="E3313" s="1" t="s">
        <v>17</v>
      </c>
      <c r="F3313" s="1">
        <f t="shared" si="110"/>
        <v>560</v>
      </c>
      <c r="G3313" s="12">
        <f t="shared" si="111"/>
        <v>17.321428571428573</v>
      </c>
    </row>
    <row r="3314" spans="1:7" ht="15.75" customHeight="1">
      <c r="A3314" s="4" t="s">
        <v>122</v>
      </c>
      <c r="B3314" s="1">
        <v>7.74</v>
      </c>
      <c r="C3314" s="1">
        <v>160</v>
      </c>
      <c r="D3314" s="1" t="s">
        <v>42</v>
      </c>
      <c r="E3314" s="1" t="s">
        <v>49</v>
      </c>
      <c r="F3314" s="1">
        <f t="shared" si="110"/>
        <v>774</v>
      </c>
      <c r="G3314" s="12">
        <f t="shared" si="111"/>
        <v>20.671834625322997</v>
      </c>
    </row>
    <row r="3315" spans="1:7" ht="15.75" customHeight="1">
      <c r="A3315" s="4" t="s">
        <v>122</v>
      </c>
      <c r="B3315" s="1">
        <v>7.29</v>
      </c>
      <c r="C3315" s="1">
        <v>293</v>
      </c>
      <c r="D3315" s="1" t="s">
        <v>11</v>
      </c>
      <c r="E3315" s="1" t="s">
        <v>18</v>
      </c>
      <c r="F3315" s="1">
        <f t="shared" si="110"/>
        <v>729</v>
      </c>
      <c r="G3315" s="12">
        <f t="shared" si="111"/>
        <v>40.192043895747602</v>
      </c>
    </row>
    <row r="3316" spans="1:7" ht="15.75" customHeight="1">
      <c r="A3316" s="4" t="s">
        <v>122</v>
      </c>
      <c r="B3316" s="1">
        <v>8</v>
      </c>
      <c r="C3316" s="1">
        <v>153</v>
      </c>
      <c r="D3316" s="1" t="s">
        <v>11</v>
      </c>
      <c r="E3316" s="1" t="s">
        <v>8</v>
      </c>
      <c r="F3316" s="1">
        <f t="shared" si="110"/>
        <v>800</v>
      </c>
      <c r="G3316" s="12">
        <f t="shared" si="111"/>
        <v>19.125</v>
      </c>
    </row>
    <row r="3317" spans="1:7" ht="15.75" customHeight="1">
      <c r="A3317" s="4" t="s">
        <v>122</v>
      </c>
      <c r="B3317" s="1">
        <v>4.3499999999999996</v>
      </c>
      <c r="C3317" s="1">
        <v>93</v>
      </c>
      <c r="D3317" s="1" t="s">
        <v>42</v>
      </c>
      <c r="E3317" s="1" t="s">
        <v>30</v>
      </c>
      <c r="F3317" s="1">
        <f t="shared" si="110"/>
        <v>434.99999999999994</v>
      </c>
      <c r="G3317" s="12">
        <f t="shared" si="111"/>
        <v>21.379310344827587</v>
      </c>
    </row>
    <row r="3318" spans="1:7" ht="15.75" customHeight="1">
      <c r="A3318" s="4" t="s">
        <v>122</v>
      </c>
      <c r="B3318" s="1">
        <v>4.5</v>
      </c>
      <c r="C3318" s="1">
        <v>118</v>
      </c>
      <c r="D3318" s="1" t="s">
        <v>11</v>
      </c>
      <c r="E3318" s="1" t="s">
        <v>22</v>
      </c>
      <c r="F3318" s="1">
        <f t="shared" si="110"/>
        <v>450</v>
      </c>
      <c r="G3318" s="12">
        <f t="shared" si="111"/>
        <v>26.222222222222221</v>
      </c>
    </row>
    <row r="3319" spans="1:7" ht="15.75" customHeight="1">
      <c r="A3319" s="4" t="s">
        <v>122</v>
      </c>
      <c r="B3319" s="1">
        <v>6.96</v>
      </c>
      <c r="C3319" s="1">
        <v>178</v>
      </c>
      <c r="D3319" s="1" t="s">
        <v>38</v>
      </c>
      <c r="E3319" s="1" t="s">
        <v>15</v>
      </c>
      <c r="F3319" s="1">
        <f t="shared" si="110"/>
        <v>696</v>
      </c>
      <c r="G3319" s="12">
        <f t="shared" si="111"/>
        <v>25.574712643678161</v>
      </c>
    </row>
    <row r="3320" spans="1:7" ht="15.75" customHeight="1">
      <c r="A3320" s="4" t="s">
        <v>122</v>
      </c>
      <c r="B3320" s="1">
        <v>8.6999999999999993</v>
      </c>
      <c r="C3320" s="1">
        <v>131</v>
      </c>
      <c r="D3320" s="1" t="s">
        <v>33</v>
      </c>
      <c r="E3320" s="1" t="s">
        <v>10</v>
      </c>
      <c r="F3320" s="1">
        <f t="shared" si="110"/>
        <v>869.99999999999989</v>
      </c>
      <c r="G3320" s="12">
        <f t="shared" si="111"/>
        <v>15.057471264367818</v>
      </c>
    </row>
    <row r="3321" spans="1:7" ht="15.75" customHeight="1">
      <c r="A3321" s="4" t="s">
        <v>123</v>
      </c>
      <c r="B3321" s="1">
        <v>9.1</v>
      </c>
      <c r="C3321" s="1">
        <v>156</v>
      </c>
      <c r="D3321" s="1" t="s">
        <v>58</v>
      </c>
      <c r="E3321" s="1" t="s">
        <v>10</v>
      </c>
      <c r="F3321" s="1">
        <f t="shared" si="110"/>
        <v>910</v>
      </c>
      <c r="G3321" s="5">
        <f t="shared" ref="G3321:G3384" si="112">C3321/F3321</f>
        <v>0.17142857142857143</v>
      </c>
    </row>
    <row r="3322" spans="1:7" ht="15.75" customHeight="1">
      <c r="A3322" s="4" t="s">
        <v>123</v>
      </c>
      <c r="B3322" s="1">
        <v>8.8000000000000007</v>
      </c>
      <c r="C3322" s="1">
        <v>113</v>
      </c>
      <c r="D3322" s="1" t="s">
        <v>130</v>
      </c>
      <c r="E3322" s="1" t="s">
        <v>32</v>
      </c>
      <c r="F3322" s="1">
        <f t="shared" si="110"/>
        <v>880.00000000000011</v>
      </c>
      <c r="G3322" s="5">
        <f t="shared" si="112"/>
        <v>0.12840909090909089</v>
      </c>
    </row>
    <row r="3323" spans="1:7" ht="15.75" customHeight="1">
      <c r="A3323" s="4" t="s">
        <v>123</v>
      </c>
      <c r="B3323" s="1">
        <v>5.2</v>
      </c>
      <c r="C3323" s="1">
        <v>64</v>
      </c>
      <c r="D3323" s="1" t="s">
        <v>39</v>
      </c>
      <c r="E3323" s="1" t="s">
        <v>15</v>
      </c>
      <c r="F3323" s="1">
        <f t="shared" si="110"/>
        <v>520</v>
      </c>
      <c r="G3323" s="5">
        <f t="shared" si="112"/>
        <v>0.12307692307692308</v>
      </c>
    </row>
    <row r="3324" spans="1:7" ht="15.75" customHeight="1">
      <c r="A3324" s="4" t="s">
        <v>123</v>
      </c>
      <c r="B3324" s="1">
        <v>6.09</v>
      </c>
      <c r="C3324" s="1">
        <v>81</v>
      </c>
      <c r="D3324" s="1" t="s">
        <v>36</v>
      </c>
      <c r="E3324" s="1" t="s">
        <v>15</v>
      </c>
      <c r="F3324" s="1">
        <f t="shared" si="110"/>
        <v>609</v>
      </c>
      <c r="G3324" s="5">
        <f t="shared" si="112"/>
        <v>0.13300492610837439</v>
      </c>
    </row>
    <row r="3325" spans="1:7" ht="15.75" customHeight="1">
      <c r="A3325" s="4" t="s">
        <v>123</v>
      </c>
      <c r="B3325" s="1">
        <v>9.4600000000000009</v>
      </c>
      <c r="C3325" s="1">
        <v>127</v>
      </c>
      <c r="D3325" s="1" t="s">
        <v>11</v>
      </c>
      <c r="E3325" s="1" t="s">
        <v>16</v>
      </c>
      <c r="F3325" s="1">
        <f t="shared" si="110"/>
        <v>946.00000000000011</v>
      </c>
      <c r="G3325" s="5">
        <f t="shared" si="112"/>
        <v>0.13424947145877378</v>
      </c>
    </row>
    <row r="3326" spans="1:7" ht="15.75" customHeight="1">
      <c r="A3326" s="4" t="s">
        <v>123</v>
      </c>
      <c r="B3326" s="1">
        <v>7.74</v>
      </c>
      <c r="C3326" s="1">
        <v>166</v>
      </c>
      <c r="D3326" s="1" t="s">
        <v>11</v>
      </c>
      <c r="E3326" s="1" t="s">
        <v>29</v>
      </c>
      <c r="F3326" s="1">
        <f t="shared" si="110"/>
        <v>774</v>
      </c>
      <c r="G3326" s="5">
        <f t="shared" si="112"/>
        <v>0.2144702842377261</v>
      </c>
    </row>
    <row r="3327" spans="1:7" ht="15.75" customHeight="1">
      <c r="A3327" s="4" t="s">
        <v>123</v>
      </c>
      <c r="B3327" s="1">
        <v>5.2</v>
      </c>
      <c r="C3327" s="1">
        <v>94</v>
      </c>
      <c r="D3327" s="1" t="s">
        <v>11</v>
      </c>
      <c r="E3327" s="1" t="s">
        <v>16</v>
      </c>
      <c r="F3327" s="1">
        <f t="shared" si="110"/>
        <v>520</v>
      </c>
      <c r="G3327" s="5">
        <f t="shared" si="112"/>
        <v>0.18076923076923077</v>
      </c>
    </row>
    <row r="3328" spans="1:7" ht="15.75" customHeight="1">
      <c r="A3328" s="4" t="s">
        <v>123</v>
      </c>
      <c r="B3328" s="1">
        <v>8</v>
      </c>
      <c r="C3328" s="1">
        <v>35.5</v>
      </c>
      <c r="D3328" s="1" t="s">
        <v>106</v>
      </c>
      <c r="E3328" s="1" t="s">
        <v>17</v>
      </c>
      <c r="F3328" s="1">
        <f t="shared" si="110"/>
        <v>800</v>
      </c>
      <c r="G3328" s="5">
        <f t="shared" si="112"/>
        <v>4.4374999999999998E-2</v>
      </c>
    </row>
    <row r="3329" spans="1:7" ht="15.75" customHeight="1">
      <c r="A3329" s="4" t="s">
        <v>123</v>
      </c>
      <c r="B3329" s="1">
        <v>6.09</v>
      </c>
      <c r="C3329" s="1">
        <v>105</v>
      </c>
      <c r="D3329" s="1" t="s">
        <v>35</v>
      </c>
      <c r="E3329" s="1" t="s">
        <v>28</v>
      </c>
      <c r="F3329" s="1">
        <f t="shared" si="110"/>
        <v>609</v>
      </c>
      <c r="G3329" s="5">
        <f t="shared" si="112"/>
        <v>0.17241379310344829</v>
      </c>
    </row>
    <row r="3330" spans="1:7" ht="15.75" customHeight="1">
      <c r="A3330" s="4" t="s">
        <v>123</v>
      </c>
      <c r="B3330" s="1">
        <v>7</v>
      </c>
      <c r="C3330" s="1">
        <v>96</v>
      </c>
      <c r="D3330" s="1" t="s">
        <v>131</v>
      </c>
      <c r="E3330" s="1" t="s">
        <v>20</v>
      </c>
      <c r="F3330" s="1">
        <f t="shared" si="110"/>
        <v>700</v>
      </c>
      <c r="G3330" s="5">
        <f t="shared" si="112"/>
        <v>0.13714285714285715</v>
      </c>
    </row>
    <row r="3331" spans="1:7" ht="15.75" customHeight="1">
      <c r="A3331" s="4" t="s">
        <v>123</v>
      </c>
      <c r="B3331" s="1">
        <v>5.46</v>
      </c>
      <c r="C3331" s="1">
        <v>104</v>
      </c>
      <c r="D3331" s="1" t="s">
        <v>43</v>
      </c>
      <c r="E3331" s="1" t="s">
        <v>15</v>
      </c>
      <c r="F3331" s="1">
        <f t="shared" ref="F3331:F3394" si="113">B3331*100</f>
        <v>546</v>
      </c>
      <c r="G3331" s="5">
        <f t="shared" si="112"/>
        <v>0.19047619047619047</v>
      </c>
    </row>
    <row r="3332" spans="1:7" ht="15.75" customHeight="1">
      <c r="A3332" s="4" t="s">
        <v>123</v>
      </c>
      <c r="B3332" s="1">
        <v>5.2</v>
      </c>
      <c r="C3332" s="1">
        <v>81</v>
      </c>
      <c r="D3332" s="1" t="s">
        <v>11</v>
      </c>
      <c r="E3332" s="1" t="s">
        <v>27</v>
      </c>
      <c r="F3332" s="1">
        <f t="shared" si="113"/>
        <v>520</v>
      </c>
      <c r="G3332" s="5">
        <f t="shared" si="112"/>
        <v>0.15576923076923077</v>
      </c>
    </row>
    <row r="3333" spans="1:7" ht="15.75" customHeight="1">
      <c r="A3333" s="4" t="s">
        <v>123</v>
      </c>
      <c r="B3333" s="1">
        <v>6.8849999999999998</v>
      </c>
      <c r="C3333" s="1">
        <v>73</v>
      </c>
      <c r="D3333" s="1" t="s">
        <v>44</v>
      </c>
      <c r="E3333" s="1" t="s">
        <v>22</v>
      </c>
      <c r="F3333" s="1">
        <f t="shared" si="113"/>
        <v>688.5</v>
      </c>
      <c r="G3333" s="5">
        <f t="shared" si="112"/>
        <v>0.10602759622367465</v>
      </c>
    </row>
    <row r="3334" spans="1:7" ht="15.75" customHeight="1">
      <c r="A3334" s="4" t="s">
        <v>123</v>
      </c>
      <c r="B3334" s="1">
        <v>6.88</v>
      </c>
      <c r="C3334" s="1">
        <v>5140</v>
      </c>
      <c r="D3334" s="1" t="s">
        <v>33</v>
      </c>
      <c r="E3334" s="1" t="s">
        <v>17</v>
      </c>
      <c r="F3334" s="1">
        <f t="shared" si="113"/>
        <v>688</v>
      </c>
      <c r="G3334" s="5">
        <f t="shared" si="112"/>
        <v>7.4709302325581399</v>
      </c>
    </row>
    <row r="3335" spans="1:7" ht="15.75" customHeight="1">
      <c r="A3335" s="4" t="s">
        <v>123</v>
      </c>
      <c r="B3335" s="1">
        <v>5.0999999999999996</v>
      </c>
      <c r="C3335" s="1">
        <v>48</v>
      </c>
      <c r="D3335" s="1" t="s">
        <v>59</v>
      </c>
      <c r="E3335" s="1" t="s">
        <v>18</v>
      </c>
      <c r="F3335" s="1">
        <f t="shared" si="113"/>
        <v>509.99999999999994</v>
      </c>
      <c r="G3335" s="5">
        <f t="shared" si="112"/>
        <v>9.4117647058823542E-2</v>
      </c>
    </row>
    <row r="3336" spans="1:7" ht="15.75" customHeight="1">
      <c r="A3336" s="4" t="s">
        <v>123</v>
      </c>
      <c r="B3336" s="1">
        <v>8.6999999999999993</v>
      </c>
      <c r="C3336" s="1">
        <v>73</v>
      </c>
      <c r="D3336" s="1" t="s">
        <v>43</v>
      </c>
      <c r="E3336" s="1" t="s">
        <v>16</v>
      </c>
      <c r="F3336" s="1">
        <f t="shared" si="113"/>
        <v>869.99999999999989</v>
      </c>
      <c r="G3336" s="5">
        <f t="shared" si="112"/>
        <v>8.39080459770115E-2</v>
      </c>
    </row>
    <row r="3337" spans="1:7" ht="15.75" customHeight="1">
      <c r="A3337" s="4" t="s">
        <v>123</v>
      </c>
      <c r="B3337" s="1">
        <v>5.4</v>
      </c>
      <c r="C3337" s="1">
        <v>161</v>
      </c>
      <c r="D3337" s="1" t="s">
        <v>38</v>
      </c>
      <c r="E3337" s="1" t="s">
        <v>8</v>
      </c>
      <c r="F3337" s="1">
        <f t="shared" si="113"/>
        <v>540</v>
      </c>
      <c r="G3337" s="5">
        <f t="shared" si="112"/>
        <v>0.29814814814814816</v>
      </c>
    </row>
    <row r="3338" spans="1:7" ht="15.75" customHeight="1">
      <c r="A3338" s="4" t="s">
        <v>123</v>
      </c>
      <c r="B3338" s="1">
        <v>8.5</v>
      </c>
      <c r="C3338" s="1">
        <v>139</v>
      </c>
      <c r="D3338" s="1" t="s">
        <v>39</v>
      </c>
      <c r="E3338" s="1" t="s">
        <v>20</v>
      </c>
      <c r="F3338" s="1">
        <f t="shared" si="113"/>
        <v>850</v>
      </c>
      <c r="G3338" s="5">
        <f t="shared" si="112"/>
        <v>0.1635294117647059</v>
      </c>
    </row>
    <row r="3339" spans="1:7" ht="15.75" customHeight="1">
      <c r="A3339" s="4" t="s">
        <v>123</v>
      </c>
      <c r="B3339" s="1">
        <v>6.8</v>
      </c>
      <c r="C3339" s="1">
        <v>90</v>
      </c>
      <c r="D3339" s="1" t="s">
        <v>38</v>
      </c>
      <c r="E3339" s="1" t="s">
        <v>41</v>
      </c>
      <c r="F3339" s="1">
        <f t="shared" si="113"/>
        <v>680</v>
      </c>
      <c r="G3339" s="5">
        <f t="shared" si="112"/>
        <v>0.13235294117647059</v>
      </c>
    </row>
    <row r="3340" spans="1:7" ht="15.75" customHeight="1">
      <c r="A3340" s="4" t="s">
        <v>123</v>
      </c>
      <c r="B3340" s="1">
        <v>9.35</v>
      </c>
      <c r="C3340" s="1">
        <v>115</v>
      </c>
      <c r="D3340" s="1" t="s">
        <v>45</v>
      </c>
      <c r="E3340" s="1" t="s">
        <v>10</v>
      </c>
      <c r="F3340" s="1">
        <f t="shared" si="113"/>
        <v>935</v>
      </c>
      <c r="G3340" s="5">
        <f t="shared" si="112"/>
        <v>0.12299465240641712</v>
      </c>
    </row>
    <row r="3341" spans="1:7" ht="15.75" customHeight="1">
      <c r="A3341" s="4" t="s">
        <v>123</v>
      </c>
      <c r="B3341" s="1">
        <v>7.7</v>
      </c>
      <c r="C3341" s="1">
        <v>141</v>
      </c>
      <c r="D3341" s="1" t="s">
        <v>11</v>
      </c>
      <c r="E3341" s="1" t="s">
        <v>49</v>
      </c>
      <c r="F3341" s="1">
        <f t="shared" si="113"/>
        <v>770</v>
      </c>
      <c r="G3341" s="5">
        <f t="shared" si="112"/>
        <v>0.18311688311688312</v>
      </c>
    </row>
    <row r="3342" spans="1:7" ht="15.75" customHeight="1">
      <c r="A3342" s="4" t="s">
        <v>123</v>
      </c>
      <c r="B3342" s="1">
        <v>5.46</v>
      </c>
      <c r="C3342" s="1">
        <v>125</v>
      </c>
      <c r="D3342" s="1" t="s">
        <v>47</v>
      </c>
      <c r="E3342" s="1" t="s">
        <v>10</v>
      </c>
      <c r="F3342" s="1">
        <f t="shared" si="113"/>
        <v>546</v>
      </c>
      <c r="G3342" s="5">
        <f t="shared" si="112"/>
        <v>0.22893772893772893</v>
      </c>
    </row>
    <row r="3343" spans="1:7" ht="15.75" customHeight="1">
      <c r="A3343" s="4" t="s">
        <v>123</v>
      </c>
      <c r="B3343" s="1">
        <v>7.2</v>
      </c>
      <c r="C3343" s="1">
        <v>113</v>
      </c>
      <c r="D3343" s="1" t="s">
        <v>47</v>
      </c>
      <c r="E3343" s="1" t="s">
        <v>17</v>
      </c>
      <c r="F3343" s="1">
        <f t="shared" si="113"/>
        <v>720</v>
      </c>
      <c r="G3343" s="5">
        <f t="shared" si="112"/>
        <v>0.15694444444444444</v>
      </c>
    </row>
    <row r="3344" spans="1:7" ht="15.75" customHeight="1">
      <c r="A3344" s="4" t="s">
        <v>123</v>
      </c>
      <c r="B3344" s="1">
        <v>7.56</v>
      </c>
      <c r="C3344" s="1">
        <v>144</v>
      </c>
      <c r="D3344" s="1" t="s">
        <v>11</v>
      </c>
      <c r="E3344" s="1" t="s">
        <v>27</v>
      </c>
      <c r="F3344" s="1">
        <f t="shared" si="113"/>
        <v>756</v>
      </c>
      <c r="G3344" s="5">
        <f t="shared" si="112"/>
        <v>0.19047619047619047</v>
      </c>
    </row>
    <row r="3345" spans="1:7" ht="15.75" customHeight="1">
      <c r="A3345" s="4" t="s">
        <v>123</v>
      </c>
      <c r="B3345" s="1">
        <v>7.2</v>
      </c>
      <c r="C3345" s="1">
        <v>110</v>
      </c>
      <c r="D3345" s="1" t="s">
        <v>11</v>
      </c>
      <c r="E3345" s="1" t="s">
        <v>7</v>
      </c>
      <c r="F3345" s="1">
        <f t="shared" si="113"/>
        <v>720</v>
      </c>
      <c r="G3345" s="5">
        <f t="shared" si="112"/>
        <v>0.15277777777777779</v>
      </c>
    </row>
    <row r="3346" spans="1:7" ht="15.75" customHeight="1">
      <c r="A3346" s="4" t="s">
        <v>123</v>
      </c>
      <c r="B3346" s="1">
        <v>6.23</v>
      </c>
      <c r="C3346" s="1">
        <v>202</v>
      </c>
      <c r="D3346" s="1" t="s">
        <v>11</v>
      </c>
      <c r="E3346" s="1" t="s">
        <v>17</v>
      </c>
      <c r="F3346" s="1">
        <f t="shared" si="113"/>
        <v>623</v>
      </c>
      <c r="G3346" s="5">
        <f t="shared" si="112"/>
        <v>0.32423756019261635</v>
      </c>
    </row>
    <row r="3347" spans="1:7" ht="15.75" customHeight="1">
      <c r="A3347" s="4" t="s">
        <v>123</v>
      </c>
      <c r="B3347" s="1">
        <v>5.28</v>
      </c>
      <c r="C3347" s="1">
        <v>91.39</v>
      </c>
      <c r="D3347" s="1" t="s">
        <v>34</v>
      </c>
      <c r="E3347" s="1" t="s">
        <v>7</v>
      </c>
      <c r="F3347" s="1">
        <f t="shared" si="113"/>
        <v>528</v>
      </c>
      <c r="G3347" s="5">
        <f t="shared" si="112"/>
        <v>0.17308712121212122</v>
      </c>
    </row>
    <row r="3348" spans="1:7" ht="15.75" customHeight="1">
      <c r="A3348" s="4" t="s">
        <v>123</v>
      </c>
      <c r="B3348" s="1">
        <v>7.8</v>
      </c>
      <c r="C3348" s="1">
        <v>141</v>
      </c>
      <c r="D3348" s="1" t="s">
        <v>38</v>
      </c>
      <c r="E3348" s="1" t="s">
        <v>8</v>
      </c>
      <c r="F3348" s="1">
        <f t="shared" si="113"/>
        <v>780</v>
      </c>
      <c r="G3348" s="5">
        <f t="shared" si="112"/>
        <v>0.18076923076923077</v>
      </c>
    </row>
    <row r="3349" spans="1:7" ht="15.75" customHeight="1">
      <c r="A3349" s="4" t="s">
        <v>123</v>
      </c>
      <c r="B3349" s="1">
        <v>8.6</v>
      </c>
      <c r="C3349" s="1">
        <v>237</v>
      </c>
      <c r="D3349" s="1" t="s">
        <v>42</v>
      </c>
      <c r="E3349" s="1" t="s">
        <v>8</v>
      </c>
      <c r="F3349" s="1">
        <f t="shared" si="113"/>
        <v>860</v>
      </c>
      <c r="G3349" s="5">
        <f t="shared" si="112"/>
        <v>0.27558139534883719</v>
      </c>
    </row>
    <row r="3350" spans="1:7" ht="15.75" customHeight="1">
      <c r="A3350" s="4" t="s">
        <v>123</v>
      </c>
      <c r="B3350" s="1">
        <v>4.4000000000000004</v>
      </c>
      <c r="C3350" s="1">
        <v>54</v>
      </c>
      <c r="D3350" s="1" t="s">
        <v>43</v>
      </c>
      <c r="E3350" s="1" t="s">
        <v>25</v>
      </c>
      <c r="F3350" s="1">
        <f t="shared" si="113"/>
        <v>440.00000000000006</v>
      </c>
      <c r="G3350" s="5">
        <f t="shared" si="112"/>
        <v>0.12272727272727271</v>
      </c>
    </row>
    <row r="3351" spans="1:7" ht="15.75" customHeight="1">
      <c r="A3351" s="4" t="s">
        <v>123</v>
      </c>
      <c r="B3351" s="1">
        <v>6.5</v>
      </c>
      <c r="C3351" s="1">
        <v>155</v>
      </c>
      <c r="D3351" s="1" t="s">
        <v>11</v>
      </c>
      <c r="E3351" s="1" t="s">
        <v>8</v>
      </c>
      <c r="F3351" s="1">
        <f t="shared" si="113"/>
        <v>650</v>
      </c>
      <c r="G3351" s="5">
        <f t="shared" si="112"/>
        <v>0.23846153846153847</v>
      </c>
    </row>
    <row r="3352" spans="1:7" ht="15.75" customHeight="1">
      <c r="A3352" s="4" t="s">
        <v>123</v>
      </c>
      <c r="B3352" s="1">
        <v>6.09</v>
      </c>
      <c r="C3352" s="1">
        <v>131</v>
      </c>
      <c r="D3352" s="1" t="s">
        <v>38</v>
      </c>
      <c r="E3352" s="1" t="s">
        <v>8</v>
      </c>
      <c r="F3352" s="1">
        <f t="shared" si="113"/>
        <v>609</v>
      </c>
      <c r="G3352" s="5">
        <f t="shared" si="112"/>
        <v>0.21510673234811165</v>
      </c>
    </row>
    <row r="3353" spans="1:7" ht="15.75" customHeight="1">
      <c r="A3353" s="4" t="s">
        <v>123</v>
      </c>
      <c r="B3353" s="1">
        <v>5.4</v>
      </c>
      <c r="C3353" s="1">
        <v>50</v>
      </c>
      <c r="D3353" s="1" t="s">
        <v>33</v>
      </c>
      <c r="E3353" s="1" t="s">
        <v>25</v>
      </c>
      <c r="F3353" s="1">
        <f t="shared" si="113"/>
        <v>540</v>
      </c>
      <c r="G3353" s="5">
        <f t="shared" si="112"/>
        <v>9.2592592592592587E-2</v>
      </c>
    </row>
    <row r="3354" spans="1:7" ht="15.75" customHeight="1">
      <c r="A3354" s="4" t="s">
        <v>123</v>
      </c>
      <c r="B3354" s="1">
        <v>8.8000000000000007</v>
      </c>
      <c r="C3354" s="1">
        <v>55</v>
      </c>
      <c r="D3354" s="1" t="s">
        <v>53</v>
      </c>
      <c r="E3354" s="1" t="s">
        <v>8</v>
      </c>
      <c r="F3354" s="1">
        <f t="shared" si="113"/>
        <v>880.00000000000011</v>
      </c>
      <c r="G3354" s="5">
        <f t="shared" si="112"/>
        <v>6.2499999999999993E-2</v>
      </c>
    </row>
    <row r="3355" spans="1:7" ht="15.75" customHeight="1">
      <c r="A3355" s="4" t="s">
        <v>123</v>
      </c>
      <c r="B3355" s="1">
        <v>6.6</v>
      </c>
      <c r="C3355" s="1">
        <v>39</v>
      </c>
      <c r="D3355" s="1" t="s">
        <v>34</v>
      </c>
      <c r="E3355" s="1" t="s">
        <v>16</v>
      </c>
      <c r="F3355" s="1">
        <f t="shared" si="113"/>
        <v>660</v>
      </c>
      <c r="G3355" s="5">
        <f t="shared" si="112"/>
        <v>5.909090909090909E-2</v>
      </c>
    </row>
    <row r="3356" spans="1:7" ht="15.75" customHeight="1">
      <c r="A3356" s="4" t="s">
        <v>123</v>
      </c>
      <c r="B3356" s="1">
        <v>4.3499999999999996</v>
      </c>
      <c r="C3356" s="1">
        <v>55</v>
      </c>
      <c r="D3356" s="1" t="s">
        <v>11</v>
      </c>
      <c r="E3356" s="1" t="s">
        <v>15</v>
      </c>
      <c r="F3356" s="1">
        <f t="shared" si="113"/>
        <v>434.99999999999994</v>
      </c>
      <c r="G3356" s="5">
        <f t="shared" si="112"/>
        <v>0.12643678160919541</v>
      </c>
    </row>
    <row r="3357" spans="1:7" ht="15.75" customHeight="1">
      <c r="A3357" s="4" t="s">
        <v>123</v>
      </c>
      <c r="B3357" s="1">
        <v>6.96</v>
      </c>
      <c r="C3357" s="1">
        <v>84</v>
      </c>
      <c r="D3357" s="1" t="s">
        <v>11</v>
      </c>
      <c r="E3357" s="1" t="s">
        <v>31</v>
      </c>
      <c r="F3357" s="1">
        <f t="shared" si="113"/>
        <v>696</v>
      </c>
      <c r="G3357" s="5">
        <f t="shared" si="112"/>
        <v>0.1206896551724138</v>
      </c>
    </row>
    <row r="3358" spans="1:7" ht="15.75" customHeight="1">
      <c r="A3358" s="4" t="s">
        <v>123</v>
      </c>
      <c r="B3358" s="1">
        <v>9.1999999999999993</v>
      </c>
      <c r="C3358" s="1">
        <v>126</v>
      </c>
      <c r="D3358" s="1" t="s">
        <v>43</v>
      </c>
      <c r="E3358" s="1" t="s">
        <v>14</v>
      </c>
      <c r="F3358" s="1">
        <f t="shared" si="113"/>
        <v>919.99999999999989</v>
      </c>
      <c r="G3358" s="5">
        <f t="shared" si="112"/>
        <v>0.13695652173913045</v>
      </c>
    </row>
    <row r="3359" spans="1:7" ht="15.75" customHeight="1">
      <c r="A3359" s="4" t="s">
        <v>123</v>
      </c>
      <c r="B3359" s="1">
        <v>7.56</v>
      </c>
      <c r="C3359" s="1">
        <v>107</v>
      </c>
      <c r="D3359" s="1" t="s">
        <v>11</v>
      </c>
      <c r="E3359" s="1" t="s">
        <v>25</v>
      </c>
      <c r="F3359" s="1">
        <f t="shared" si="113"/>
        <v>756</v>
      </c>
      <c r="G3359" s="5">
        <f t="shared" si="112"/>
        <v>0.14153439153439154</v>
      </c>
    </row>
    <row r="3360" spans="1:7" ht="15.75" customHeight="1">
      <c r="A3360" s="4" t="s">
        <v>123</v>
      </c>
      <c r="B3360" s="1">
        <v>6.8</v>
      </c>
      <c r="C3360" s="1">
        <v>86</v>
      </c>
      <c r="D3360" s="1" t="s">
        <v>33</v>
      </c>
      <c r="E3360" s="1" t="s">
        <v>20</v>
      </c>
      <c r="F3360" s="1">
        <f t="shared" si="113"/>
        <v>680</v>
      </c>
      <c r="G3360" s="5">
        <f t="shared" si="112"/>
        <v>0.12647058823529411</v>
      </c>
    </row>
    <row r="3361" spans="1:7" ht="15.75" customHeight="1">
      <c r="A3361" s="4" t="s">
        <v>123</v>
      </c>
      <c r="B3361" s="1">
        <v>7</v>
      </c>
      <c r="C3361" s="1">
        <v>77</v>
      </c>
      <c r="D3361" s="1" t="s">
        <v>33</v>
      </c>
      <c r="E3361" s="1" t="s">
        <v>20</v>
      </c>
      <c r="F3361" s="1">
        <f t="shared" si="113"/>
        <v>700</v>
      </c>
      <c r="G3361" s="5">
        <f t="shared" si="112"/>
        <v>0.11</v>
      </c>
    </row>
    <row r="3362" spans="1:7" ht="15.75" customHeight="1">
      <c r="A3362" s="4" t="s">
        <v>123</v>
      </c>
      <c r="B3362" s="1">
        <v>5.2</v>
      </c>
      <c r="C3362" s="1">
        <v>80</v>
      </c>
      <c r="D3362" s="1" t="s">
        <v>50</v>
      </c>
      <c r="E3362" s="1" t="s">
        <v>15</v>
      </c>
      <c r="F3362" s="1">
        <f t="shared" si="113"/>
        <v>520</v>
      </c>
      <c r="G3362" s="5">
        <f t="shared" si="112"/>
        <v>0.15384615384615385</v>
      </c>
    </row>
    <row r="3363" spans="1:7" ht="15.75" customHeight="1">
      <c r="A3363" s="4" t="s">
        <v>123</v>
      </c>
      <c r="B3363" s="1">
        <v>5.81</v>
      </c>
      <c r="C3363" s="1">
        <v>156</v>
      </c>
      <c r="D3363" s="1" t="s">
        <v>38</v>
      </c>
      <c r="E3363" s="1" t="s">
        <v>8</v>
      </c>
      <c r="F3363" s="1">
        <f t="shared" si="113"/>
        <v>581</v>
      </c>
      <c r="G3363" s="5">
        <f t="shared" si="112"/>
        <v>0.26850258175559383</v>
      </c>
    </row>
    <row r="3364" spans="1:7" ht="15.75" customHeight="1">
      <c r="A3364" s="4" t="s">
        <v>123</v>
      </c>
      <c r="B3364" s="1">
        <v>6.96</v>
      </c>
      <c r="C3364" s="1">
        <v>109</v>
      </c>
      <c r="D3364" s="1" t="s">
        <v>33</v>
      </c>
      <c r="E3364" s="1" t="s">
        <v>15</v>
      </c>
      <c r="F3364" s="1">
        <f t="shared" si="113"/>
        <v>696</v>
      </c>
      <c r="G3364" s="5">
        <f t="shared" si="112"/>
        <v>0.15660919540229884</v>
      </c>
    </row>
    <row r="3365" spans="1:7" ht="15.75" customHeight="1">
      <c r="A3365" s="4" t="s">
        <v>123</v>
      </c>
      <c r="B3365" s="1">
        <v>8.8000000000000007</v>
      </c>
      <c r="C3365" s="1">
        <v>75</v>
      </c>
      <c r="D3365" s="1" t="s">
        <v>36</v>
      </c>
      <c r="E3365" s="1" t="s">
        <v>14</v>
      </c>
      <c r="F3365" s="1">
        <f t="shared" si="113"/>
        <v>880.00000000000011</v>
      </c>
      <c r="G3365" s="5">
        <f t="shared" si="112"/>
        <v>8.5227272727272721E-2</v>
      </c>
    </row>
    <row r="3366" spans="1:7" ht="15.75" customHeight="1">
      <c r="A3366" s="4" t="s">
        <v>123</v>
      </c>
      <c r="B3366" s="1">
        <v>7.92</v>
      </c>
      <c r="C3366" s="1">
        <v>62.57</v>
      </c>
      <c r="D3366" s="1" t="s">
        <v>11</v>
      </c>
      <c r="E3366" s="1" t="s">
        <v>22</v>
      </c>
      <c r="F3366" s="1">
        <f t="shared" si="113"/>
        <v>792</v>
      </c>
      <c r="G3366" s="5">
        <f t="shared" si="112"/>
        <v>7.9002525252525255E-2</v>
      </c>
    </row>
    <row r="3367" spans="1:7" ht="15.75" customHeight="1">
      <c r="A3367" s="4" t="s">
        <v>123</v>
      </c>
      <c r="B3367" s="1">
        <v>6.45</v>
      </c>
      <c r="C3367" s="1">
        <v>71</v>
      </c>
      <c r="D3367" s="1" t="s">
        <v>42</v>
      </c>
      <c r="E3367" s="1" t="s">
        <v>18</v>
      </c>
      <c r="F3367" s="1">
        <f t="shared" si="113"/>
        <v>645</v>
      </c>
      <c r="G3367" s="5">
        <f t="shared" si="112"/>
        <v>0.11007751937984496</v>
      </c>
    </row>
    <row r="3368" spans="1:7" ht="15.75" customHeight="1">
      <c r="A3368" s="4" t="s">
        <v>123</v>
      </c>
      <c r="B3368" s="1">
        <v>6.1</v>
      </c>
      <c r="C3368" s="1">
        <v>54.5</v>
      </c>
      <c r="D3368" s="1" t="s">
        <v>33</v>
      </c>
      <c r="E3368" s="1" t="s">
        <v>8</v>
      </c>
      <c r="F3368" s="1">
        <f t="shared" si="113"/>
        <v>610</v>
      </c>
      <c r="G3368" s="5">
        <f t="shared" si="112"/>
        <v>8.9344262295081966E-2</v>
      </c>
    </row>
    <row r="3369" spans="1:7" ht="15.75" customHeight="1">
      <c r="A3369" s="4" t="s">
        <v>123</v>
      </c>
      <c r="B3369" s="1">
        <v>8.75</v>
      </c>
      <c r="C3369" s="1">
        <v>170</v>
      </c>
      <c r="D3369" s="1" t="s">
        <v>47</v>
      </c>
      <c r="E3369" s="1" t="s">
        <v>31</v>
      </c>
      <c r="F3369" s="1">
        <f t="shared" si="113"/>
        <v>875</v>
      </c>
      <c r="G3369" s="5">
        <f t="shared" si="112"/>
        <v>0.19428571428571428</v>
      </c>
    </row>
    <row r="3370" spans="1:7" ht="15.75" customHeight="1">
      <c r="A3370" s="4" t="s">
        <v>123</v>
      </c>
      <c r="B3370" s="1">
        <v>5.81</v>
      </c>
      <c r="C3370" s="1">
        <v>150</v>
      </c>
      <c r="D3370" s="1" t="s">
        <v>38</v>
      </c>
      <c r="E3370" s="1" t="s">
        <v>8</v>
      </c>
      <c r="F3370" s="1">
        <f t="shared" si="113"/>
        <v>581</v>
      </c>
      <c r="G3370" s="5">
        <f t="shared" si="112"/>
        <v>0.25817555938037867</v>
      </c>
    </row>
    <row r="3371" spans="1:7" ht="15.75" customHeight="1">
      <c r="A3371" s="4" t="s">
        <v>123</v>
      </c>
      <c r="B3371" s="1">
        <v>6.4</v>
      </c>
      <c r="C3371" s="1">
        <v>171</v>
      </c>
      <c r="D3371" s="1" t="s">
        <v>11</v>
      </c>
      <c r="E3371" s="1" t="s">
        <v>26</v>
      </c>
      <c r="F3371" s="1">
        <f t="shared" si="113"/>
        <v>640</v>
      </c>
      <c r="G3371" s="5">
        <f t="shared" si="112"/>
        <v>0.26718750000000002</v>
      </c>
    </row>
    <row r="3372" spans="1:7" ht="15.75" customHeight="1">
      <c r="A3372" s="4" t="s">
        <v>123</v>
      </c>
      <c r="B3372" s="1">
        <v>8.8000000000000007</v>
      </c>
      <c r="C3372" s="1">
        <v>151</v>
      </c>
      <c r="D3372" s="1" t="s">
        <v>64</v>
      </c>
      <c r="E3372" s="1" t="s">
        <v>8</v>
      </c>
      <c r="F3372" s="1">
        <f t="shared" si="113"/>
        <v>880.00000000000011</v>
      </c>
      <c r="G3372" s="5">
        <f t="shared" si="112"/>
        <v>0.17159090909090907</v>
      </c>
    </row>
    <row r="3373" spans="1:7" ht="15.75" customHeight="1">
      <c r="A3373" s="4" t="s">
        <v>123</v>
      </c>
      <c r="B3373" s="1">
        <v>7.74</v>
      </c>
      <c r="C3373" s="1">
        <v>93</v>
      </c>
      <c r="D3373" s="1" t="s">
        <v>37</v>
      </c>
      <c r="E3373" s="1" t="s">
        <v>16</v>
      </c>
      <c r="F3373" s="1">
        <f t="shared" si="113"/>
        <v>774</v>
      </c>
      <c r="G3373" s="5">
        <f t="shared" si="112"/>
        <v>0.12015503875968993</v>
      </c>
    </row>
    <row r="3374" spans="1:7" ht="15.75" customHeight="1">
      <c r="A3374" s="4" t="s">
        <v>123</v>
      </c>
      <c r="B3374" s="1">
        <v>4</v>
      </c>
      <c r="C3374" s="1">
        <v>64</v>
      </c>
      <c r="D3374" s="1" t="s">
        <v>37</v>
      </c>
      <c r="E3374" s="1" t="s">
        <v>8</v>
      </c>
      <c r="F3374" s="1">
        <f t="shared" si="113"/>
        <v>400</v>
      </c>
      <c r="G3374" s="5">
        <f t="shared" si="112"/>
        <v>0.16</v>
      </c>
    </row>
    <row r="3375" spans="1:7" ht="15.75" customHeight="1">
      <c r="A3375" s="4" t="s">
        <v>123</v>
      </c>
      <c r="B3375" s="1">
        <v>6.09</v>
      </c>
      <c r="C3375" s="1">
        <v>135</v>
      </c>
      <c r="D3375" s="1" t="s">
        <v>11</v>
      </c>
      <c r="E3375" s="1" t="s">
        <v>7</v>
      </c>
      <c r="F3375" s="1">
        <f t="shared" si="113"/>
        <v>609</v>
      </c>
      <c r="G3375" s="5">
        <f t="shared" si="112"/>
        <v>0.22167487684729065</v>
      </c>
    </row>
    <row r="3376" spans="1:7" ht="15.75" customHeight="1">
      <c r="A3376" s="4" t="s">
        <v>123</v>
      </c>
      <c r="B3376" s="1">
        <v>9.57</v>
      </c>
      <c r="C3376" s="1">
        <v>177</v>
      </c>
      <c r="D3376" s="1" t="s">
        <v>11</v>
      </c>
      <c r="E3376" s="1" t="s">
        <v>7</v>
      </c>
      <c r="F3376" s="1">
        <f t="shared" si="113"/>
        <v>957</v>
      </c>
      <c r="G3376" s="5">
        <f t="shared" si="112"/>
        <v>0.18495297805642633</v>
      </c>
    </row>
    <row r="3377" spans="1:7" ht="15.75" customHeight="1">
      <c r="A3377" s="4" t="s">
        <v>123</v>
      </c>
      <c r="B3377" s="1">
        <v>10.199999999999999</v>
      </c>
      <c r="C3377" s="1">
        <v>168</v>
      </c>
      <c r="D3377" s="1" t="s">
        <v>38</v>
      </c>
      <c r="E3377" s="1" t="s">
        <v>7</v>
      </c>
      <c r="F3377" s="1">
        <f t="shared" si="113"/>
        <v>1019.9999999999999</v>
      </c>
      <c r="G3377" s="5">
        <f t="shared" si="112"/>
        <v>0.1647058823529412</v>
      </c>
    </row>
    <row r="3378" spans="1:7" ht="15.75" customHeight="1">
      <c r="A3378" s="4" t="s">
        <v>123</v>
      </c>
      <c r="B3378" s="1">
        <v>5.2</v>
      </c>
      <c r="C3378" s="1">
        <v>140</v>
      </c>
      <c r="D3378" s="1" t="s">
        <v>38</v>
      </c>
      <c r="E3378" s="1" t="s">
        <v>9</v>
      </c>
      <c r="F3378" s="1">
        <f t="shared" si="113"/>
        <v>520</v>
      </c>
      <c r="G3378" s="5">
        <f t="shared" si="112"/>
        <v>0.26923076923076922</v>
      </c>
    </row>
    <row r="3379" spans="1:7" ht="15.75" customHeight="1">
      <c r="A3379" s="4" t="s">
        <v>123</v>
      </c>
      <c r="B3379" s="1">
        <v>8.5</v>
      </c>
      <c r="C3379" s="1">
        <v>149</v>
      </c>
      <c r="D3379" s="1" t="s">
        <v>11</v>
      </c>
      <c r="E3379" s="1" t="s">
        <v>68</v>
      </c>
      <c r="F3379" s="1">
        <f t="shared" si="113"/>
        <v>850</v>
      </c>
      <c r="G3379" s="5">
        <f t="shared" si="112"/>
        <v>0.17529411764705882</v>
      </c>
    </row>
    <row r="3380" spans="1:7" ht="15.75" customHeight="1">
      <c r="A3380" s="4" t="s">
        <v>123</v>
      </c>
      <c r="B3380" s="1">
        <v>7.8</v>
      </c>
      <c r="C3380" s="1">
        <v>182</v>
      </c>
      <c r="D3380" s="1" t="s">
        <v>43</v>
      </c>
      <c r="E3380" s="1" t="s">
        <v>21</v>
      </c>
      <c r="F3380" s="1">
        <f t="shared" si="113"/>
        <v>780</v>
      </c>
      <c r="G3380" s="5">
        <f t="shared" si="112"/>
        <v>0.23333333333333334</v>
      </c>
    </row>
    <row r="3381" spans="1:7" ht="15.75" customHeight="1">
      <c r="A3381" s="4" t="s">
        <v>123</v>
      </c>
      <c r="B3381" s="1">
        <v>5.2</v>
      </c>
      <c r="C3381" s="1">
        <v>82</v>
      </c>
      <c r="D3381" s="1" t="s">
        <v>50</v>
      </c>
      <c r="E3381" s="1" t="s">
        <v>15</v>
      </c>
      <c r="F3381" s="1">
        <f t="shared" si="113"/>
        <v>520</v>
      </c>
      <c r="G3381" s="5">
        <f t="shared" si="112"/>
        <v>0.15769230769230769</v>
      </c>
    </row>
    <row r="3382" spans="1:7" ht="15.75" customHeight="1">
      <c r="A3382" s="4" t="s">
        <v>123</v>
      </c>
      <c r="B3382" s="1">
        <v>6.1</v>
      </c>
      <c r="C3382" s="1">
        <v>95</v>
      </c>
      <c r="D3382" s="1" t="s">
        <v>91</v>
      </c>
      <c r="E3382" s="1" t="s">
        <v>15</v>
      </c>
      <c r="F3382" s="1">
        <f t="shared" si="113"/>
        <v>610</v>
      </c>
      <c r="G3382" s="5">
        <f t="shared" si="112"/>
        <v>0.15573770491803279</v>
      </c>
    </row>
    <row r="3383" spans="1:7" ht="15.75" customHeight="1">
      <c r="A3383" s="4" t="s">
        <v>123</v>
      </c>
      <c r="B3383" s="1">
        <v>6.3</v>
      </c>
      <c r="C3383" s="1">
        <v>117</v>
      </c>
      <c r="D3383" s="1" t="s">
        <v>11</v>
      </c>
      <c r="E3383" s="1" t="s">
        <v>23</v>
      </c>
      <c r="F3383" s="1">
        <f t="shared" si="113"/>
        <v>630</v>
      </c>
      <c r="G3383" s="5">
        <f t="shared" si="112"/>
        <v>0.18571428571428572</v>
      </c>
    </row>
    <row r="3384" spans="1:7" ht="15.75" customHeight="1">
      <c r="A3384" s="4" t="s">
        <v>123</v>
      </c>
      <c r="B3384" s="1">
        <v>8.6999999999999993</v>
      </c>
      <c r="C3384" s="1">
        <v>165</v>
      </c>
      <c r="D3384" s="1" t="s">
        <v>11</v>
      </c>
      <c r="E3384" s="1" t="s">
        <v>9</v>
      </c>
      <c r="F3384" s="1">
        <f t="shared" si="113"/>
        <v>869.99999999999989</v>
      </c>
      <c r="G3384" s="5">
        <f t="shared" si="112"/>
        <v>0.18965517241379312</v>
      </c>
    </row>
    <row r="3385" spans="1:7" ht="15.75" customHeight="1">
      <c r="A3385" s="4" t="s">
        <v>123</v>
      </c>
      <c r="B3385" s="1">
        <v>3.4</v>
      </c>
      <c r="C3385" s="1">
        <v>70</v>
      </c>
      <c r="D3385" s="1" t="s">
        <v>11</v>
      </c>
      <c r="E3385" s="1" t="s">
        <v>19</v>
      </c>
      <c r="F3385" s="1">
        <f t="shared" si="113"/>
        <v>340</v>
      </c>
      <c r="G3385" s="5">
        <f t="shared" ref="G3385:G3448" si="114">C3385/F3385</f>
        <v>0.20588235294117646</v>
      </c>
    </row>
    <row r="3386" spans="1:7" ht="15.75" customHeight="1">
      <c r="A3386" s="4" t="s">
        <v>123</v>
      </c>
      <c r="B3386" s="1">
        <v>7.3</v>
      </c>
      <c r="C3386" s="1">
        <v>142</v>
      </c>
      <c r="D3386" s="1" t="s">
        <v>47</v>
      </c>
      <c r="E3386" s="1" t="s">
        <v>28</v>
      </c>
      <c r="F3386" s="1">
        <f t="shared" si="113"/>
        <v>730</v>
      </c>
      <c r="G3386" s="5">
        <f t="shared" si="114"/>
        <v>0.19452054794520549</v>
      </c>
    </row>
    <row r="3387" spans="1:7" ht="15.75" customHeight="1">
      <c r="A3387" s="4" t="s">
        <v>123</v>
      </c>
      <c r="B3387" s="1">
        <v>7</v>
      </c>
      <c r="C3387" s="1">
        <v>82</v>
      </c>
      <c r="D3387" s="1" t="s">
        <v>43</v>
      </c>
      <c r="E3387" s="1" t="s">
        <v>22</v>
      </c>
      <c r="F3387" s="1">
        <f t="shared" si="113"/>
        <v>700</v>
      </c>
      <c r="G3387" s="5">
        <f t="shared" si="114"/>
        <v>0.11714285714285715</v>
      </c>
    </row>
    <row r="3388" spans="1:7" ht="15.75" customHeight="1">
      <c r="A3388" s="4" t="s">
        <v>123</v>
      </c>
      <c r="B3388" s="1">
        <v>7.6</v>
      </c>
      <c r="C3388" s="1">
        <v>35</v>
      </c>
      <c r="D3388" s="1" t="s">
        <v>33</v>
      </c>
      <c r="E3388" s="1" t="s">
        <v>17</v>
      </c>
      <c r="F3388" s="1">
        <f t="shared" si="113"/>
        <v>760</v>
      </c>
      <c r="G3388" s="5">
        <f t="shared" si="114"/>
        <v>4.6052631578947366E-2</v>
      </c>
    </row>
    <row r="3389" spans="1:7" ht="15.75" customHeight="1">
      <c r="A3389" s="4" t="s">
        <v>123</v>
      </c>
      <c r="B3389" s="1">
        <v>7.2</v>
      </c>
      <c r="C3389" s="1">
        <v>80</v>
      </c>
      <c r="D3389" s="1" t="s">
        <v>33</v>
      </c>
      <c r="E3389" s="1" t="s">
        <v>25</v>
      </c>
      <c r="F3389" s="1">
        <f t="shared" si="113"/>
        <v>720</v>
      </c>
      <c r="G3389" s="5">
        <f t="shared" si="114"/>
        <v>0.1111111111111111</v>
      </c>
    </row>
    <row r="3390" spans="1:7" ht="15.75" customHeight="1">
      <c r="A3390" s="4" t="s">
        <v>123</v>
      </c>
      <c r="B3390" s="1">
        <v>7.6</v>
      </c>
      <c r="C3390" s="1">
        <v>100</v>
      </c>
      <c r="D3390" s="1" t="s">
        <v>11</v>
      </c>
      <c r="E3390" s="1" t="s">
        <v>28</v>
      </c>
      <c r="F3390" s="1">
        <f t="shared" si="113"/>
        <v>760</v>
      </c>
      <c r="G3390" s="5">
        <f t="shared" si="114"/>
        <v>0.13157894736842105</v>
      </c>
    </row>
    <row r="3391" spans="1:7" ht="15.75" customHeight="1">
      <c r="A3391" s="4" t="s">
        <v>123</v>
      </c>
      <c r="B3391" s="1">
        <v>8.6999999999999993</v>
      </c>
      <c r="C3391" s="1">
        <v>247</v>
      </c>
      <c r="D3391" s="1" t="s">
        <v>11</v>
      </c>
      <c r="E3391" s="1" t="s">
        <v>10</v>
      </c>
      <c r="F3391" s="1">
        <f t="shared" si="113"/>
        <v>869.99999999999989</v>
      </c>
      <c r="G3391" s="5">
        <f t="shared" si="114"/>
        <v>0.28390804597701153</v>
      </c>
    </row>
    <row r="3392" spans="1:7" ht="15.75" customHeight="1">
      <c r="A3392" s="4" t="s">
        <v>123</v>
      </c>
      <c r="B3392" s="1">
        <v>4</v>
      </c>
      <c r="C3392" s="1">
        <v>40</v>
      </c>
      <c r="D3392" s="1" t="s">
        <v>43</v>
      </c>
      <c r="E3392" s="1" t="s">
        <v>20</v>
      </c>
      <c r="F3392" s="1">
        <f t="shared" si="113"/>
        <v>400</v>
      </c>
      <c r="G3392" s="5">
        <f t="shared" si="114"/>
        <v>0.1</v>
      </c>
    </row>
    <row r="3393" spans="1:7" ht="15.75" customHeight="1">
      <c r="A3393" s="4" t="s">
        <v>123</v>
      </c>
      <c r="B3393" s="1">
        <v>4.2</v>
      </c>
      <c r="C3393" s="1">
        <v>108</v>
      </c>
      <c r="D3393" s="1" t="s">
        <v>11</v>
      </c>
      <c r="E3393" s="1" t="s">
        <v>15</v>
      </c>
      <c r="F3393" s="1">
        <f t="shared" si="113"/>
        <v>420</v>
      </c>
      <c r="G3393" s="5">
        <f t="shared" si="114"/>
        <v>0.25714285714285712</v>
      </c>
    </row>
    <row r="3394" spans="1:7" ht="15.75" customHeight="1">
      <c r="A3394" s="4" t="s">
        <v>123</v>
      </c>
      <c r="B3394" s="1">
        <v>2.87</v>
      </c>
      <c r="C3394" s="1">
        <v>47</v>
      </c>
      <c r="D3394" s="1" t="s">
        <v>11</v>
      </c>
      <c r="E3394" s="1" t="s">
        <v>8</v>
      </c>
      <c r="F3394" s="1">
        <f t="shared" si="113"/>
        <v>287</v>
      </c>
      <c r="G3394" s="5">
        <f t="shared" si="114"/>
        <v>0.16376306620209058</v>
      </c>
    </row>
    <row r="3395" spans="1:7" ht="15.75" customHeight="1">
      <c r="A3395" s="4" t="s">
        <v>123</v>
      </c>
      <c r="B3395" s="1">
        <v>5</v>
      </c>
      <c r="C3395" s="1">
        <v>178</v>
      </c>
      <c r="D3395" s="1" t="s">
        <v>39</v>
      </c>
      <c r="E3395" s="1" t="s">
        <v>22</v>
      </c>
      <c r="F3395" s="1">
        <f t="shared" ref="F3395:F3458" si="115">B3395*100</f>
        <v>500</v>
      </c>
      <c r="G3395" s="5">
        <f t="shared" si="114"/>
        <v>0.35599999999999998</v>
      </c>
    </row>
    <row r="3396" spans="1:7" ht="15.75" customHeight="1">
      <c r="A3396" s="4" t="s">
        <v>123</v>
      </c>
      <c r="B3396" s="1">
        <v>7.4</v>
      </c>
      <c r="C3396" s="1">
        <v>130</v>
      </c>
      <c r="D3396" s="1" t="s">
        <v>11</v>
      </c>
      <c r="E3396" s="1" t="s">
        <v>21</v>
      </c>
      <c r="F3396" s="1">
        <f t="shared" si="115"/>
        <v>740</v>
      </c>
      <c r="G3396" s="5">
        <f t="shared" si="114"/>
        <v>0.17567567567567569</v>
      </c>
    </row>
    <row r="3397" spans="1:7" ht="15.75" customHeight="1">
      <c r="A3397" s="4" t="s">
        <v>123</v>
      </c>
      <c r="B3397" s="1">
        <v>6</v>
      </c>
      <c r="C3397" s="1">
        <v>81</v>
      </c>
      <c r="D3397" s="1" t="s">
        <v>43</v>
      </c>
      <c r="E3397" s="1" t="s">
        <v>19</v>
      </c>
      <c r="F3397" s="1">
        <f t="shared" si="115"/>
        <v>600</v>
      </c>
      <c r="G3397" s="5">
        <f t="shared" si="114"/>
        <v>0.13500000000000001</v>
      </c>
    </row>
    <row r="3398" spans="1:7" ht="15.75" customHeight="1">
      <c r="A3398" s="4" t="s">
        <v>123</v>
      </c>
      <c r="B3398" s="1">
        <v>6.83</v>
      </c>
      <c r="C3398" s="1">
        <v>200</v>
      </c>
      <c r="D3398" s="1" t="s">
        <v>47</v>
      </c>
      <c r="E3398" s="1" t="s">
        <v>8</v>
      </c>
      <c r="F3398" s="1">
        <f t="shared" si="115"/>
        <v>683</v>
      </c>
      <c r="G3398" s="5">
        <f t="shared" si="114"/>
        <v>0.29282576866764276</v>
      </c>
    </row>
    <row r="3399" spans="1:7" ht="15.75" customHeight="1">
      <c r="A3399" s="4" t="s">
        <v>123</v>
      </c>
      <c r="B3399" s="1">
        <v>8.8000000000000007</v>
      </c>
      <c r="C3399" s="1">
        <v>99</v>
      </c>
      <c r="D3399" s="1" t="s">
        <v>11</v>
      </c>
      <c r="E3399" s="1" t="s">
        <v>9</v>
      </c>
      <c r="F3399" s="1">
        <f t="shared" si="115"/>
        <v>880.00000000000011</v>
      </c>
      <c r="G3399" s="5">
        <f t="shared" si="114"/>
        <v>0.11249999999999999</v>
      </c>
    </row>
    <row r="3400" spans="1:7" ht="15.75" customHeight="1">
      <c r="A3400" s="4" t="s">
        <v>123</v>
      </c>
      <c r="B3400" s="1">
        <v>4.4000000000000004</v>
      </c>
      <c r="C3400" s="1">
        <v>106</v>
      </c>
      <c r="D3400" s="1" t="s">
        <v>11</v>
      </c>
      <c r="E3400" s="1" t="s">
        <v>15</v>
      </c>
      <c r="F3400" s="1">
        <f t="shared" si="115"/>
        <v>440.00000000000006</v>
      </c>
      <c r="G3400" s="5">
        <f t="shared" si="114"/>
        <v>0.24090909090909088</v>
      </c>
    </row>
    <row r="3401" spans="1:7" ht="15.75" customHeight="1">
      <c r="A3401" s="4" t="s">
        <v>123</v>
      </c>
      <c r="B3401" s="1">
        <v>6.22</v>
      </c>
      <c r="C3401" s="1">
        <v>125</v>
      </c>
      <c r="D3401" s="1" t="s">
        <v>11</v>
      </c>
      <c r="E3401" s="1" t="s">
        <v>16</v>
      </c>
      <c r="F3401" s="1">
        <f t="shared" si="115"/>
        <v>622</v>
      </c>
      <c r="G3401" s="5">
        <f t="shared" si="114"/>
        <v>0.20096463022508038</v>
      </c>
    </row>
    <row r="3402" spans="1:7" ht="15.75" customHeight="1">
      <c r="A3402" s="4" t="s">
        <v>123</v>
      </c>
      <c r="B3402" s="1">
        <v>5</v>
      </c>
      <c r="C3402" s="1">
        <v>44</v>
      </c>
      <c r="D3402" s="1" t="s">
        <v>33</v>
      </c>
      <c r="E3402" s="1" t="s">
        <v>32</v>
      </c>
      <c r="F3402" s="1">
        <f t="shared" si="115"/>
        <v>500</v>
      </c>
      <c r="G3402" s="5">
        <f t="shared" si="114"/>
        <v>8.7999999999999995E-2</v>
      </c>
    </row>
    <row r="3403" spans="1:7" ht="15.75" customHeight="1">
      <c r="A3403" s="4" t="s">
        <v>123</v>
      </c>
      <c r="B3403" s="1">
        <v>5.2</v>
      </c>
      <c r="C3403" s="1">
        <v>158</v>
      </c>
      <c r="D3403" s="1" t="s">
        <v>11</v>
      </c>
      <c r="E3403" s="1" t="s">
        <v>81</v>
      </c>
      <c r="F3403" s="1">
        <f t="shared" si="115"/>
        <v>520</v>
      </c>
      <c r="G3403" s="5">
        <f t="shared" si="114"/>
        <v>0.30384615384615382</v>
      </c>
    </row>
    <row r="3404" spans="1:7" ht="15.75" customHeight="1">
      <c r="A3404" s="4" t="s">
        <v>123</v>
      </c>
      <c r="B3404" s="1">
        <v>5.2</v>
      </c>
      <c r="C3404" s="1">
        <v>72</v>
      </c>
      <c r="D3404" s="1" t="s">
        <v>60</v>
      </c>
      <c r="E3404" s="1" t="s">
        <v>24</v>
      </c>
      <c r="F3404" s="1">
        <f t="shared" si="115"/>
        <v>520</v>
      </c>
      <c r="G3404" s="5">
        <f t="shared" si="114"/>
        <v>0.13846153846153847</v>
      </c>
    </row>
    <row r="3405" spans="1:7" ht="15.75" customHeight="1">
      <c r="A3405" s="4" t="s">
        <v>123</v>
      </c>
      <c r="B3405" s="1">
        <v>7.92</v>
      </c>
      <c r="C3405" s="1">
        <v>242</v>
      </c>
      <c r="D3405" s="1" t="s">
        <v>11</v>
      </c>
      <c r="E3405" s="1" t="s">
        <v>9</v>
      </c>
      <c r="F3405" s="1">
        <f t="shared" si="115"/>
        <v>792</v>
      </c>
      <c r="G3405" s="5">
        <f t="shared" si="114"/>
        <v>0.30555555555555558</v>
      </c>
    </row>
    <row r="3406" spans="1:7" ht="15.75" customHeight="1">
      <c r="A3406" s="4" t="s">
        <v>123</v>
      </c>
      <c r="B3406" s="1">
        <v>6.7</v>
      </c>
      <c r="C3406" s="1">
        <v>126</v>
      </c>
      <c r="D3406" s="1" t="s">
        <v>11</v>
      </c>
      <c r="E3406" s="1" t="s">
        <v>17</v>
      </c>
      <c r="F3406" s="1">
        <f t="shared" si="115"/>
        <v>670</v>
      </c>
      <c r="G3406" s="5">
        <f t="shared" si="114"/>
        <v>0.18805970149253731</v>
      </c>
    </row>
    <row r="3407" spans="1:7" ht="15.75" customHeight="1">
      <c r="A3407" s="4" t="s">
        <v>123</v>
      </c>
      <c r="B3407" s="1">
        <v>3.2</v>
      </c>
      <c r="C3407" s="1">
        <v>30.46</v>
      </c>
      <c r="D3407" s="1" t="s">
        <v>39</v>
      </c>
      <c r="E3407" s="1" t="s">
        <v>27</v>
      </c>
      <c r="F3407" s="1">
        <f t="shared" si="115"/>
        <v>320</v>
      </c>
      <c r="G3407" s="5">
        <f t="shared" si="114"/>
        <v>9.5187500000000008E-2</v>
      </c>
    </row>
    <row r="3408" spans="1:7" ht="15.75" customHeight="1">
      <c r="A3408" s="4" t="s">
        <v>123</v>
      </c>
      <c r="B3408" s="1">
        <v>5.66</v>
      </c>
      <c r="C3408" s="1">
        <v>73</v>
      </c>
      <c r="D3408" s="1" t="s">
        <v>33</v>
      </c>
      <c r="E3408" s="1" t="s">
        <v>8</v>
      </c>
      <c r="F3408" s="1">
        <f t="shared" si="115"/>
        <v>566</v>
      </c>
      <c r="G3408" s="5">
        <f t="shared" si="114"/>
        <v>0.12897526501766785</v>
      </c>
    </row>
    <row r="3409" spans="1:7" ht="15.75" customHeight="1">
      <c r="A3409" s="4" t="s">
        <v>123</v>
      </c>
      <c r="B3409" s="1">
        <v>4.8</v>
      </c>
      <c r="C3409" s="1">
        <v>88</v>
      </c>
      <c r="D3409" s="1" t="s">
        <v>11</v>
      </c>
      <c r="E3409" s="1" t="s">
        <v>22</v>
      </c>
      <c r="F3409" s="1">
        <f t="shared" si="115"/>
        <v>480</v>
      </c>
      <c r="G3409" s="5">
        <f t="shared" si="114"/>
        <v>0.18333333333333332</v>
      </c>
    </row>
    <row r="3410" spans="1:7" ht="15.75" customHeight="1">
      <c r="A3410" s="4" t="s">
        <v>123</v>
      </c>
      <c r="B3410" s="1">
        <v>3.91</v>
      </c>
      <c r="C3410" s="1">
        <v>38</v>
      </c>
      <c r="D3410" s="1" t="s">
        <v>40</v>
      </c>
      <c r="E3410" s="1" t="s">
        <v>30</v>
      </c>
      <c r="F3410" s="1">
        <f t="shared" si="115"/>
        <v>391</v>
      </c>
      <c r="G3410" s="5">
        <f t="shared" si="114"/>
        <v>9.718670076726342E-2</v>
      </c>
    </row>
    <row r="3411" spans="1:7" ht="15.75" customHeight="1">
      <c r="A3411" s="4" t="s">
        <v>123</v>
      </c>
      <c r="B3411" s="1">
        <v>4</v>
      </c>
      <c r="C3411" s="1">
        <v>62</v>
      </c>
      <c r="D3411" s="1" t="s">
        <v>44</v>
      </c>
      <c r="E3411" s="1" t="s">
        <v>21</v>
      </c>
      <c r="F3411" s="1">
        <f t="shared" si="115"/>
        <v>400</v>
      </c>
      <c r="G3411" s="5">
        <f t="shared" si="114"/>
        <v>0.155</v>
      </c>
    </row>
    <row r="3412" spans="1:7" ht="15.75" customHeight="1">
      <c r="A3412" s="4" t="s">
        <v>123</v>
      </c>
      <c r="B3412" s="1">
        <v>5</v>
      </c>
      <c r="C3412" s="1">
        <v>70</v>
      </c>
      <c r="D3412" s="1" t="s">
        <v>11</v>
      </c>
      <c r="E3412" s="1" t="s">
        <v>14</v>
      </c>
      <c r="F3412" s="1">
        <f t="shared" si="115"/>
        <v>500</v>
      </c>
      <c r="G3412" s="5">
        <f t="shared" si="114"/>
        <v>0.14000000000000001</v>
      </c>
    </row>
    <row r="3413" spans="1:7" ht="15.75" customHeight="1">
      <c r="A3413" s="4" t="s">
        <v>123</v>
      </c>
      <c r="B3413" s="1">
        <v>8.5</v>
      </c>
      <c r="C3413" s="1">
        <v>70</v>
      </c>
      <c r="D3413" s="1" t="s">
        <v>33</v>
      </c>
      <c r="E3413" s="1" t="s">
        <v>46</v>
      </c>
      <c r="F3413" s="1">
        <f t="shared" si="115"/>
        <v>850</v>
      </c>
      <c r="G3413" s="5">
        <f t="shared" si="114"/>
        <v>8.2352941176470587E-2</v>
      </c>
    </row>
    <row r="3414" spans="1:7" ht="15.75" customHeight="1">
      <c r="A3414" s="4" t="s">
        <v>123</v>
      </c>
      <c r="B3414" s="1">
        <v>6.09</v>
      </c>
      <c r="C3414" s="1">
        <v>153</v>
      </c>
      <c r="D3414" s="1" t="s">
        <v>11</v>
      </c>
      <c r="E3414" s="1" t="s">
        <v>30</v>
      </c>
      <c r="F3414" s="1">
        <f t="shared" si="115"/>
        <v>609</v>
      </c>
      <c r="G3414" s="5">
        <f t="shared" si="114"/>
        <v>0.25123152709359609</v>
      </c>
    </row>
    <row r="3415" spans="1:7" ht="15.75" customHeight="1">
      <c r="A3415" s="4" t="s">
        <v>123</v>
      </c>
      <c r="B3415" s="1">
        <v>6.96</v>
      </c>
      <c r="C3415" s="1">
        <v>61</v>
      </c>
      <c r="D3415" s="1" t="s">
        <v>11</v>
      </c>
      <c r="E3415" s="1" t="s">
        <v>18</v>
      </c>
      <c r="F3415" s="1">
        <f t="shared" si="115"/>
        <v>696</v>
      </c>
      <c r="G3415" s="5">
        <f t="shared" si="114"/>
        <v>8.7643678160919544E-2</v>
      </c>
    </row>
    <row r="3416" spans="1:7" ht="15.75" customHeight="1">
      <c r="A3416" s="4" t="s">
        <v>123</v>
      </c>
      <c r="B3416" s="1">
        <v>8.6999999999999993</v>
      </c>
      <c r="C3416" s="1">
        <v>6</v>
      </c>
      <c r="D3416" s="1" t="s">
        <v>33</v>
      </c>
      <c r="E3416" s="1" t="s">
        <v>8</v>
      </c>
      <c r="F3416" s="1">
        <f t="shared" si="115"/>
        <v>869.99999999999989</v>
      </c>
      <c r="G3416" s="5">
        <f t="shared" si="114"/>
        <v>6.8965517241379318E-3</v>
      </c>
    </row>
    <row r="3417" spans="1:7" ht="15.75" customHeight="1">
      <c r="A3417" s="4" t="s">
        <v>123</v>
      </c>
      <c r="B3417" s="1">
        <v>8.6999999999999993</v>
      </c>
      <c r="C3417" s="1">
        <v>170</v>
      </c>
      <c r="D3417" s="1" t="s">
        <v>11</v>
      </c>
      <c r="E3417" s="1" t="s">
        <v>24</v>
      </c>
      <c r="F3417" s="1">
        <f t="shared" si="115"/>
        <v>869.99999999999989</v>
      </c>
      <c r="G3417" s="5">
        <f t="shared" si="114"/>
        <v>0.19540229885057475</v>
      </c>
    </row>
    <row r="3418" spans="1:7" ht="15.75" customHeight="1">
      <c r="A3418" s="4" t="s">
        <v>123</v>
      </c>
      <c r="B3418" s="1">
        <v>8.3000000000000007</v>
      </c>
      <c r="C3418" s="1">
        <v>215</v>
      </c>
      <c r="D3418" s="1" t="s">
        <v>11</v>
      </c>
      <c r="E3418" s="1" t="s">
        <v>25</v>
      </c>
      <c r="F3418" s="1">
        <f t="shared" si="115"/>
        <v>830.00000000000011</v>
      </c>
      <c r="G3418" s="5">
        <f t="shared" si="114"/>
        <v>0.2590361445783132</v>
      </c>
    </row>
    <row r="3419" spans="1:7" ht="15.75" customHeight="1">
      <c r="A3419" s="4" t="s">
        <v>123</v>
      </c>
      <c r="B3419" s="1">
        <v>8.6999999999999993</v>
      </c>
      <c r="C3419" s="1">
        <v>108</v>
      </c>
      <c r="D3419" s="1" t="s">
        <v>58</v>
      </c>
      <c r="E3419" s="1" t="s">
        <v>20</v>
      </c>
      <c r="F3419" s="1">
        <f t="shared" si="115"/>
        <v>869.99999999999989</v>
      </c>
      <c r="G3419" s="5">
        <f t="shared" si="114"/>
        <v>0.12413793103448277</v>
      </c>
    </row>
    <row r="3420" spans="1:7" ht="15.75" customHeight="1">
      <c r="A3420" s="4" t="s">
        <v>123</v>
      </c>
      <c r="B3420" s="1">
        <v>6</v>
      </c>
      <c r="C3420" s="1">
        <v>85</v>
      </c>
      <c r="D3420" s="1" t="s">
        <v>11</v>
      </c>
      <c r="E3420" s="1" t="s">
        <v>12</v>
      </c>
      <c r="F3420" s="1">
        <f t="shared" si="115"/>
        <v>600</v>
      </c>
      <c r="G3420" s="5">
        <f t="shared" si="114"/>
        <v>0.14166666666666666</v>
      </c>
    </row>
    <row r="3421" spans="1:7" ht="15.75" customHeight="1">
      <c r="A3421" s="4" t="s">
        <v>123</v>
      </c>
      <c r="B3421" s="1">
        <v>9.1999999999999993</v>
      </c>
      <c r="C3421" s="1">
        <v>14</v>
      </c>
      <c r="D3421" s="1" t="s">
        <v>33</v>
      </c>
      <c r="E3421" s="1" t="s">
        <v>20</v>
      </c>
      <c r="F3421" s="1">
        <f t="shared" si="115"/>
        <v>919.99999999999989</v>
      </c>
      <c r="G3421" s="5">
        <f t="shared" si="114"/>
        <v>1.5217391304347828E-2</v>
      </c>
    </row>
    <row r="3422" spans="1:7" ht="15.75" customHeight="1">
      <c r="A3422" s="4" t="s">
        <v>123</v>
      </c>
      <c r="B3422" s="1">
        <v>6.72</v>
      </c>
      <c r="C3422" s="1">
        <v>132</v>
      </c>
      <c r="D3422" s="1" t="s">
        <v>11</v>
      </c>
      <c r="E3422" s="1" t="s">
        <v>15</v>
      </c>
      <c r="F3422" s="1">
        <f t="shared" si="115"/>
        <v>672</v>
      </c>
      <c r="G3422" s="5">
        <f t="shared" si="114"/>
        <v>0.19642857142857142</v>
      </c>
    </row>
    <row r="3423" spans="1:7" ht="15.75" customHeight="1">
      <c r="A3423" s="4" t="s">
        <v>123</v>
      </c>
      <c r="B3423" s="1">
        <v>3.44</v>
      </c>
      <c r="C3423" s="1">
        <v>64</v>
      </c>
      <c r="D3423" s="1" t="s">
        <v>11</v>
      </c>
      <c r="E3423" s="1" t="s">
        <v>9</v>
      </c>
      <c r="F3423" s="1">
        <f t="shared" si="115"/>
        <v>344</v>
      </c>
      <c r="G3423" s="5">
        <f t="shared" si="114"/>
        <v>0.18604651162790697</v>
      </c>
    </row>
    <row r="3424" spans="1:7" ht="15.75" customHeight="1">
      <c r="A3424" s="4" t="s">
        <v>123</v>
      </c>
      <c r="B3424" s="1">
        <v>6.4</v>
      </c>
      <c r="C3424" s="1">
        <v>70.900000000000006</v>
      </c>
      <c r="D3424" s="1" t="s">
        <v>33</v>
      </c>
      <c r="E3424" s="1" t="s">
        <v>15</v>
      </c>
      <c r="F3424" s="1">
        <f t="shared" si="115"/>
        <v>640</v>
      </c>
      <c r="G3424" s="5">
        <f t="shared" si="114"/>
        <v>0.11078125000000001</v>
      </c>
    </row>
    <row r="3425" spans="1:7" ht="15.75" customHeight="1">
      <c r="A3425" s="4" t="s">
        <v>123</v>
      </c>
      <c r="B3425" s="1">
        <v>10.1</v>
      </c>
      <c r="C3425" s="1">
        <v>152</v>
      </c>
      <c r="D3425" s="1" t="s">
        <v>47</v>
      </c>
      <c r="E3425" s="1" t="s">
        <v>17</v>
      </c>
      <c r="F3425" s="1">
        <f t="shared" si="115"/>
        <v>1010</v>
      </c>
      <c r="G3425" s="5">
        <f t="shared" si="114"/>
        <v>0.15049504950495049</v>
      </c>
    </row>
    <row r="3426" spans="1:7" ht="15.75" customHeight="1">
      <c r="A3426" s="4" t="s">
        <v>123</v>
      </c>
      <c r="B3426" s="1">
        <v>5.88</v>
      </c>
      <c r="C3426" s="1">
        <v>69</v>
      </c>
      <c r="D3426" s="1" t="s">
        <v>39</v>
      </c>
      <c r="E3426" s="1" t="s">
        <v>19</v>
      </c>
      <c r="F3426" s="1">
        <f t="shared" si="115"/>
        <v>588</v>
      </c>
      <c r="G3426" s="5">
        <f t="shared" si="114"/>
        <v>0.11734693877551021</v>
      </c>
    </row>
    <row r="3427" spans="1:7" ht="15.75" customHeight="1">
      <c r="A3427" s="4" t="s">
        <v>123</v>
      </c>
      <c r="B3427" s="1">
        <v>4</v>
      </c>
      <c r="C3427" s="1">
        <v>54</v>
      </c>
      <c r="D3427" s="1" t="s">
        <v>11</v>
      </c>
      <c r="E3427" s="1" t="s">
        <v>14</v>
      </c>
      <c r="F3427" s="1">
        <f t="shared" si="115"/>
        <v>400</v>
      </c>
      <c r="G3427" s="5">
        <f t="shared" si="114"/>
        <v>0.13500000000000001</v>
      </c>
    </row>
    <row r="3428" spans="1:7" ht="15.75" customHeight="1">
      <c r="A3428" s="4" t="s">
        <v>123</v>
      </c>
      <c r="B3428" s="1">
        <v>9.6</v>
      </c>
      <c r="C3428" s="1">
        <v>0.38</v>
      </c>
      <c r="D3428" s="1" t="s">
        <v>11</v>
      </c>
      <c r="E3428" s="1" t="s">
        <v>29</v>
      </c>
      <c r="F3428" s="1">
        <f t="shared" si="115"/>
        <v>960</v>
      </c>
      <c r="G3428" s="5">
        <f t="shared" si="114"/>
        <v>3.9583333333333332E-4</v>
      </c>
    </row>
    <row r="3429" spans="1:7" ht="15.75" customHeight="1">
      <c r="A3429" s="4" t="s">
        <v>123</v>
      </c>
      <c r="B3429" s="1">
        <v>7.83</v>
      </c>
      <c r="C3429" s="1">
        <v>133</v>
      </c>
      <c r="D3429" s="1" t="s">
        <v>11</v>
      </c>
      <c r="E3429" s="1" t="s">
        <v>26</v>
      </c>
      <c r="F3429" s="1">
        <f t="shared" si="115"/>
        <v>783</v>
      </c>
      <c r="G3429" s="5">
        <f t="shared" si="114"/>
        <v>0.16985951468710089</v>
      </c>
    </row>
    <row r="3430" spans="1:7" ht="15.75" customHeight="1">
      <c r="A3430" s="4" t="s">
        <v>123</v>
      </c>
      <c r="B3430" s="1">
        <v>5.2</v>
      </c>
      <c r="C3430" s="1">
        <v>126</v>
      </c>
      <c r="D3430" s="1" t="s">
        <v>11</v>
      </c>
      <c r="E3430" s="1" t="s">
        <v>21</v>
      </c>
      <c r="F3430" s="1">
        <f t="shared" si="115"/>
        <v>520</v>
      </c>
      <c r="G3430" s="5">
        <f t="shared" si="114"/>
        <v>0.24230769230769231</v>
      </c>
    </row>
    <row r="3431" spans="1:7" ht="15.75" customHeight="1">
      <c r="A3431" s="4" t="s">
        <v>123</v>
      </c>
      <c r="B3431" s="1">
        <v>7.76</v>
      </c>
      <c r="C3431" s="1">
        <v>114</v>
      </c>
      <c r="D3431" s="1" t="s">
        <v>11</v>
      </c>
      <c r="E3431" s="1" t="s">
        <v>16</v>
      </c>
      <c r="F3431" s="1">
        <f t="shared" si="115"/>
        <v>776</v>
      </c>
      <c r="G3431" s="5">
        <f t="shared" si="114"/>
        <v>0.14690721649484537</v>
      </c>
    </row>
    <row r="3432" spans="1:7" ht="15.75" customHeight="1">
      <c r="A3432" s="4" t="s">
        <v>123</v>
      </c>
      <c r="B3432" s="1">
        <v>4.5</v>
      </c>
      <c r="C3432" s="1">
        <v>50</v>
      </c>
      <c r="D3432" s="1" t="s">
        <v>11</v>
      </c>
      <c r="E3432" s="1" t="s">
        <v>16</v>
      </c>
      <c r="F3432" s="1">
        <f t="shared" si="115"/>
        <v>450</v>
      </c>
      <c r="G3432" s="5">
        <f t="shared" si="114"/>
        <v>0.1111111111111111</v>
      </c>
    </row>
    <row r="3433" spans="1:7" ht="15.75" customHeight="1">
      <c r="A3433" s="4" t="s">
        <v>123</v>
      </c>
      <c r="B3433" s="1">
        <v>6.88</v>
      </c>
      <c r="C3433" s="1">
        <v>137</v>
      </c>
      <c r="D3433" s="1" t="s">
        <v>11</v>
      </c>
      <c r="E3433" s="1" t="s">
        <v>8</v>
      </c>
      <c r="F3433" s="1">
        <f t="shared" si="115"/>
        <v>688</v>
      </c>
      <c r="G3433" s="5">
        <f t="shared" si="114"/>
        <v>0.19912790697674418</v>
      </c>
    </row>
    <row r="3434" spans="1:7" ht="15.75" customHeight="1">
      <c r="A3434" s="4" t="s">
        <v>123</v>
      </c>
      <c r="B3434" s="1">
        <v>6.09</v>
      </c>
      <c r="C3434" s="1">
        <v>120</v>
      </c>
      <c r="D3434" s="1" t="s">
        <v>80</v>
      </c>
      <c r="E3434" s="1" t="s">
        <v>15</v>
      </c>
      <c r="F3434" s="1">
        <f t="shared" si="115"/>
        <v>609</v>
      </c>
      <c r="G3434" s="5">
        <f t="shared" si="114"/>
        <v>0.19704433497536947</v>
      </c>
    </row>
    <row r="3435" spans="1:7" ht="15.75" customHeight="1">
      <c r="A3435" s="4" t="s">
        <v>123</v>
      </c>
      <c r="B3435" s="1">
        <v>7.6</v>
      </c>
      <c r="C3435" s="1">
        <v>140</v>
      </c>
      <c r="D3435" s="1" t="s">
        <v>11</v>
      </c>
      <c r="E3435" s="1" t="s">
        <v>16</v>
      </c>
      <c r="F3435" s="1">
        <f t="shared" si="115"/>
        <v>760</v>
      </c>
      <c r="G3435" s="5">
        <f t="shared" si="114"/>
        <v>0.18421052631578946</v>
      </c>
    </row>
    <row r="3436" spans="1:7" ht="15.75" customHeight="1">
      <c r="A3436" s="4" t="s">
        <v>123</v>
      </c>
      <c r="B3436" s="1">
        <v>7.1</v>
      </c>
      <c r="C3436" s="1">
        <v>103</v>
      </c>
      <c r="D3436" s="1" t="s">
        <v>39</v>
      </c>
      <c r="E3436" s="1" t="s">
        <v>21</v>
      </c>
      <c r="F3436" s="1">
        <f t="shared" si="115"/>
        <v>710</v>
      </c>
      <c r="G3436" s="5">
        <f t="shared" si="114"/>
        <v>0.14507042253521127</v>
      </c>
    </row>
    <row r="3437" spans="1:7" ht="15.75" customHeight="1">
      <c r="A3437" s="4" t="s">
        <v>123</v>
      </c>
      <c r="B3437" s="1">
        <v>6.88</v>
      </c>
      <c r="C3437" s="1">
        <v>82</v>
      </c>
      <c r="D3437" s="1" t="s">
        <v>53</v>
      </c>
      <c r="E3437" s="1" t="s">
        <v>16</v>
      </c>
      <c r="F3437" s="1">
        <f t="shared" si="115"/>
        <v>688</v>
      </c>
      <c r="G3437" s="5">
        <f t="shared" si="114"/>
        <v>0.11918604651162791</v>
      </c>
    </row>
    <row r="3438" spans="1:7" ht="15.75" customHeight="1">
      <c r="A3438" s="4" t="s">
        <v>123</v>
      </c>
      <c r="B3438" s="1">
        <v>6.2</v>
      </c>
      <c r="C3438" s="1">
        <v>194</v>
      </c>
      <c r="D3438" s="1" t="s">
        <v>38</v>
      </c>
      <c r="E3438" s="1" t="s">
        <v>10</v>
      </c>
      <c r="F3438" s="1">
        <f t="shared" si="115"/>
        <v>620</v>
      </c>
      <c r="G3438" s="5">
        <f t="shared" si="114"/>
        <v>0.31290322580645163</v>
      </c>
    </row>
    <row r="3439" spans="1:7" ht="15.75" customHeight="1">
      <c r="A3439" s="4" t="s">
        <v>123</v>
      </c>
      <c r="B3439" s="1">
        <v>8.1999999999999993</v>
      </c>
      <c r="C3439" s="1">
        <v>132</v>
      </c>
      <c r="D3439" s="1" t="s">
        <v>11</v>
      </c>
      <c r="E3439" s="1" t="s">
        <v>17</v>
      </c>
      <c r="F3439" s="1">
        <f t="shared" si="115"/>
        <v>819.99999999999989</v>
      </c>
      <c r="G3439" s="5">
        <f t="shared" si="114"/>
        <v>0.16097560975609759</v>
      </c>
    </row>
    <row r="3440" spans="1:7" ht="15.75" customHeight="1">
      <c r="A3440" s="4" t="s">
        <v>123</v>
      </c>
      <c r="B3440" s="1">
        <v>7.83</v>
      </c>
      <c r="C3440" s="1">
        <v>66</v>
      </c>
      <c r="D3440" s="1" t="s">
        <v>11</v>
      </c>
      <c r="E3440" s="1" t="s">
        <v>32</v>
      </c>
      <c r="F3440" s="1">
        <f t="shared" si="115"/>
        <v>783</v>
      </c>
      <c r="G3440" s="5">
        <f t="shared" si="114"/>
        <v>8.4291187739463605E-2</v>
      </c>
    </row>
    <row r="3441" spans="1:7" ht="15.75" customHeight="1">
      <c r="A3441" s="4" t="s">
        <v>123</v>
      </c>
      <c r="B3441" s="1">
        <v>5.76</v>
      </c>
      <c r="C3441" s="1">
        <v>57.9</v>
      </c>
      <c r="D3441" s="1" t="s">
        <v>45</v>
      </c>
      <c r="E3441" s="1" t="s">
        <v>14</v>
      </c>
      <c r="F3441" s="1">
        <f t="shared" si="115"/>
        <v>576</v>
      </c>
      <c r="G3441" s="5">
        <f t="shared" si="114"/>
        <v>0.10052083333333334</v>
      </c>
    </row>
    <row r="3442" spans="1:7" ht="15.75" customHeight="1">
      <c r="A3442" s="4" t="s">
        <v>123</v>
      </c>
      <c r="B3442" s="1">
        <v>7.92</v>
      </c>
      <c r="C3442" s="1">
        <v>82</v>
      </c>
      <c r="D3442" s="1" t="s">
        <v>43</v>
      </c>
      <c r="E3442" s="1" t="s">
        <v>19</v>
      </c>
      <c r="F3442" s="1">
        <f t="shared" si="115"/>
        <v>792</v>
      </c>
      <c r="G3442" s="5">
        <f t="shared" si="114"/>
        <v>0.10353535353535354</v>
      </c>
    </row>
    <row r="3443" spans="1:7" ht="15.75" customHeight="1">
      <c r="A3443" s="4" t="s">
        <v>123</v>
      </c>
      <c r="B3443" s="1">
        <v>4.5</v>
      </c>
      <c r="C3443" s="1">
        <v>85</v>
      </c>
      <c r="D3443" s="1" t="s">
        <v>11</v>
      </c>
      <c r="E3443" s="1" t="s">
        <v>22</v>
      </c>
      <c r="F3443" s="1">
        <f t="shared" si="115"/>
        <v>450</v>
      </c>
      <c r="G3443" s="5">
        <f t="shared" si="114"/>
        <v>0.18888888888888888</v>
      </c>
    </row>
    <row r="3444" spans="1:7" ht="15.75" customHeight="1">
      <c r="A3444" s="4" t="s">
        <v>123</v>
      </c>
      <c r="B3444" s="1">
        <v>7.56</v>
      </c>
      <c r="C3444" s="1">
        <v>90</v>
      </c>
      <c r="D3444" s="1" t="s">
        <v>33</v>
      </c>
      <c r="E3444" s="1" t="s">
        <v>31</v>
      </c>
      <c r="F3444" s="1">
        <f t="shared" si="115"/>
        <v>756</v>
      </c>
      <c r="G3444" s="5">
        <f t="shared" si="114"/>
        <v>0.11904761904761904</v>
      </c>
    </row>
    <row r="3445" spans="1:7" ht="15.75" customHeight="1">
      <c r="A3445" s="4" t="s">
        <v>123</v>
      </c>
      <c r="B3445" s="1">
        <v>5.12</v>
      </c>
      <c r="C3445" s="1">
        <v>139</v>
      </c>
      <c r="D3445" s="1" t="s">
        <v>11</v>
      </c>
      <c r="E3445" s="1" t="s">
        <v>9</v>
      </c>
      <c r="F3445" s="1">
        <f t="shared" si="115"/>
        <v>512</v>
      </c>
      <c r="G3445" s="5">
        <f t="shared" si="114"/>
        <v>0.271484375</v>
      </c>
    </row>
    <row r="3446" spans="1:7" ht="15.75" customHeight="1">
      <c r="A3446" s="4" t="s">
        <v>123</v>
      </c>
      <c r="B3446" s="1">
        <v>7.83</v>
      </c>
      <c r="C3446" s="1">
        <v>150.44</v>
      </c>
      <c r="D3446" s="1" t="s">
        <v>39</v>
      </c>
      <c r="E3446" s="1" t="s">
        <v>8</v>
      </c>
      <c r="F3446" s="1">
        <f t="shared" si="115"/>
        <v>783</v>
      </c>
      <c r="G3446" s="5">
        <f t="shared" si="114"/>
        <v>0.19213282247765007</v>
      </c>
    </row>
    <row r="3447" spans="1:7" ht="15.75" customHeight="1">
      <c r="A3447" s="4" t="s">
        <v>123</v>
      </c>
      <c r="B3447" s="1">
        <v>8</v>
      </c>
      <c r="C3447" s="1">
        <v>119</v>
      </c>
      <c r="D3447" s="1" t="s">
        <v>11</v>
      </c>
      <c r="E3447" s="1" t="s">
        <v>8</v>
      </c>
      <c r="F3447" s="1">
        <f t="shared" si="115"/>
        <v>800</v>
      </c>
      <c r="G3447" s="5">
        <f t="shared" si="114"/>
        <v>0.14874999999999999</v>
      </c>
    </row>
    <row r="3448" spans="1:7" ht="15.75" customHeight="1">
      <c r="A3448" s="4" t="s">
        <v>123</v>
      </c>
      <c r="B3448" s="1">
        <v>7.4</v>
      </c>
      <c r="C3448" s="1">
        <v>19</v>
      </c>
      <c r="D3448" s="1" t="s">
        <v>33</v>
      </c>
      <c r="E3448" s="1" t="s">
        <v>17</v>
      </c>
      <c r="F3448" s="1">
        <f t="shared" si="115"/>
        <v>740</v>
      </c>
      <c r="G3448" s="5">
        <f t="shared" si="114"/>
        <v>2.5675675675675677E-2</v>
      </c>
    </row>
    <row r="3449" spans="1:7" ht="15.75" customHeight="1">
      <c r="A3449" s="4" t="s">
        <v>123</v>
      </c>
      <c r="B3449" s="1">
        <v>6.5</v>
      </c>
      <c r="C3449" s="1">
        <v>112</v>
      </c>
      <c r="D3449" s="1" t="s">
        <v>39</v>
      </c>
      <c r="E3449" s="1" t="s">
        <v>16</v>
      </c>
      <c r="F3449" s="1">
        <f t="shared" si="115"/>
        <v>650</v>
      </c>
      <c r="G3449" s="5">
        <f t="shared" ref="G3449:G3512" si="116">C3449/F3449</f>
        <v>0.1723076923076923</v>
      </c>
    </row>
    <row r="3450" spans="1:7" ht="15.75" customHeight="1">
      <c r="A3450" s="4" t="s">
        <v>123</v>
      </c>
      <c r="B3450" s="1">
        <v>8.6999999999999993</v>
      </c>
      <c r="C3450" s="1">
        <v>106</v>
      </c>
      <c r="D3450" s="1" t="s">
        <v>11</v>
      </c>
      <c r="E3450" s="1" t="s">
        <v>27</v>
      </c>
      <c r="F3450" s="1">
        <f t="shared" si="115"/>
        <v>869.99999999999989</v>
      </c>
      <c r="G3450" s="5">
        <f t="shared" si="116"/>
        <v>0.12183908045977013</v>
      </c>
    </row>
    <row r="3451" spans="1:7" ht="15.75" customHeight="1">
      <c r="A3451" s="4" t="s">
        <v>123</v>
      </c>
      <c r="B3451" s="1">
        <v>5.88</v>
      </c>
      <c r="C3451" s="1">
        <v>4930</v>
      </c>
      <c r="D3451" s="1" t="s">
        <v>11</v>
      </c>
      <c r="E3451" s="1" t="s">
        <v>15</v>
      </c>
      <c r="F3451" s="1">
        <f t="shared" si="115"/>
        <v>588</v>
      </c>
      <c r="G3451" s="5">
        <f t="shared" si="116"/>
        <v>8.3843537414965983</v>
      </c>
    </row>
    <row r="3452" spans="1:7" ht="15.75" customHeight="1">
      <c r="A3452" s="4" t="s">
        <v>123</v>
      </c>
      <c r="B3452" s="1">
        <v>7.29</v>
      </c>
      <c r="C3452" s="1">
        <v>102</v>
      </c>
      <c r="D3452" s="1" t="s">
        <v>11</v>
      </c>
      <c r="E3452" s="1" t="s">
        <v>27</v>
      </c>
      <c r="F3452" s="1">
        <f t="shared" si="115"/>
        <v>729</v>
      </c>
      <c r="G3452" s="5">
        <f t="shared" si="116"/>
        <v>0.13991769547325103</v>
      </c>
    </row>
    <row r="3453" spans="1:7" ht="15.75" customHeight="1">
      <c r="A3453" s="4" t="s">
        <v>123</v>
      </c>
      <c r="B3453" s="1">
        <v>7.29</v>
      </c>
      <c r="C3453" s="1">
        <v>102</v>
      </c>
      <c r="D3453" s="1" t="s">
        <v>11</v>
      </c>
      <c r="E3453" s="1" t="s">
        <v>27</v>
      </c>
      <c r="F3453" s="1">
        <f t="shared" si="115"/>
        <v>729</v>
      </c>
      <c r="G3453" s="5">
        <f t="shared" si="116"/>
        <v>0.13991769547325103</v>
      </c>
    </row>
    <row r="3454" spans="1:7" ht="15.75" customHeight="1">
      <c r="A3454" s="4" t="s">
        <v>123</v>
      </c>
      <c r="B3454" s="1">
        <v>7.7</v>
      </c>
      <c r="C3454" s="1">
        <v>37</v>
      </c>
      <c r="D3454" s="1" t="s">
        <v>33</v>
      </c>
      <c r="E3454" s="1" t="s">
        <v>16</v>
      </c>
      <c r="F3454" s="1">
        <f t="shared" si="115"/>
        <v>770</v>
      </c>
      <c r="G3454" s="5">
        <f t="shared" si="116"/>
        <v>4.8051948051948054E-2</v>
      </c>
    </row>
    <row r="3455" spans="1:7" ht="15.75" customHeight="1">
      <c r="A3455" s="4" t="s">
        <v>123</v>
      </c>
      <c r="B3455" s="1">
        <v>6</v>
      </c>
      <c r="C3455" s="1">
        <v>128</v>
      </c>
      <c r="D3455" s="1" t="s">
        <v>11</v>
      </c>
      <c r="E3455" s="1" t="s">
        <v>8</v>
      </c>
      <c r="F3455" s="1">
        <f t="shared" si="115"/>
        <v>600</v>
      </c>
      <c r="G3455" s="5">
        <f t="shared" si="116"/>
        <v>0.21333333333333335</v>
      </c>
    </row>
    <row r="3456" spans="1:7" ht="15.75" customHeight="1">
      <c r="A3456" s="4" t="s">
        <v>123</v>
      </c>
      <c r="B3456" s="1">
        <v>4.8</v>
      </c>
      <c r="C3456" s="1">
        <v>68</v>
      </c>
      <c r="D3456" s="1" t="s">
        <v>11</v>
      </c>
      <c r="E3456" s="1" t="s">
        <v>24</v>
      </c>
      <c r="F3456" s="1">
        <f t="shared" si="115"/>
        <v>480</v>
      </c>
      <c r="G3456" s="5">
        <f t="shared" si="116"/>
        <v>0.14166666666666666</v>
      </c>
    </row>
    <row r="3457" spans="1:7" ht="15.75" customHeight="1">
      <c r="A3457" s="4" t="s">
        <v>123</v>
      </c>
      <c r="B3457" s="1">
        <v>3.44</v>
      </c>
      <c r="C3457" s="1">
        <v>91</v>
      </c>
      <c r="D3457" s="1" t="s">
        <v>43</v>
      </c>
      <c r="E3457" s="1" t="s">
        <v>8</v>
      </c>
      <c r="F3457" s="1">
        <f t="shared" si="115"/>
        <v>344</v>
      </c>
      <c r="G3457" s="5">
        <f t="shared" si="116"/>
        <v>0.26453488372093026</v>
      </c>
    </row>
    <row r="3458" spans="1:7" ht="15.75" customHeight="1">
      <c r="A3458" s="4" t="s">
        <v>123</v>
      </c>
      <c r="B3458" s="1">
        <v>5.88</v>
      </c>
      <c r="C3458" s="1">
        <v>27</v>
      </c>
      <c r="D3458" s="1" t="s">
        <v>38</v>
      </c>
      <c r="E3458" s="1" t="s">
        <v>22</v>
      </c>
      <c r="F3458" s="1">
        <f t="shared" si="115"/>
        <v>588</v>
      </c>
      <c r="G3458" s="5">
        <f t="shared" si="116"/>
        <v>4.5918367346938778E-2</v>
      </c>
    </row>
    <row r="3459" spans="1:7" ht="15.75" customHeight="1">
      <c r="A3459" s="4" t="s">
        <v>123</v>
      </c>
      <c r="B3459" s="1">
        <v>4.38</v>
      </c>
      <c r="C3459" s="1">
        <v>58</v>
      </c>
      <c r="D3459" s="1" t="s">
        <v>43</v>
      </c>
      <c r="E3459" s="1" t="s">
        <v>24</v>
      </c>
      <c r="F3459" s="1">
        <f t="shared" ref="F3459:F3522" si="117">B3459*100</f>
        <v>438</v>
      </c>
      <c r="G3459" s="5">
        <f t="shared" si="116"/>
        <v>0.13242009132420091</v>
      </c>
    </row>
    <row r="3460" spans="1:7" ht="15.75" customHeight="1">
      <c r="A3460" s="4" t="s">
        <v>123</v>
      </c>
      <c r="B3460" s="1">
        <v>6.88</v>
      </c>
      <c r="C3460" s="1">
        <v>94</v>
      </c>
      <c r="D3460" s="1" t="s">
        <v>45</v>
      </c>
      <c r="E3460" s="1" t="s">
        <v>10</v>
      </c>
      <c r="F3460" s="1">
        <f t="shared" si="117"/>
        <v>688</v>
      </c>
      <c r="G3460" s="5">
        <f t="shared" si="116"/>
        <v>0.13662790697674418</v>
      </c>
    </row>
    <row r="3461" spans="1:7" ht="15.75" customHeight="1">
      <c r="A3461" s="4" t="s">
        <v>123</v>
      </c>
      <c r="B3461" s="1">
        <v>8.6</v>
      </c>
      <c r="C3461" s="1">
        <v>146</v>
      </c>
      <c r="D3461" s="1" t="s">
        <v>11</v>
      </c>
      <c r="E3461" s="1" t="s">
        <v>19</v>
      </c>
      <c r="F3461" s="1">
        <f t="shared" si="117"/>
        <v>860</v>
      </c>
      <c r="G3461" s="5">
        <f t="shared" si="116"/>
        <v>0.16976744186046511</v>
      </c>
    </row>
    <row r="3462" spans="1:7" ht="15.75" customHeight="1">
      <c r="A3462" s="4" t="s">
        <v>123</v>
      </c>
      <c r="B3462" s="1">
        <v>7.83</v>
      </c>
      <c r="C3462" s="1">
        <v>86</v>
      </c>
      <c r="D3462" s="1" t="s">
        <v>33</v>
      </c>
      <c r="E3462" s="1" t="s">
        <v>21</v>
      </c>
      <c r="F3462" s="1">
        <f t="shared" si="117"/>
        <v>783</v>
      </c>
      <c r="G3462" s="5">
        <f t="shared" si="116"/>
        <v>0.10983397190293742</v>
      </c>
    </row>
    <row r="3463" spans="1:7" ht="15.75" customHeight="1">
      <c r="A3463" s="4" t="s">
        <v>123</v>
      </c>
      <c r="B3463" s="1">
        <v>8.6999999999999993</v>
      </c>
      <c r="C3463" s="1">
        <v>146</v>
      </c>
      <c r="D3463" s="1" t="s">
        <v>11</v>
      </c>
      <c r="E3463" s="1" t="s">
        <v>27</v>
      </c>
      <c r="F3463" s="1">
        <f t="shared" si="117"/>
        <v>869.99999999999989</v>
      </c>
      <c r="G3463" s="5">
        <f t="shared" si="116"/>
        <v>0.167816091954023</v>
      </c>
    </row>
    <row r="3464" spans="1:7" ht="15.75" customHeight="1">
      <c r="A3464" s="4" t="s">
        <v>123</v>
      </c>
      <c r="B3464" s="1">
        <v>5.6</v>
      </c>
      <c r="C3464" s="1">
        <v>90</v>
      </c>
      <c r="D3464" s="1" t="s">
        <v>44</v>
      </c>
      <c r="E3464" s="1" t="s">
        <v>29</v>
      </c>
      <c r="F3464" s="1">
        <f t="shared" si="117"/>
        <v>560</v>
      </c>
      <c r="G3464" s="5">
        <f t="shared" si="116"/>
        <v>0.16071428571428573</v>
      </c>
    </row>
    <row r="3465" spans="1:7" ht="15.75" customHeight="1">
      <c r="A3465" s="4" t="s">
        <v>123</v>
      </c>
      <c r="B3465" s="1">
        <v>6</v>
      </c>
      <c r="C3465" s="1">
        <v>39</v>
      </c>
      <c r="D3465" s="1" t="s">
        <v>70</v>
      </c>
      <c r="E3465" s="1" t="s">
        <v>18</v>
      </c>
      <c r="F3465" s="1">
        <f t="shared" si="117"/>
        <v>600</v>
      </c>
      <c r="G3465" s="5">
        <f t="shared" si="116"/>
        <v>6.5000000000000002E-2</v>
      </c>
    </row>
    <row r="3466" spans="1:7" ht="15.75" customHeight="1">
      <c r="A3466" s="4" t="s">
        <v>123</v>
      </c>
      <c r="B3466" s="1">
        <v>7.74</v>
      </c>
      <c r="C3466" s="1">
        <v>88</v>
      </c>
      <c r="D3466" s="1" t="s">
        <v>33</v>
      </c>
      <c r="E3466" s="1" t="s">
        <v>16</v>
      </c>
      <c r="F3466" s="1">
        <f t="shared" si="117"/>
        <v>774</v>
      </c>
      <c r="G3466" s="5">
        <f t="shared" si="116"/>
        <v>0.11369509043927649</v>
      </c>
    </row>
    <row r="3467" spans="1:7" ht="15.75" customHeight="1">
      <c r="A3467" s="4" t="s">
        <v>123</v>
      </c>
      <c r="B3467" s="1">
        <v>9.1</v>
      </c>
      <c r="C3467" s="1">
        <v>146</v>
      </c>
      <c r="D3467" s="1" t="s">
        <v>43</v>
      </c>
      <c r="E3467" s="1" t="s">
        <v>26</v>
      </c>
      <c r="F3467" s="1">
        <f t="shared" si="117"/>
        <v>910</v>
      </c>
      <c r="G3467" s="5">
        <f t="shared" si="116"/>
        <v>0.16043956043956045</v>
      </c>
    </row>
    <row r="3468" spans="1:7" ht="15.75" customHeight="1">
      <c r="A3468" s="4" t="s">
        <v>123</v>
      </c>
      <c r="B3468" s="1">
        <v>7.8</v>
      </c>
      <c r="C3468" s="1">
        <v>120</v>
      </c>
      <c r="D3468" s="1" t="s">
        <v>11</v>
      </c>
      <c r="E3468" s="1" t="s">
        <v>8</v>
      </c>
      <c r="F3468" s="1">
        <f t="shared" si="117"/>
        <v>780</v>
      </c>
      <c r="G3468" s="5">
        <f t="shared" si="116"/>
        <v>0.15384615384615385</v>
      </c>
    </row>
    <row r="3469" spans="1:7" ht="15.75" customHeight="1">
      <c r="A3469" s="4" t="s">
        <v>123</v>
      </c>
      <c r="B3469" s="1">
        <v>9.1</v>
      </c>
      <c r="C3469" s="1">
        <v>146</v>
      </c>
      <c r="D3469" s="1" t="s">
        <v>43</v>
      </c>
      <c r="E3469" s="1" t="s">
        <v>26</v>
      </c>
      <c r="F3469" s="1">
        <f t="shared" si="117"/>
        <v>910</v>
      </c>
      <c r="G3469" s="5">
        <f t="shared" si="116"/>
        <v>0.16043956043956045</v>
      </c>
    </row>
    <row r="3470" spans="1:7" ht="15.75" customHeight="1">
      <c r="A3470" s="4" t="s">
        <v>123</v>
      </c>
      <c r="B3470" s="1">
        <v>9.1</v>
      </c>
      <c r="C3470" s="1">
        <v>204</v>
      </c>
      <c r="D3470" s="1" t="s">
        <v>43</v>
      </c>
      <c r="E3470" s="1" t="s">
        <v>26</v>
      </c>
      <c r="F3470" s="1">
        <f t="shared" si="117"/>
        <v>910</v>
      </c>
      <c r="G3470" s="5">
        <f t="shared" si="116"/>
        <v>0.22417582417582418</v>
      </c>
    </row>
    <row r="3471" spans="1:7" ht="15.75" customHeight="1">
      <c r="A3471" s="4" t="s">
        <v>123</v>
      </c>
      <c r="B3471" s="1">
        <v>7.56</v>
      </c>
      <c r="C3471" s="1">
        <v>217</v>
      </c>
      <c r="D3471" s="1" t="s">
        <v>11</v>
      </c>
      <c r="E3471" s="1" t="s">
        <v>9</v>
      </c>
      <c r="F3471" s="1">
        <f t="shared" si="117"/>
        <v>756</v>
      </c>
      <c r="G3471" s="5">
        <f t="shared" si="116"/>
        <v>0.28703703703703703</v>
      </c>
    </row>
    <row r="3472" spans="1:7" ht="15.75" customHeight="1">
      <c r="A3472" s="4" t="s">
        <v>123</v>
      </c>
      <c r="B3472" s="1">
        <v>5.6</v>
      </c>
      <c r="C3472" s="1">
        <v>49</v>
      </c>
      <c r="D3472" s="1" t="s">
        <v>102</v>
      </c>
      <c r="E3472" s="1" t="s">
        <v>26</v>
      </c>
      <c r="F3472" s="1">
        <f t="shared" si="117"/>
        <v>560</v>
      </c>
      <c r="G3472" s="5">
        <f t="shared" si="116"/>
        <v>8.7499999999999994E-2</v>
      </c>
    </row>
    <row r="3473" spans="1:7" ht="15.75" customHeight="1">
      <c r="A3473" s="4" t="s">
        <v>123</v>
      </c>
      <c r="B3473" s="1">
        <v>5.74</v>
      </c>
      <c r="C3473" s="1">
        <v>72</v>
      </c>
      <c r="D3473" s="1" t="s">
        <v>42</v>
      </c>
      <c r="E3473" s="1" t="s">
        <v>32</v>
      </c>
      <c r="F3473" s="1">
        <f t="shared" si="117"/>
        <v>574</v>
      </c>
      <c r="G3473" s="5">
        <f t="shared" si="116"/>
        <v>0.12543554006968641</v>
      </c>
    </row>
    <row r="3474" spans="1:7" ht="15.75" customHeight="1">
      <c r="A3474" s="4" t="s">
        <v>123</v>
      </c>
      <c r="B3474" s="1">
        <v>3.4</v>
      </c>
      <c r="C3474" s="1">
        <v>54</v>
      </c>
      <c r="D3474" s="1" t="s">
        <v>11</v>
      </c>
      <c r="E3474" s="1" t="s">
        <v>15</v>
      </c>
      <c r="F3474" s="1">
        <f t="shared" si="117"/>
        <v>340</v>
      </c>
      <c r="G3474" s="5">
        <f t="shared" si="116"/>
        <v>0.1588235294117647</v>
      </c>
    </row>
    <row r="3475" spans="1:7" ht="15.75" customHeight="1">
      <c r="A3475" s="4" t="s">
        <v>123</v>
      </c>
      <c r="B3475" s="1">
        <v>8.8000000000000007</v>
      </c>
      <c r="C3475" s="1">
        <v>87</v>
      </c>
      <c r="D3475" s="1" t="s">
        <v>11</v>
      </c>
      <c r="E3475" s="1" t="s">
        <v>17</v>
      </c>
      <c r="F3475" s="1">
        <f t="shared" si="117"/>
        <v>880.00000000000011</v>
      </c>
      <c r="G3475" s="5">
        <f t="shared" si="116"/>
        <v>9.8863636363636348E-2</v>
      </c>
    </row>
    <row r="3476" spans="1:7" ht="15.75" customHeight="1">
      <c r="A3476" s="4" t="s">
        <v>123</v>
      </c>
      <c r="B3476" s="1">
        <v>6.9</v>
      </c>
      <c r="C3476" s="1">
        <v>83</v>
      </c>
      <c r="D3476" s="1" t="s">
        <v>11</v>
      </c>
      <c r="E3476" s="1" t="s">
        <v>26</v>
      </c>
      <c r="F3476" s="1">
        <f t="shared" si="117"/>
        <v>690</v>
      </c>
      <c r="G3476" s="5">
        <f t="shared" si="116"/>
        <v>0.12028985507246377</v>
      </c>
    </row>
    <row r="3477" spans="1:7" ht="15.75" customHeight="1">
      <c r="A3477" s="4" t="s">
        <v>123</v>
      </c>
      <c r="B3477" s="1">
        <v>5.6</v>
      </c>
      <c r="C3477" s="1">
        <v>118</v>
      </c>
      <c r="D3477" s="1" t="s">
        <v>34</v>
      </c>
      <c r="E3477" s="1" t="s">
        <v>8</v>
      </c>
      <c r="F3477" s="1">
        <f t="shared" si="117"/>
        <v>560</v>
      </c>
      <c r="G3477" s="5">
        <f t="shared" si="116"/>
        <v>0.21071428571428572</v>
      </c>
    </row>
    <row r="3478" spans="1:7" ht="15.75" customHeight="1">
      <c r="A3478" s="4" t="s">
        <v>123</v>
      </c>
      <c r="B3478" s="1">
        <v>9.4600000000000009</v>
      </c>
      <c r="C3478" s="1">
        <v>102</v>
      </c>
      <c r="D3478" s="1" t="s">
        <v>52</v>
      </c>
      <c r="E3478" s="1" t="s">
        <v>18</v>
      </c>
      <c r="F3478" s="1">
        <f t="shared" si="117"/>
        <v>946.00000000000011</v>
      </c>
      <c r="G3478" s="5">
        <f t="shared" si="116"/>
        <v>0.10782241014799153</v>
      </c>
    </row>
    <row r="3479" spans="1:7" ht="15.75" customHeight="1">
      <c r="A3479" s="4" t="s">
        <v>123</v>
      </c>
      <c r="B3479" s="1">
        <v>7.56</v>
      </c>
      <c r="C3479" s="1">
        <v>66.41</v>
      </c>
      <c r="D3479" s="1" t="s">
        <v>43</v>
      </c>
      <c r="E3479" s="1" t="s">
        <v>17</v>
      </c>
      <c r="F3479" s="1">
        <f t="shared" si="117"/>
        <v>756</v>
      </c>
      <c r="G3479" s="5">
        <f t="shared" si="116"/>
        <v>8.7843915343915335E-2</v>
      </c>
    </row>
    <row r="3480" spans="1:7" ht="15.75" customHeight="1">
      <c r="A3480" s="4" t="s">
        <v>123</v>
      </c>
      <c r="B3480" s="1">
        <v>6.4</v>
      </c>
      <c r="C3480" s="1">
        <v>107</v>
      </c>
      <c r="D3480" s="1" t="s">
        <v>11</v>
      </c>
      <c r="E3480" s="1" t="s">
        <v>8</v>
      </c>
      <c r="F3480" s="1">
        <f t="shared" si="117"/>
        <v>640</v>
      </c>
      <c r="G3480" s="5">
        <f t="shared" si="116"/>
        <v>0.16718749999999999</v>
      </c>
    </row>
    <row r="3481" spans="1:7" ht="15.75" customHeight="1">
      <c r="A3481" s="4" t="s">
        <v>123</v>
      </c>
      <c r="B3481" s="1">
        <v>8.375</v>
      </c>
      <c r="C3481" s="1">
        <v>130</v>
      </c>
      <c r="D3481" s="1" t="s">
        <v>11</v>
      </c>
      <c r="E3481" s="1" t="s">
        <v>15</v>
      </c>
      <c r="F3481" s="1">
        <f t="shared" si="117"/>
        <v>837.5</v>
      </c>
      <c r="G3481" s="5">
        <f t="shared" si="116"/>
        <v>0.15522388059701492</v>
      </c>
    </row>
    <row r="3482" spans="1:7" ht="15.75" customHeight="1">
      <c r="A3482" s="4" t="s">
        <v>123</v>
      </c>
      <c r="B3482" s="1">
        <v>6</v>
      </c>
      <c r="C3482" s="1">
        <v>100</v>
      </c>
      <c r="D3482" s="1" t="s">
        <v>43</v>
      </c>
      <c r="E3482" s="1" t="s">
        <v>21</v>
      </c>
      <c r="F3482" s="1">
        <f t="shared" si="117"/>
        <v>600</v>
      </c>
      <c r="G3482" s="5">
        <f t="shared" si="116"/>
        <v>0.16666666666666666</v>
      </c>
    </row>
    <row r="3483" spans="1:7" ht="15.75" customHeight="1">
      <c r="A3483" s="4" t="s">
        <v>123</v>
      </c>
      <c r="B3483" s="1">
        <v>7.5</v>
      </c>
      <c r="C3483" s="1">
        <v>120</v>
      </c>
      <c r="D3483" s="1" t="s">
        <v>11</v>
      </c>
      <c r="E3483" s="1" t="s">
        <v>27</v>
      </c>
      <c r="F3483" s="1">
        <f t="shared" si="117"/>
        <v>750</v>
      </c>
      <c r="G3483" s="5">
        <f t="shared" si="116"/>
        <v>0.16</v>
      </c>
    </row>
    <row r="3484" spans="1:7" ht="15.75" customHeight="1">
      <c r="A3484" s="4" t="s">
        <v>123</v>
      </c>
      <c r="B3484" s="1">
        <v>5.39</v>
      </c>
      <c r="C3484" s="1">
        <v>125</v>
      </c>
      <c r="D3484" s="1" t="s">
        <v>11</v>
      </c>
      <c r="E3484" s="1" t="s">
        <v>26</v>
      </c>
      <c r="F3484" s="1">
        <f t="shared" si="117"/>
        <v>539</v>
      </c>
      <c r="G3484" s="5">
        <f t="shared" si="116"/>
        <v>0.23191094619666047</v>
      </c>
    </row>
    <row r="3485" spans="1:7" ht="15.75" customHeight="1">
      <c r="A3485" s="4" t="s">
        <v>123</v>
      </c>
      <c r="B3485" s="1">
        <v>3.48</v>
      </c>
      <c r="C3485" s="1">
        <v>72</v>
      </c>
      <c r="D3485" s="1" t="s">
        <v>11</v>
      </c>
      <c r="E3485" s="1" t="s">
        <v>7</v>
      </c>
      <c r="F3485" s="1">
        <f t="shared" si="117"/>
        <v>348</v>
      </c>
      <c r="G3485" s="5">
        <f t="shared" si="116"/>
        <v>0.20689655172413793</v>
      </c>
    </row>
    <row r="3486" spans="1:7" ht="15.75" customHeight="1">
      <c r="A3486" s="4" t="s">
        <v>123</v>
      </c>
      <c r="B3486" s="1">
        <v>3</v>
      </c>
      <c r="C3486" s="1">
        <v>115.3</v>
      </c>
      <c r="D3486" s="1" t="s">
        <v>43</v>
      </c>
      <c r="E3486" s="1" t="s">
        <v>18</v>
      </c>
      <c r="F3486" s="1">
        <f t="shared" si="117"/>
        <v>300</v>
      </c>
      <c r="G3486" s="5">
        <f t="shared" si="116"/>
        <v>0.3843333333333333</v>
      </c>
    </row>
    <row r="3487" spans="1:7" ht="15.75" customHeight="1">
      <c r="A3487" s="4" t="s">
        <v>123</v>
      </c>
      <c r="B3487" s="1">
        <v>6</v>
      </c>
      <c r="C3487" s="1">
        <v>80</v>
      </c>
      <c r="D3487" s="1" t="s">
        <v>53</v>
      </c>
      <c r="E3487" s="1" t="s">
        <v>22</v>
      </c>
      <c r="F3487" s="1">
        <f t="shared" si="117"/>
        <v>600</v>
      </c>
      <c r="G3487" s="5">
        <f t="shared" si="116"/>
        <v>0.13333333333333333</v>
      </c>
    </row>
    <row r="3488" spans="1:7" ht="15.75" customHeight="1">
      <c r="A3488" s="4" t="s">
        <v>123</v>
      </c>
      <c r="B3488" s="1">
        <v>6.72</v>
      </c>
      <c r="C3488" s="1">
        <v>66</v>
      </c>
      <c r="D3488" s="1" t="s">
        <v>33</v>
      </c>
      <c r="E3488" s="1" t="s">
        <v>27</v>
      </c>
      <c r="F3488" s="1">
        <f t="shared" si="117"/>
        <v>672</v>
      </c>
      <c r="G3488" s="5">
        <f t="shared" si="116"/>
        <v>9.8214285714285712E-2</v>
      </c>
    </row>
    <row r="3489" spans="1:7" ht="15.75" customHeight="1">
      <c r="A3489" s="4" t="s">
        <v>123</v>
      </c>
      <c r="B3489" s="1">
        <v>7.8</v>
      </c>
      <c r="C3489" s="1">
        <v>125</v>
      </c>
      <c r="D3489" s="1" t="s">
        <v>11</v>
      </c>
      <c r="E3489" s="1" t="s">
        <v>12</v>
      </c>
      <c r="F3489" s="1">
        <f t="shared" si="117"/>
        <v>780</v>
      </c>
      <c r="G3489" s="5">
        <f t="shared" si="116"/>
        <v>0.16025641025641027</v>
      </c>
    </row>
    <row r="3490" spans="1:7" ht="15.75" customHeight="1">
      <c r="A3490" s="4" t="s">
        <v>123</v>
      </c>
      <c r="B3490" s="1">
        <v>8</v>
      </c>
      <c r="C3490" s="1">
        <v>135</v>
      </c>
      <c r="D3490" s="1" t="s">
        <v>11</v>
      </c>
      <c r="E3490" s="1" t="s">
        <v>22</v>
      </c>
      <c r="F3490" s="1">
        <f t="shared" si="117"/>
        <v>800</v>
      </c>
      <c r="G3490" s="5">
        <f t="shared" si="116"/>
        <v>0.16875000000000001</v>
      </c>
    </row>
    <row r="3491" spans="1:7" ht="15.75" customHeight="1">
      <c r="A3491" s="4" t="s">
        <v>123</v>
      </c>
      <c r="B3491" s="1">
        <v>7.8</v>
      </c>
      <c r="C3491" s="1">
        <v>102</v>
      </c>
      <c r="D3491" s="1" t="s">
        <v>33</v>
      </c>
      <c r="E3491" s="1" t="s">
        <v>20</v>
      </c>
      <c r="F3491" s="1">
        <f t="shared" si="117"/>
        <v>780</v>
      </c>
      <c r="G3491" s="5">
        <f t="shared" si="116"/>
        <v>0.13076923076923078</v>
      </c>
    </row>
    <row r="3492" spans="1:7" ht="15.75" customHeight="1">
      <c r="A3492" s="4" t="s">
        <v>123</v>
      </c>
      <c r="B3492" s="1">
        <v>6.75</v>
      </c>
      <c r="C3492" s="1">
        <v>65</v>
      </c>
      <c r="D3492" s="1" t="s">
        <v>40</v>
      </c>
      <c r="E3492" s="1" t="s">
        <v>15</v>
      </c>
      <c r="F3492" s="1">
        <f t="shared" si="117"/>
        <v>675</v>
      </c>
      <c r="G3492" s="5">
        <f t="shared" si="116"/>
        <v>9.6296296296296297E-2</v>
      </c>
    </row>
    <row r="3493" spans="1:7" ht="15.75" customHeight="1">
      <c r="A3493" s="4" t="s">
        <v>123</v>
      </c>
      <c r="B3493" s="1">
        <v>6</v>
      </c>
      <c r="C3493" s="1">
        <v>131</v>
      </c>
      <c r="D3493" s="1" t="s">
        <v>11</v>
      </c>
      <c r="E3493" s="1" t="s">
        <v>22</v>
      </c>
      <c r="F3493" s="1">
        <f t="shared" si="117"/>
        <v>600</v>
      </c>
      <c r="G3493" s="5">
        <f t="shared" si="116"/>
        <v>0.21833333333333332</v>
      </c>
    </row>
    <row r="3494" spans="1:7" ht="15.75" customHeight="1">
      <c r="A3494" s="4" t="s">
        <v>123</v>
      </c>
      <c r="B3494" s="1">
        <v>8</v>
      </c>
      <c r="C3494" s="1">
        <v>139</v>
      </c>
      <c r="D3494" s="1" t="s">
        <v>44</v>
      </c>
      <c r="E3494" s="1" t="s">
        <v>9</v>
      </c>
      <c r="F3494" s="1">
        <f t="shared" si="117"/>
        <v>800</v>
      </c>
      <c r="G3494" s="5">
        <f t="shared" si="116"/>
        <v>0.17374999999999999</v>
      </c>
    </row>
    <row r="3495" spans="1:7" ht="15.75" customHeight="1">
      <c r="A3495" s="4" t="s">
        <v>123</v>
      </c>
      <c r="B3495" s="1">
        <v>7</v>
      </c>
      <c r="C3495" s="1">
        <v>114</v>
      </c>
      <c r="D3495" s="1" t="s">
        <v>35</v>
      </c>
      <c r="E3495" s="1" t="s">
        <v>21</v>
      </c>
      <c r="F3495" s="1">
        <f t="shared" si="117"/>
        <v>700</v>
      </c>
      <c r="G3495" s="5">
        <f t="shared" si="116"/>
        <v>0.16285714285714287</v>
      </c>
    </row>
    <row r="3496" spans="1:7" ht="15.75" customHeight="1">
      <c r="A3496" s="4" t="s">
        <v>123</v>
      </c>
      <c r="B3496" s="1">
        <v>6</v>
      </c>
      <c r="C3496" s="1">
        <v>61.6</v>
      </c>
      <c r="D3496" s="1" t="s">
        <v>33</v>
      </c>
      <c r="E3496" s="1" t="s">
        <v>16</v>
      </c>
      <c r="F3496" s="1">
        <f t="shared" si="117"/>
        <v>600</v>
      </c>
      <c r="G3496" s="5">
        <f t="shared" si="116"/>
        <v>0.10266666666666667</v>
      </c>
    </row>
    <row r="3497" spans="1:7" ht="15.75" customHeight="1">
      <c r="A3497" s="4" t="s">
        <v>123</v>
      </c>
      <c r="B3497" s="1">
        <v>7.74</v>
      </c>
      <c r="C3497" s="1">
        <v>87</v>
      </c>
      <c r="D3497" s="1" t="s">
        <v>38</v>
      </c>
      <c r="E3497" s="1" t="s">
        <v>14</v>
      </c>
      <c r="F3497" s="1">
        <f t="shared" si="117"/>
        <v>774</v>
      </c>
      <c r="G3497" s="5">
        <f t="shared" si="116"/>
        <v>0.1124031007751938</v>
      </c>
    </row>
    <row r="3498" spans="1:7" ht="15.75" customHeight="1">
      <c r="A3498" s="4" t="s">
        <v>123</v>
      </c>
      <c r="B3498" s="1">
        <v>6</v>
      </c>
      <c r="C3498" s="1">
        <v>57</v>
      </c>
      <c r="D3498" s="1" t="s">
        <v>11</v>
      </c>
      <c r="E3498" s="1" t="s">
        <v>29</v>
      </c>
      <c r="F3498" s="1">
        <f t="shared" si="117"/>
        <v>600</v>
      </c>
      <c r="G3498" s="5">
        <f t="shared" si="116"/>
        <v>9.5000000000000001E-2</v>
      </c>
    </row>
    <row r="3499" spans="1:7" ht="15.75" customHeight="1">
      <c r="A3499" s="4" t="s">
        <v>123</v>
      </c>
      <c r="B3499" s="1">
        <v>7.92</v>
      </c>
      <c r="C3499" s="1">
        <v>124</v>
      </c>
      <c r="D3499" s="1" t="s">
        <v>35</v>
      </c>
      <c r="E3499" s="1" t="s">
        <v>22</v>
      </c>
      <c r="F3499" s="1">
        <f t="shared" si="117"/>
        <v>792</v>
      </c>
      <c r="G3499" s="5">
        <f t="shared" si="116"/>
        <v>0.15656565656565657</v>
      </c>
    </row>
    <row r="3500" spans="1:7" ht="15.75" customHeight="1">
      <c r="A3500" s="4" t="s">
        <v>123</v>
      </c>
      <c r="B3500" s="1">
        <v>6.2</v>
      </c>
      <c r="C3500" s="1">
        <v>56</v>
      </c>
      <c r="D3500" s="1" t="s">
        <v>33</v>
      </c>
      <c r="E3500" s="1" t="s">
        <v>14</v>
      </c>
      <c r="F3500" s="1">
        <f t="shared" si="117"/>
        <v>620</v>
      </c>
      <c r="G3500" s="5">
        <f t="shared" si="116"/>
        <v>9.0322580645161285E-2</v>
      </c>
    </row>
    <row r="3501" spans="1:7" ht="15.75" customHeight="1">
      <c r="A3501" s="4" t="s">
        <v>123</v>
      </c>
      <c r="B3501" s="1">
        <v>6.72</v>
      </c>
      <c r="C3501" s="1">
        <v>52.14</v>
      </c>
      <c r="D3501" s="1" t="s">
        <v>39</v>
      </c>
      <c r="E3501" s="1" t="s">
        <v>25</v>
      </c>
      <c r="F3501" s="1">
        <f t="shared" si="117"/>
        <v>672</v>
      </c>
      <c r="G3501" s="5">
        <f t="shared" si="116"/>
        <v>7.7589285714285722E-2</v>
      </c>
    </row>
    <row r="3502" spans="1:7" ht="15.75" customHeight="1">
      <c r="A3502" s="4" t="s">
        <v>123</v>
      </c>
      <c r="B3502" s="1">
        <v>7.78</v>
      </c>
      <c r="C3502" s="1">
        <v>100</v>
      </c>
      <c r="D3502" s="1" t="s">
        <v>42</v>
      </c>
      <c r="E3502" s="1" t="s">
        <v>49</v>
      </c>
      <c r="F3502" s="1">
        <f t="shared" si="117"/>
        <v>778</v>
      </c>
      <c r="G3502" s="5">
        <f t="shared" si="116"/>
        <v>0.12853470437017994</v>
      </c>
    </row>
    <row r="3503" spans="1:7" ht="15.75" customHeight="1">
      <c r="A3503" s="4" t="s">
        <v>123</v>
      </c>
      <c r="B3503" s="1">
        <v>6.09</v>
      </c>
      <c r="C3503" s="1">
        <v>122</v>
      </c>
      <c r="D3503" s="1" t="s">
        <v>11</v>
      </c>
      <c r="E3503" s="1" t="s">
        <v>24</v>
      </c>
      <c r="F3503" s="1">
        <f t="shared" si="117"/>
        <v>609</v>
      </c>
      <c r="G3503" s="5">
        <f t="shared" si="116"/>
        <v>0.20032840722495895</v>
      </c>
    </row>
    <row r="3504" spans="1:7" ht="15.75" customHeight="1">
      <c r="A3504" s="4" t="s">
        <v>123</v>
      </c>
      <c r="B3504" s="1">
        <v>4</v>
      </c>
      <c r="C3504" s="1">
        <v>96.84</v>
      </c>
      <c r="D3504" s="1" t="s">
        <v>11</v>
      </c>
      <c r="E3504" s="1" t="s">
        <v>8</v>
      </c>
      <c r="F3504" s="1">
        <f t="shared" si="117"/>
        <v>400</v>
      </c>
      <c r="G3504" s="5">
        <f t="shared" si="116"/>
        <v>0.24210000000000001</v>
      </c>
    </row>
    <row r="3505" spans="1:7" ht="15.75" customHeight="1">
      <c r="A3505" s="4" t="s">
        <v>123</v>
      </c>
      <c r="B3505" s="1">
        <v>4.03</v>
      </c>
      <c r="C3505" s="1">
        <v>93</v>
      </c>
      <c r="D3505" s="1" t="s">
        <v>11</v>
      </c>
      <c r="E3505" s="1" t="s">
        <v>9</v>
      </c>
      <c r="F3505" s="1">
        <f t="shared" si="117"/>
        <v>403</v>
      </c>
      <c r="G3505" s="5">
        <f t="shared" si="116"/>
        <v>0.23076923076923078</v>
      </c>
    </row>
    <row r="3506" spans="1:7" ht="15.75" customHeight="1">
      <c r="A3506" s="4" t="s">
        <v>123</v>
      </c>
      <c r="B3506" s="1">
        <v>6.96</v>
      </c>
      <c r="C3506" s="1">
        <v>95</v>
      </c>
      <c r="D3506" s="1" t="s">
        <v>33</v>
      </c>
      <c r="E3506" s="1" t="s">
        <v>8</v>
      </c>
      <c r="F3506" s="1">
        <f t="shared" si="117"/>
        <v>696</v>
      </c>
      <c r="G3506" s="5">
        <f t="shared" si="116"/>
        <v>0.13649425287356323</v>
      </c>
    </row>
    <row r="3507" spans="1:7" ht="15.75" customHeight="1">
      <c r="A3507" s="4" t="s">
        <v>123</v>
      </c>
      <c r="B3507" s="1">
        <v>8.6999999999999993</v>
      </c>
      <c r="C3507" s="1">
        <v>150</v>
      </c>
      <c r="D3507" s="1" t="s">
        <v>11</v>
      </c>
      <c r="E3507" s="1" t="s">
        <v>20</v>
      </c>
      <c r="F3507" s="1">
        <f t="shared" si="117"/>
        <v>869.99999999999989</v>
      </c>
      <c r="G3507" s="5">
        <f t="shared" si="116"/>
        <v>0.17241379310344829</v>
      </c>
    </row>
    <row r="3508" spans="1:7" ht="15.75" customHeight="1">
      <c r="A3508" s="4" t="s">
        <v>123</v>
      </c>
      <c r="B3508" s="1">
        <v>8.33</v>
      </c>
      <c r="C3508" s="1">
        <v>105</v>
      </c>
      <c r="D3508" s="1" t="s">
        <v>47</v>
      </c>
      <c r="E3508" s="1" t="s">
        <v>7</v>
      </c>
      <c r="F3508" s="1">
        <f t="shared" si="117"/>
        <v>833</v>
      </c>
      <c r="G3508" s="5">
        <f t="shared" si="116"/>
        <v>0.12605042016806722</v>
      </c>
    </row>
    <row r="3509" spans="1:7" ht="15.75" customHeight="1">
      <c r="A3509" s="4" t="s">
        <v>123</v>
      </c>
      <c r="B3509" s="1">
        <v>3.85</v>
      </c>
      <c r="C3509" s="1">
        <v>82</v>
      </c>
      <c r="D3509" s="1" t="s">
        <v>55</v>
      </c>
      <c r="E3509" s="1" t="s">
        <v>15</v>
      </c>
      <c r="F3509" s="1">
        <f t="shared" si="117"/>
        <v>385</v>
      </c>
      <c r="G3509" s="5">
        <f t="shared" si="116"/>
        <v>0.21298701298701297</v>
      </c>
    </row>
    <row r="3510" spans="1:7" ht="15.75" customHeight="1">
      <c r="A3510" s="4" t="s">
        <v>123</v>
      </c>
      <c r="B3510" s="1">
        <v>7.3</v>
      </c>
      <c r="C3510" s="1">
        <v>162</v>
      </c>
      <c r="D3510" s="1" t="s">
        <v>11</v>
      </c>
      <c r="E3510" s="1" t="s">
        <v>16</v>
      </c>
      <c r="F3510" s="1">
        <f t="shared" si="117"/>
        <v>730</v>
      </c>
      <c r="G3510" s="5">
        <f t="shared" si="116"/>
        <v>0.22191780821917809</v>
      </c>
    </row>
    <row r="3511" spans="1:7" ht="15.75" customHeight="1">
      <c r="A3511" s="4" t="s">
        <v>123</v>
      </c>
      <c r="B3511" s="1">
        <v>3.08</v>
      </c>
      <c r="C3511" s="1">
        <v>49.9</v>
      </c>
      <c r="D3511" s="1" t="s">
        <v>11</v>
      </c>
      <c r="E3511" s="1" t="s">
        <v>19</v>
      </c>
      <c r="F3511" s="1">
        <f t="shared" si="117"/>
        <v>308</v>
      </c>
      <c r="G3511" s="5">
        <f t="shared" si="116"/>
        <v>0.162012987012987</v>
      </c>
    </row>
    <row r="3512" spans="1:7" ht="15.75" customHeight="1">
      <c r="A3512" s="4" t="s">
        <v>123</v>
      </c>
      <c r="B3512" s="1">
        <v>5.2</v>
      </c>
      <c r="C3512" s="1">
        <v>59</v>
      </c>
      <c r="D3512" s="1" t="s">
        <v>44</v>
      </c>
      <c r="E3512" s="1" t="s">
        <v>8</v>
      </c>
      <c r="F3512" s="1">
        <f t="shared" si="117"/>
        <v>520</v>
      </c>
      <c r="G3512" s="5">
        <f t="shared" si="116"/>
        <v>0.11346153846153846</v>
      </c>
    </row>
    <row r="3513" spans="1:7" ht="15.75" customHeight="1">
      <c r="A3513" s="4" t="s">
        <v>123</v>
      </c>
      <c r="B3513" s="1">
        <v>5.5</v>
      </c>
      <c r="C3513" s="1">
        <v>125</v>
      </c>
      <c r="D3513" s="1" t="s">
        <v>11</v>
      </c>
      <c r="E3513" s="1" t="s">
        <v>15</v>
      </c>
      <c r="F3513" s="1">
        <f t="shared" si="117"/>
        <v>550</v>
      </c>
      <c r="G3513" s="5">
        <f t="shared" ref="G3513:G3576" si="118">C3513/F3513</f>
        <v>0.22727272727272727</v>
      </c>
    </row>
    <row r="3514" spans="1:7" ht="15.75" customHeight="1">
      <c r="A3514" s="4" t="s">
        <v>123</v>
      </c>
      <c r="B3514" s="1">
        <v>6.96</v>
      </c>
      <c r="C3514" s="1">
        <v>160</v>
      </c>
      <c r="D3514" s="1" t="s">
        <v>11</v>
      </c>
      <c r="E3514" s="1" t="s">
        <v>8</v>
      </c>
      <c r="F3514" s="1">
        <f t="shared" si="117"/>
        <v>696</v>
      </c>
      <c r="G3514" s="5">
        <f t="shared" si="118"/>
        <v>0.22988505747126436</v>
      </c>
    </row>
    <row r="3515" spans="1:7" ht="15.75" customHeight="1">
      <c r="A3515" s="4" t="s">
        <v>123</v>
      </c>
      <c r="B3515" s="1">
        <v>6.9</v>
      </c>
      <c r="C3515" s="1">
        <v>86</v>
      </c>
      <c r="D3515" s="1" t="s">
        <v>38</v>
      </c>
      <c r="E3515" s="1" t="s">
        <v>8</v>
      </c>
      <c r="F3515" s="1">
        <f t="shared" si="117"/>
        <v>690</v>
      </c>
      <c r="G3515" s="5">
        <f t="shared" si="118"/>
        <v>0.1246376811594203</v>
      </c>
    </row>
    <row r="3516" spans="1:7" ht="15.75" customHeight="1">
      <c r="A3516" s="4" t="s">
        <v>123</v>
      </c>
      <c r="B3516" s="1">
        <v>8.1</v>
      </c>
      <c r="C3516" s="1">
        <v>103</v>
      </c>
      <c r="D3516" s="1" t="s">
        <v>33</v>
      </c>
      <c r="E3516" s="1" t="s">
        <v>25</v>
      </c>
      <c r="F3516" s="1">
        <f t="shared" si="117"/>
        <v>810</v>
      </c>
      <c r="G3516" s="5">
        <f t="shared" si="118"/>
        <v>0.12716049382716049</v>
      </c>
    </row>
    <row r="3517" spans="1:7" ht="15.75" customHeight="1">
      <c r="A3517" s="4" t="s">
        <v>123</v>
      </c>
      <c r="B3517" s="1">
        <v>8.1</v>
      </c>
      <c r="C3517" s="1">
        <v>174</v>
      </c>
      <c r="D3517" s="1" t="s">
        <v>42</v>
      </c>
      <c r="E3517" s="1" t="s">
        <v>10</v>
      </c>
      <c r="F3517" s="1">
        <f t="shared" si="117"/>
        <v>810</v>
      </c>
      <c r="G3517" s="5">
        <f t="shared" si="118"/>
        <v>0.21481481481481482</v>
      </c>
    </row>
    <row r="3518" spans="1:7" ht="15.75" customHeight="1">
      <c r="A3518" s="4" t="s">
        <v>123</v>
      </c>
      <c r="B3518" s="1">
        <v>6</v>
      </c>
      <c r="C3518" s="1">
        <v>134</v>
      </c>
      <c r="D3518" s="1" t="s">
        <v>58</v>
      </c>
      <c r="E3518" s="1" t="s">
        <v>26</v>
      </c>
      <c r="F3518" s="1">
        <f t="shared" si="117"/>
        <v>600</v>
      </c>
      <c r="G3518" s="5">
        <f t="shared" si="118"/>
        <v>0.22333333333333333</v>
      </c>
    </row>
    <row r="3519" spans="1:7" ht="15.75" customHeight="1">
      <c r="A3519" s="4" t="s">
        <v>123</v>
      </c>
      <c r="B3519" s="1">
        <v>8</v>
      </c>
      <c r="C3519" s="1">
        <v>89.21</v>
      </c>
      <c r="D3519" s="1" t="s">
        <v>33</v>
      </c>
      <c r="E3519" s="1" t="s">
        <v>22</v>
      </c>
      <c r="F3519" s="1">
        <f t="shared" si="117"/>
        <v>800</v>
      </c>
      <c r="G3519" s="5">
        <f t="shared" si="118"/>
        <v>0.11151249999999999</v>
      </c>
    </row>
    <row r="3520" spans="1:7" ht="15.75" customHeight="1">
      <c r="A3520" s="4" t="s">
        <v>123</v>
      </c>
      <c r="B3520" s="1">
        <v>10.44</v>
      </c>
      <c r="C3520" s="1">
        <v>106</v>
      </c>
      <c r="D3520" s="1" t="s">
        <v>44</v>
      </c>
      <c r="E3520" s="1" t="s">
        <v>15</v>
      </c>
      <c r="F3520" s="1">
        <f t="shared" si="117"/>
        <v>1044</v>
      </c>
      <c r="G3520" s="5">
        <f t="shared" si="118"/>
        <v>0.10153256704980843</v>
      </c>
    </row>
    <row r="3521" spans="1:7" ht="15.75" customHeight="1">
      <c r="A3521" s="4" t="s">
        <v>123</v>
      </c>
      <c r="B3521" s="1">
        <v>4.9000000000000004</v>
      </c>
      <c r="C3521" s="1">
        <v>83</v>
      </c>
      <c r="D3521" s="1" t="s">
        <v>44</v>
      </c>
      <c r="E3521" s="1" t="s">
        <v>15</v>
      </c>
      <c r="F3521" s="1">
        <f t="shared" si="117"/>
        <v>490.00000000000006</v>
      </c>
      <c r="G3521" s="5">
        <f t="shared" si="118"/>
        <v>0.16938775510204079</v>
      </c>
    </row>
    <row r="3522" spans="1:7" ht="15.75" customHeight="1">
      <c r="A3522" s="4" t="s">
        <v>123</v>
      </c>
      <c r="B3522" s="1">
        <v>5</v>
      </c>
      <c r="C3522" s="1">
        <v>97</v>
      </c>
      <c r="D3522" s="1" t="s">
        <v>42</v>
      </c>
      <c r="E3522" s="1" t="s">
        <v>30</v>
      </c>
      <c r="F3522" s="1">
        <f t="shared" si="117"/>
        <v>500</v>
      </c>
      <c r="G3522" s="5">
        <f t="shared" si="118"/>
        <v>0.19400000000000001</v>
      </c>
    </row>
    <row r="3523" spans="1:7" ht="15.75" customHeight="1">
      <c r="A3523" s="4" t="s">
        <v>123</v>
      </c>
      <c r="B3523" s="1">
        <v>4.8</v>
      </c>
      <c r="C3523" s="1">
        <v>103</v>
      </c>
      <c r="D3523" s="1" t="s">
        <v>11</v>
      </c>
      <c r="E3523" s="1" t="s">
        <v>15</v>
      </c>
      <c r="F3523" s="1">
        <f t="shared" ref="F3523:F3586" si="119">B3523*100</f>
        <v>480</v>
      </c>
      <c r="G3523" s="5">
        <f t="shared" si="118"/>
        <v>0.21458333333333332</v>
      </c>
    </row>
    <row r="3524" spans="1:7" ht="15.75" customHeight="1">
      <c r="A3524" s="4" t="s">
        <v>123</v>
      </c>
      <c r="B3524" s="1">
        <v>4.9800000000000004</v>
      </c>
      <c r="C3524" s="1">
        <v>48</v>
      </c>
      <c r="D3524" s="1" t="s">
        <v>11</v>
      </c>
      <c r="E3524" s="1" t="s">
        <v>25</v>
      </c>
      <c r="F3524" s="1">
        <f t="shared" si="119"/>
        <v>498.00000000000006</v>
      </c>
      <c r="G3524" s="5">
        <f t="shared" si="118"/>
        <v>9.638554216867469E-2</v>
      </c>
    </row>
    <row r="3525" spans="1:7" ht="15.75" customHeight="1">
      <c r="A3525" s="4" t="s">
        <v>123</v>
      </c>
      <c r="B3525" s="1">
        <v>7.92</v>
      </c>
      <c r="C3525" s="1">
        <v>184</v>
      </c>
      <c r="D3525" s="1" t="s">
        <v>11</v>
      </c>
      <c r="E3525" s="1" t="s">
        <v>30</v>
      </c>
      <c r="F3525" s="1">
        <f t="shared" si="119"/>
        <v>792</v>
      </c>
      <c r="G3525" s="5">
        <f t="shared" si="118"/>
        <v>0.23232323232323232</v>
      </c>
    </row>
    <row r="3526" spans="1:7" ht="15.75" customHeight="1">
      <c r="A3526" s="4" t="s">
        <v>123</v>
      </c>
      <c r="B3526" s="1">
        <v>4.5</v>
      </c>
      <c r="C3526" s="1">
        <v>80</v>
      </c>
      <c r="D3526" s="1" t="s">
        <v>39</v>
      </c>
      <c r="E3526" s="1" t="s">
        <v>15</v>
      </c>
      <c r="F3526" s="1">
        <f t="shared" si="119"/>
        <v>450</v>
      </c>
      <c r="G3526" s="5">
        <f t="shared" si="118"/>
        <v>0.17777777777777778</v>
      </c>
    </row>
    <row r="3527" spans="1:7" ht="15.75" customHeight="1">
      <c r="A3527" s="4" t="s">
        <v>123</v>
      </c>
      <c r="B3527" s="1">
        <v>9.9600000000000009</v>
      </c>
      <c r="C3527" s="1">
        <v>95</v>
      </c>
      <c r="D3527" s="1" t="s">
        <v>38</v>
      </c>
      <c r="E3527" s="1" t="s">
        <v>16</v>
      </c>
      <c r="F3527" s="1">
        <f t="shared" si="119"/>
        <v>996.00000000000011</v>
      </c>
      <c r="G3527" s="5">
        <f t="shared" si="118"/>
        <v>9.5381526104417663E-2</v>
      </c>
    </row>
    <row r="3528" spans="1:7" ht="15.75" customHeight="1">
      <c r="A3528" s="4" t="s">
        <v>123</v>
      </c>
      <c r="B3528" s="1">
        <v>6</v>
      </c>
      <c r="C3528" s="1">
        <v>128</v>
      </c>
      <c r="D3528" s="1" t="s">
        <v>11</v>
      </c>
      <c r="E3528" s="1" t="s">
        <v>17</v>
      </c>
      <c r="F3528" s="1">
        <f t="shared" si="119"/>
        <v>600</v>
      </c>
      <c r="G3528" s="5">
        <f t="shared" si="118"/>
        <v>0.21333333333333335</v>
      </c>
    </row>
    <row r="3529" spans="1:7" ht="15.75" customHeight="1">
      <c r="A3529" s="4" t="s">
        <v>123</v>
      </c>
      <c r="B3529" s="1">
        <v>8.4</v>
      </c>
      <c r="C3529" s="1">
        <v>162</v>
      </c>
      <c r="D3529" s="1" t="s">
        <v>11</v>
      </c>
      <c r="E3529" s="1" t="s">
        <v>17</v>
      </c>
      <c r="F3529" s="1">
        <f t="shared" si="119"/>
        <v>840</v>
      </c>
      <c r="G3529" s="5">
        <f t="shared" si="118"/>
        <v>0.19285714285714287</v>
      </c>
    </row>
    <row r="3530" spans="1:7" ht="15.75" customHeight="1">
      <c r="A3530" s="4" t="s">
        <v>123</v>
      </c>
      <c r="B3530" s="1">
        <v>7.74</v>
      </c>
      <c r="C3530" s="1">
        <v>72.37</v>
      </c>
      <c r="D3530" s="1" t="s">
        <v>37</v>
      </c>
      <c r="E3530" s="1" t="s">
        <v>7</v>
      </c>
      <c r="F3530" s="1">
        <f t="shared" si="119"/>
        <v>774</v>
      </c>
      <c r="G3530" s="5">
        <f t="shared" si="118"/>
        <v>9.3501291989664087E-2</v>
      </c>
    </row>
    <row r="3531" spans="1:7" ht="15.75" customHeight="1">
      <c r="A3531" s="4" t="s">
        <v>123</v>
      </c>
      <c r="B3531" s="1">
        <v>6.88</v>
      </c>
      <c r="C3531" s="1">
        <v>95</v>
      </c>
      <c r="D3531" s="1" t="s">
        <v>58</v>
      </c>
      <c r="E3531" s="1" t="s">
        <v>22</v>
      </c>
      <c r="F3531" s="1">
        <f t="shared" si="119"/>
        <v>688</v>
      </c>
      <c r="G3531" s="5">
        <f t="shared" si="118"/>
        <v>0.1380813953488372</v>
      </c>
    </row>
    <row r="3532" spans="1:7" ht="15.75" customHeight="1">
      <c r="A3532" s="4" t="s">
        <v>123</v>
      </c>
      <c r="B3532" s="1">
        <v>5.85</v>
      </c>
      <c r="C3532" s="1">
        <v>79</v>
      </c>
      <c r="D3532" s="1" t="s">
        <v>45</v>
      </c>
      <c r="E3532" s="1" t="s">
        <v>15</v>
      </c>
      <c r="F3532" s="1">
        <f t="shared" si="119"/>
        <v>585</v>
      </c>
      <c r="G3532" s="5">
        <f t="shared" si="118"/>
        <v>0.13504273504273503</v>
      </c>
    </row>
    <row r="3533" spans="1:7" ht="15.75" customHeight="1">
      <c r="A3533" s="4" t="s">
        <v>123</v>
      </c>
      <c r="B3533" s="1">
        <v>3</v>
      </c>
      <c r="C3533" s="1">
        <v>64.599999999999994</v>
      </c>
      <c r="D3533" s="1" t="s">
        <v>11</v>
      </c>
      <c r="E3533" s="1" t="s">
        <v>15</v>
      </c>
      <c r="F3533" s="1">
        <f t="shared" si="119"/>
        <v>300</v>
      </c>
      <c r="G3533" s="5">
        <f t="shared" si="118"/>
        <v>0.21533333333333332</v>
      </c>
    </row>
    <row r="3534" spans="1:7" ht="15.75" customHeight="1">
      <c r="A3534" s="4" t="s">
        <v>123</v>
      </c>
      <c r="B3534" s="1">
        <v>5.2</v>
      </c>
      <c r="C3534" s="1">
        <v>98</v>
      </c>
      <c r="D3534" s="1" t="s">
        <v>47</v>
      </c>
      <c r="E3534" s="1" t="s">
        <v>26</v>
      </c>
      <c r="F3534" s="1">
        <f t="shared" si="119"/>
        <v>520</v>
      </c>
      <c r="G3534" s="5">
        <f t="shared" si="118"/>
        <v>0.18846153846153846</v>
      </c>
    </row>
    <row r="3535" spans="1:7" ht="15.75" customHeight="1">
      <c r="A3535" s="4" t="s">
        <v>123</v>
      </c>
      <c r="B3535" s="1">
        <v>5.95</v>
      </c>
      <c r="C3535" s="1">
        <v>94</v>
      </c>
      <c r="D3535" s="1" t="s">
        <v>11</v>
      </c>
      <c r="E3535" s="1" t="s">
        <v>32</v>
      </c>
      <c r="F3535" s="1">
        <f t="shared" si="119"/>
        <v>595</v>
      </c>
      <c r="G3535" s="5">
        <f t="shared" si="118"/>
        <v>0.15798319327731092</v>
      </c>
    </row>
    <row r="3536" spans="1:7" ht="15.75" customHeight="1">
      <c r="A3536" s="4" t="s">
        <v>123</v>
      </c>
      <c r="B3536" s="1">
        <v>6.1</v>
      </c>
      <c r="C3536" s="1">
        <v>84</v>
      </c>
      <c r="D3536" s="1" t="s">
        <v>42</v>
      </c>
      <c r="E3536" s="1" t="s">
        <v>17</v>
      </c>
      <c r="F3536" s="1">
        <f t="shared" si="119"/>
        <v>610</v>
      </c>
      <c r="G3536" s="5">
        <f t="shared" si="118"/>
        <v>0.13770491803278689</v>
      </c>
    </row>
    <row r="3537" spans="1:7" ht="15.75" customHeight="1">
      <c r="A3537" s="4" t="s">
        <v>123</v>
      </c>
      <c r="B3537" s="1">
        <v>81</v>
      </c>
      <c r="C3537" s="1">
        <v>47</v>
      </c>
      <c r="D3537" s="1" t="s">
        <v>132</v>
      </c>
      <c r="E3537" s="1" t="s">
        <v>18</v>
      </c>
      <c r="F3537" s="1">
        <f t="shared" si="119"/>
        <v>8100</v>
      </c>
      <c r="G3537" s="5">
        <f t="shared" si="118"/>
        <v>5.8024691358024693E-3</v>
      </c>
    </row>
    <row r="3538" spans="1:7" ht="15.75" customHeight="1">
      <c r="A3538" s="4" t="s">
        <v>123</v>
      </c>
      <c r="B3538" s="1">
        <v>5.5</v>
      </c>
      <c r="C3538" s="1">
        <v>144</v>
      </c>
      <c r="D3538" s="1" t="s">
        <v>11</v>
      </c>
      <c r="E3538" s="1" t="s">
        <v>25</v>
      </c>
      <c r="F3538" s="1">
        <f t="shared" si="119"/>
        <v>550</v>
      </c>
      <c r="G3538" s="5">
        <f t="shared" si="118"/>
        <v>0.26181818181818184</v>
      </c>
    </row>
    <row r="3539" spans="1:7" ht="15.75" customHeight="1">
      <c r="A3539" s="4" t="s">
        <v>123</v>
      </c>
      <c r="B3539" s="1">
        <v>8.64</v>
      </c>
      <c r="C3539" s="1">
        <v>188</v>
      </c>
      <c r="D3539" s="1" t="s">
        <v>11</v>
      </c>
      <c r="E3539" s="1" t="s">
        <v>9</v>
      </c>
      <c r="F3539" s="1">
        <f t="shared" si="119"/>
        <v>864</v>
      </c>
      <c r="G3539" s="5">
        <f t="shared" si="118"/>
        <v>0.21759259259259259</v>
      </c>
    </row>
    <row r="3540" spans="1:7" ht="15.75" customHeight="1">
      <c r="A3540" s="4" t="s">
        <v>123</v>
      </c>
      <c r="B3540" s="1">
        <v>6.09</v>
      </c>
      <c r="C3540" s="1">
        <v>95</v>
      </c>
      <c r="D3540" s="1" t="s">
        <v>38</v>
      </c>
      <c r="E3540" s="1" t="s">
        <v>9</v>
      </c>
      <c r="F3540" s="1">
        <f t="shared" si="119"/>
        <v>609</v>
      </c>
      <c r="G3540" s="5">
        <f t="shared" si="118"/>
        <v>0.15599343185550082</v>
      </c>
    </row>
    <row r="3541" spans="1:7" ht="15.75" customHeight="1">
      <c r="A3541" s="4" t="s">
        <v>123</v>
      </c>
      <c r="B3541" s="1">
        <v>7.83</v>
      </c>
      <c r="C3541" s="1">
        <v>112</v>
      </c>
      <c r="D3541" s="1" t="s">
        <v>11</v>
      </c>
      <c r="E3541" s="1" t="s">
        <v>17</v>
      </c>
      <c r="F3541" s="1">
        <f t="shared" si="119"/>
        <v>783</v>
      </c>
      <c r="G3541" s="5">
        <f t="shared" si="118"/>
        <v>0.14303959131545338</v>
      </c>
    </row>
    <row r="3542" spans="1:7" ht="15.75" customHeight="1">
      <c r="A3542" s="4" t="s">
        <v>123</v>
      </c>
      <c r="B3542" s="1">
        <v>6.375</v>
      </c>
      <c r="C3542" s="1">
        <v>114</v>
      </c>
      <c r="D3542" s="1" t="s">
        <v>11</v>
      </c>
      <c r="E3542" s="1" t="s">
        <v>12</v>
      </c>
      <c r="F3542" s="1">
        <f t="shared" si="119"/>
        <v>637.5</v>
      </c>
      <c r="G3542" s="5">
        <f t="shared" si="118"/>
        <v>0.17882352941176471</v>
      </c>
    </row>
    <row r="3543" spans="1:7" ht="15.75" customHeight="1">
      <c r="A3543" s="4" t="s">
        <v>123</v>
      </c>
      <c r="B3543" s="1">
        <v>7.56</v>
      </c>
      <c r="C3543" s="1">
        <v>199</v>
      </c>
      <c r="D3543" s="1" t="s">
        <v>11</v>
      </c>
      <c r="E3543" s="1" t="s">
        <v>7</v>
      </c>
      <c r="F3543" s="1">
        <f t="shared" si="119"/>
        <v>756</v>
      </c>
      <c r="G3543" s="5">
        <f t="shared" si="118"/>
        <v>0.26322751322751325</v>
      </c>
    </row>
    <row r="3544" spans="1:7" ht="15.75" customHeight="1">
      <c r="A3544" s="4" t="s">
        <v>123</v>
      </c>
      <c r="B3544" s="1">
        <v>6.4</v>
      </c>
      <c r="C3544" s="1">
        <v>60.2</v>
      </c>
      <c r="D3544" s="1" t="s">
        <v>35</v>
      </c>
      <c r="E3544" s="1" t="s">
        <v>18</v>
      </c>
      <c r="F3544" s="1">
        <f t="shared" si="119"/>
        <v>640</v>
      </c>
      <c r="G3544" s="5">
        <f t="shared" si="118"/>
        <v>9.4062500000000007E-2</v>
      </c>
    </row>
    <row r="3545" spans="1:7" ht="15.75" customHeight="1">
      <c r="A3545" s="4" t="s">
        <v>123</v>
      </c>
      <c r="B3545" s="1">
        <v>8</v>
      </c>
      <c r="C3545" s="1">
        <v>60.6</v>
      </c>
      <c r="D3545" s="1" t="s">
        <v>11</v>
      </c>
      <c r="E3545" s="1" t="s">
        <v>12</v>
      </c>
      <c r="F3545" s="1">
        <f t="shared" si="119"/>
        <v>800</v>
      </c>
      <c r="G3545" s="5">
        <f t="shared" si="118"/>
        <v>7.5749999999999998E-2</v>
      </c>
    </row>
    <row r="3546" spans="1:7" ht="15.75" customHeight="1">
      <c r="A3546" s="4" t="s">
        <v>123</v>
      </c>
      <c r="B3546" s="1">
        <v>5.6</v>
      </c>
      <c r="C3546" s="1">
        <v>54</v>
      </c>
      <c r="D3546" s="1" t="s">
        <v>39</v>
      </c>
      <c r="E3546" s="1" t="s">
        <v>62</v>
      </c>
      <c r="F3546" s="1">
        <f t="shared" si="119"/>
        <v>560</v>
      </c>
      <c r="G3546" s="5">
        <f t="shared" si="118"/>
        <v>9.6428571428571433E-2</v>
      </c>
    </row>
    <row r="3547" spans="1:7" ht="15.75" customHeight="1">
      <c r="A3547" s="4" t="s">
        <v>123</v>
      </c>
      <c r="B3547" s="1">
        <v>5</v>
      </c>
      <c r="C3547" s="1">
        <v>126</v>
      </c>
      <c r="D3547" s="1" t="s">
        <v>11</v>
      </c>
      <c r="E3547" s="1" t="s">
        <v>8</v>
      </c>
      <c r="F3547" s="1">
        <f t="shared" si="119"/>
        <v>500</v>
      </c>
      <c r="G3547" s="5">
        <f t="shared" si="118"/>
        <v>0.252</v>
      </c>
    </row>
    <row r="3548" spans="1:7" ht="15.75" customHeight="1">
      <c r="A3548" s="4" t="s">
        <v>123</v>
      </c>
      <c r="B3548" s="1">
        <v>6.7</v>
      </c>
      <c r="C3548" s="1">
        <v>140</v>
      </c>
      <c r="D3548" s="1" t="s">
        <v>11</v>
      </c>
      <c r="E3548" s="1" t="s">
        <v>22</v>
      </c>
      <c r="F3548" s="1">
        <f t="shared" si="119"/>
        <v>670</v>
      </c>
      <c r="G3548" s="5">
        <f t="shared" si="118"/>
        <v>0.20895522388059701</v>
      </c>
    </row>
    <row r="3549" spans="1:7" ht="15.75" customHeight="1">
      <c r="A3549" s="4" t="s">
        <v>123</v>
      </c>
      <c r="B3549" s="1">
        <v>5.16</v>
      </c>
      <c r="C3549" s="1">
        <v>82</v>
      </c>
      <c r="D3549" s="1" t="s">
        <v>48</v>
      </c>
      <c r="E3549" s="1" t="s">
        <v>30</v>
      </c>
      <c r="F3549" s="1">
        <f t="shared" si="119"/>
        <v>516</v>
      </c>
      <c r="G3549" s="5">
        <f t="shared" si="118"/>
        <v>0.15891472868217055</v>
      </c>
    </row>
    <row r="3550" spans="1:7" ht="15.75" customHeight="1">
      <c r="A3550" s="4" t="s">
        <v>123</v>
      </c>
      <c r="B3550" s="1">
        <v>7.8849999999999998</v>
      </c>
      <c r="C3550" s="1">
        <v>193</v>
      </c>
      <c r="D3550" s="1" t="s">
        <v>39</v>
      </c>
      <c r="E3550" s="1" t="s">
        <v>12</v>
      </c>
      <c r="F3550" s="1">
        <f t="shared" si="119"/>
        <v>788.5</v>
      </c>
      <c r="G3550" s="5">
        <f t="shared" si="118"/>
        <v>0.24476854787571339</v>
      </c>
    </row>
    <row r="3551" spans="1:7" ht="15.75" customHeight="1">
      <c r="A3551" s="4" t="s">
        <v>123</v>
      </c>
      <c r="B3551" s="1">
        <v>4.3499999999999996</v>
      </c>
      <c r="C3551" s="1">
        <v>68</v>
      </c>
      <c r="D3551" s="1" t="s">
        <v>11</v>
      </c>
      <c r="E3551" s="1" t="s">
        <v>16</v>
      </c>
      <c r="F3551" s="1">
        <f t="shared" si="119"/>
        <v>434.99999999999994</v>
      </c>
      <c r="G3551" s="5">
        <f t="shared" si="118"/>
        <v>0.1563218390804598</v>
      </c>
    </row>
    <row r="3552" spans="1:7" ht="15.75" customHeight="1">
      <c r="A3552" s="4" t="s">
        <v>123</v>
      </c>
      <c r="B3552" s="1">
        <v>7.5</v>
      </c>
      <c r="C3552" s="1">
        <v>216</v>
      </c>
      <c r="D3552" s="1" t="s">
        <v>11</v>
      </c>
      <c r="E3552" s="1" t="s">
        <v>26</v>
      </c>
      <c r="F3552" s="1">
        <f t="shared" si="119"/>
        <v>750</v>
      </c>
      <c r="G3552" s="5">
        <f t="shared" si="118"/>
        <v>0.28799999999999998</v>
      </c>
    </row>
    <row r="3553" spans="1:7" ht="15.75" customHeight="1">
      <c r="A3553" s="4" t="s">
        <v>123</v>
      </c>
      <c r="B3553" s="1">
        <v>7.5</v>
      </c>
      <c r="C3553" s="1">
        <v>216</v>
      </c>
      <c r="D3553" s="1" t="s">
        <v>11</v>
      </c>
      <c r="E3553" s="1" t="s">
        <v>26</v>
      </c>
      <c r="F3553" s="1">
        <f t="shared" si="119"/>
        <v>750</v>
      </c>
      <c r="G3553" s="5">
        <f t="shared" si="118"/>
        <v>0.28799999999999998</v>
      </c>
    </row>
    <row r="3554" spans="1:7" ht="15.75" customHeight="1">
      <c r="A3554" s="4" t="s">
        <v>123</v>
      </c>
      <c r="B3554" s="1">
        <v>5.0999999999999996</v>
      </c>
      <c r="C3554" s="1">
        <v>45</v>
      </c>
      <c r="D3554" s="1" t="s">
        <v>33</v>
      </c>
      <c r="E3554" s="1" t="s">
        <v>15</v>
      </c>
      <c r="F3554" s="1">
        <f t="shared" si="119"/>
        <v>509.99999999999994</v>
      </c>
      <c r="G3554" s="5">
        <f t="shared" si="118"/>
        <v>8.8235294117647065E-2</v>
      </c>
    </row>
    <row r="3555" spans="1:7" ht="15.75" customHeight="1">
      <c r="A3555" s="4" t="s">
        <v>123</v>
      </c>
      <c r="B3555" s="1">
        <v>5.16</v>
      </c>
      <c r="C3555" s="1">
        <v>46</v>
      </c>
      <c r="D3555" s="1" t="s">
        <v>42</v>
      </c>
      <c r="E3555" s="1" t="s">
        <v>22</v>
      </c>
      <c r="F3555" s="1">
        <f t="shared" si="119"/>
        <v>516</v>
      </c>
      <c r="G3555" s="5">
        <f t="shared" si="118"/>
        <v>8.9147286821705432E-2</v>
      </c>
    </row>
    <row r="3556" spans="1:7" ht="15.75" customHeight="1">
      <c r="A3556" s="4" t="s">
        <v>123</v>
      </c>
      <c r="B3556" s="1">
        <v>4</v>
      </c>
      <c r="C3556" s="1">
        <v>41</v>
      </c>
      <c r="D3556" s="1" t="s">
        <v>43</v>
      </c>
      <c r="E3556" s="1" t="s">
        <v>22</v>
      </c>
      <c r="F3556" s="1">
        <f t="shared" si="119"/>
        <v>400</v>
      </c>
      <c r="G3556" s="5">
        <f t="shared" si="118"/>
        <v>0.10249999999999999</v>
      </c>
    </row>
    <row r="3557" spans="1:7" ht="15.75" customHeight="1">
      <c r="A3557" s="4" t="s">
        <v>123</v>
      </c>
      <c r="B3557" s="1">
        <v>6.4</v>
      </c>
      <c r="C3557" s="1">
        <v>101</v>
      </c>
      <c r="D3557" s="1" t="s">
        <v>43</v>
      </c>
      <c r="E3557" s="1" t="s">
        <v>15</v>
      </c>
      <c r="F3557" s="1">
        <f t="shared" si="119"/>
        <v>640</v>
      </c>
      <c r="G3557" s="5">
        <f t="shared" si="118"/>
        <v>0.15781249999999999</v>
      </c>
    </row>
    <row r="3558" spans="1:7" ht="15.75" customHeight="1">
      <c r="A3558" s="4" t="s">
        <v>123</v>
      </c>
      <c r="B3558" s="1">
        <v>4.3499999999999996</v>
      </c>
      <c r="C3558" s="1">
        <v>37</v>
      </c>
      <c r="D3558" s="1" t="s">
        <v>40</v>
      </c>
      <c r="E3558" s="1" t="s">
        <v>10</v>
      </c>
      <c r="F3558" s="1">
        <f t="shared" si="119"/>
        <v>434.99999999999994</v>
      </c>
      <c r="G3558" s="5">
        <f t="shared" si="118"/>
        <v>8.5057471264367829E-2</v>
      </c>
    </row>
    <row r="3559" spans="1:7" ht="15.75" customHeight="1">
      <c r="A3559" s="4" t="s">
        <v>123</v>
      </c>
      <c r="B3559" s="1">
        <v>3.85</v>
      </c>
      <c r="C3559" s="1">
        <v>58</v>
      </c>
      <c r="D3559" s="1" t="s">
        <v>11</v>
      </c>
      <c r="E3559" s="1" t="s">
        <v>20</v>
      </c>
      <c r="F3559" s="1">
        <f t="shared" si="119"/>
        <v>385</v>
      </c>
      <c r="G3559" s="5">
        <f t="shared" si="118"/>
        <v>0.15064935064935064</v>
      </c>
    </row>
    <row r="3560" spans="1:7" ht="15.75" customHeight="1">
      <c r="A3560" s="4" t="s">
        <v>123</v>
      </c>
      <c r="B3560" s="1">
        <v>6.1</v>
      </c>
      <c r="C3560" s="1">
        <v>79</v>
      </c>
      <c r="D3560" s="1" t="s">
        <v>63</v>
      </c>
      <c r="E3560" s="1" t="s">
        <v>23</v>
      </c>
      <c r="F3560" s="1">
        <f t="shared" si="119"/>
        <v>610</v>
      </c>
      <c r="G3560" s="5">
        <f t="shared" si="118"/>
        <v>0.12950819672131147</v>
      </c>
    </row>
    <row r="3561" spans="1:7" ht="15.75" customHeight="1">
      <c r="A3561" s="4" t="s">
        <v>123</v>
      </c>
      <c r="B3561" s="1">
        <v>5.6</v>
      </c>
      <c r="C3561" s="1">
        <v>92</v>
      </c>
      <c r="D3561" s="1" t="s">
        <v>54</v>
      </c>
      <c r="E3561" s="1" t="s">
        <v>22</v>
      </c>
      <c r="F3561" s="1">
        <f t="shared" si="119"/>
        <v>560</v>
      </c>
      <c r="G3561" s="5">
        <f t="shared" si="118"/>
        <v>0.16428571428571428</v>
      </c>
    </row>
    <row r="3562" spans="1:7" ht="15.75" customHeight="1">
      <c r="A3562" s="4" t="s">
        <v>123</v>
      </c>
      <c r="B3562" s="1">
        <v>5.22</v>
      </c>
      <c r="C3562" s="1">
        <v>115</v>
      </c>
      <c r="D3562" s="1" t="s">
        <v>43</v>
      </c>
      <c r="E3562" s="1" t="s">
        <v>8</v>
      </c>
      <c r="F3562" s="1">
        <f t="shared" si="119"/>
        <v>522</v>
      </c>
      <c r="G3562" s="5">
        <f t="shared" si="118"/>
        <v>0.22030651340996169</v>
      </c>
    </row>
    <row r="3563" spans="1:7" ht="15.75" customHeight="1">
      <c r="A3563" s="4" t="s">
        <v>123</v>
      </c>
      <c r="B3563" s="1">
        <v>5.6</v>
      </c>
      <c r="C3563" s="1">
        <v>94</v>
      </c>
      <c r="D3563" s="1" t="s">
        <v>11</v>
      </c>
      <c r="E3563" s="1" t="s">
        <v>10</v>
      </c>
      <c r="F3563" s="1">
        <f t="shared" si="119"/>
        <v>560</v>
      </c>
      <c r="G3563" s="5">
        <f t="shared" si="118"/>
        <v>0.16785714285714284</v>
      </c>
    </row>
    <row r="3564" spans="1:7" ht="15.75" customHeight="1">
      <c r="A3564" s="4" t="s">
        <v>123</v>
      </c>
      <c r="B3564" s="1">
        <v>6.9</v>
      </c>
      <c r="C3564" s="1">
        <v>45</v>
      </c>
      <c r="D3564" s="1" t="s">
        <v>39</v>
      </c>
      <c r="E3564" s="1" t="s">
        <v>62</v>
      </c>
      <c r="F3564" s="1">
        <f t="shared" si="119"/>
        <v>690</v>
      </c>
      <c r="G3564" s="5">
        <f t="shared" si="118"/>
        <v>6.5217391304347824E-2</v>
      </c>
    </row>
    <row r="3565" spans="1:7" ht="15.75" customHeight="1">
      <c r="A3565" s="4" t="s">
        <v>123</v>
      </c>
      <c r="B3565" s="1">
        <v>8.4</v>
      </c>
      <c r="C3565" s="1">
        <v>111</v>
      </c>
      <c r="D3565" s="1" t="s">
        <v>11</v>
      </c>
      <c r="E3565" s="1" t="s">
        <v>25</v>
      </c>
      <c r="F3565" s="1">
        <f t="shared" si="119"/>
        <v>840</v>
      </c>
      <c r="G3565" s="5">
        <f t="shared" si="118"/>
        <v>0.13214285714285715</v>
      </c>
    </row>
    <row r="3566" spans="1:7" ht="15.75" customHeight="1">
      <c r="A3566" s="4" t="s">
        <v>123</v>
      </c>
      <c r="B3566" s="1">
        <v>8.8000000000000007</v>
      </c>
      <c r="C3566" s="1">
        <v>186</v>
      </c>
      <c r="D3566" s="1" t="s">
        <v>11</v>
      </c>
      <c r="E3566" s="1" t="s">
        <v>27</v>
      </c>
      <c r="F3566" s="1">
        <f t="shared" si="119"/>
        <v>880.00000000000011</v>
      </c>
      <c r="G3566" s="5">
        <f t="shared" si="118"/>
        <v>0.21136363636363634</v>
      </c>
    </row>
    <row r="3567" spans="1:7" ht="15.75" customHeight="1">
      <c r="A3567" s="4" t="s">
        <v>123</v>
      </c>
      <c r="B3567" s="1">
        <v>4.3</v>
      </c>
      <c r="C3567" s="1">
        <v>50</v>
      </c>
      <c r="D3567" s="1" t="s">
        <v>33</v>
      </c>
      <c r="E3567" s="1" t="s">
        <v>21</v>
      </c>
      <c r="F3567" s="1">
        <f t="shared" si="119"/>
        <v>430</v>
      </c>
      <c r="G3567" s="5">
        <f t="shared" si="118"/>
        <v>0.11627906976744186</v>
      </c>
    </row>
    <row r="3568" spans="1:7" ht="15.75" customHeight="1">
      <c r="A3568" s="4" t="s">
        <v>123</v>
      </c>
      <c r="B3568" s="1">
        <v>6.8</v>
      </c>
      <c r="C3568" s="1">
        <v>125</v>
      </c>
      <c r="D3568" s="1" t="s">
        <v>11</v>
      </c>
      <c r="E3568" s="1" t="s">
        <v>26</v>
      </c>
      <c r="F3568" s="1">
        <f t="shared" si="119"/>
        <v>680</v>
      </c>
      <c r="G3568" s="5">
        <f t="shared" si="118"/>
        <v>0.18382352941176472</v>
      </c>
    </row>
    <row r="3569" spans="1:7" ht="15.75" customHeight="1">
      <c r="A3569" s="4" t="s">
        <v>123</v>
      </c>
      <c r="B3569" s="1">
        <v>7.74</v>
      </c>
      <c r="C3569" s="1">
        <v>175</v>
      </c>
      <c r="D3569" s="1" t="s">
        <v>11</v>
      </c>
      <c r="E3569" s="1" t="s">
        <v>30</v>
      </c>
      <c r="F3569" s="1">
        <f t="shared" si="119"/>
        <v>774</v>
      </c>
      <c r="G3569" s="5">
        <f t="shared" si="118"/>
        <v>0.22609819121447028</v>
      </c>
    </row>
    <row r="3570" spans="1:7" ht="15.75" customHeight="1">
      <c r="A3570" s="4" t="s">
        <v>123</v>
      </c>
      <c r="B3570" s="1">
        <v>8.6999999999999993</v>
      </c>
      <c r="C3570" s="1">
        <v>104</v>
      </c>
      <c r="D3570" s="1" t="s">
        <v>45</v>
      </c>
      <c r="E3570" s="1" t="s">
        <v>20</v>
      </c>
      <c r="F3570" s="1">
        <f t="shared" si="119"/>
        <v>869.99999999999989</v>
      </c>
      <c r="G3570" s="5">
        <f t="shared" si="118"/>
        <v>0.11954022988505748</v>
      </c>
    </row>
    <row r="3571" spans="1:7" ht="15.75" customHeight="1">
      <c r="A3571" s="4" t="s">
        <v>123</v>
      </c>
      <c r="B3571" s="1">
        <v>7</v>
      </c>
      <c r="C3571" s="1">
        <v>125</v>
      </c>
      <c r="D3571" s="1" t="s">
        <v>11</v>
      </c>
      <c r="E3571" s="1" t="s">
        <v>10</v>
      </c>
      <c r="F3571" s="1">
        <f t="shared" si="119"/>
        <v>700</v>
      </c>
      <c r="G3571" s="5">
        <f t="shared" si="118"/>
        <v>0.17857142857142858</v>
      </c>
    </row>
    <row r="3572" spans="1:7" ht="15.75" customHeight="1">
      <c r="A3572" s="4" t="s">
        <v>123</v>
      </c>
      <c r="B3572" s="1">
        <v>4.7300000000000004</v>
      </c>
      <c r="C3572" s="1">
        <v>93</v>
      </c>
      <c r="D3572" s="1" t="s">
        <v>39</v>
      </c>
      <c r="E3572" s="1" t="s">
        <v>9</v>
      </c>
      <c r="F3572" s="1">
        <f t="shared" si="119"/>
        <v>473.00000000000006</v>
      </c>
      <c r="G3572" s="5">
        <f t="shared" si="118"/>
        <v>0.19661733615221985</v>
      </c>
    </row>
    <row r="3573" spans="1:7" ht="15.75" customHeight="1">
      <c r="A3573" s="4" t="s">
        <v>123</v>
      </c>
      <c r="B3573" s="1">
        <v>4.4000000000000004</v>
      </c>
      <c r="C3573" s="1">
        <v>80</v>
      </c>
      <c r="D3573" s="1" t="s">
        <v>38</v>
      </c>
      <c r="E3573" s="1" t="s">
        <v>10</v>
      </c>
      <c r="F3573" s="1">
        <f t="shared" si="119"/>
        <v>440.00000000000006</v>
      </c>
      <c r="G3573" s="5">
        <f t="shared" si="118"/>
        <v>0.1818181818181818</v>
      </c>
    </row>
    <row r="3574" spans="1:7" ht="15.75" customHeight="1">
      <c r="A3574" s="4" t="s">
        <v>123</v>
      </c>
      <c r="B3574" s="1">
        <v>9.68</v>
      </c>
      <c r="C3574" s="1">
        <v>134</v>
      </c>
      <c r="D3574" s="1" t="s">
        <v>37</v>
      </c>
      <c r="E3574" s="1" t="s">
        <v>17</v>
      </c>
      <c r="F3574" s="1">
        <f t="shared" si="119"/>
        <v>968</v>
      </c>
      <c r="G3574" s="5">
        <f t="shared" si="118"/>
        <v>0.13842975206611571</v>
      </c>
    </row>
    <row r="3575" spans="1:7" ht="15.75" customHeight="1">
      <c r="A3575" s="4" t="s">
        <v>123</v>
      </c>
      <c r="B3575" s="1">
        <v>5250</v>
      </c>
      <c r="C3575" s="1">
        <v>85</v>
      </c>
      <c r="D3575" s="1" t="s">
        <v>11</v>
      </c>
      <c r="E3575" s="1" t="s">
        <v>41</v>
      </c>
      <c r="F3575" s="1">
        <f t="shared" si="119"/>
        <v>525000</v>
      </c>
      <c r="G3575" s="5">
        <f t="shared" si="118"/>
        <v>1.619047619047619E-4</v>
      </c>
    </row>
    <row r="3576" spans="1:7" ht="15.75" customHeight="1">
      <c r="A3576" s="4" t="s">
        <v>123</v>
      </c>
      <c r="B3576" s="1">
        <v>6.7</v>
      </c>
      <c r="C3576" s="1">
        <v>110.7</v>
      </c>
      <c r="D3576" s="1" t="s">
        <v>11</v>
      </c>
      <c r="E3576" s="1" t="s">
        <v>17</v>
      </c>
      <c r="F3576" s="1">
        <f t="shared" si="119"/>
        <v>670</v>
      </c>
      <c r="G3576" s="5">
        <f t="shared" si="118"/>
        <v>0.16522388059701493</v>
      </c>
    </row>
    <row r="3577" spans="1:7" ht="15.75" customHeight="1">
      <c r="A3577" s="4" t="s">
        <v>123</v>
      </c>
      <c r="B3577" s="1">
        <v>4.3</v>
      </c>
      <c r="C3577" s="1">
        <v>79</v>
      </c>
      <c r="D3577" s="1" t="s">
        <v>34</v>
      </c>
      <c r="E3577" s="1" t="s">
        <v>15</v>
      </c>
      <c r="F3577" s="1">
        <f t="shared" si="119"/>
        <v>430</v>
      </c>
      <c r="G3577" s="5">
        <f t="shared" ref="G3577:G3598" si="120">C3577/F3577</f>
        <v>0.18372093023255814</v>
      </c>
    </row>
    <row r="3578" spans="1:7" ht="15.75" customHeight="1">
      <c r="A3578" s="4" t="s">
        <v>123</v>
      </c>
      <c r="B3578" s="1">
        <v>5</v>
      </c>
      <c r="C3578" s="1">
        <v>145</v>
      </c>
      <c r="D3578" s="1" t="s">
        <v>11</v>
      </c>
      <c r="E3578" s="1" t="s">
        <v>15</v>
      </c>
      <c r="F3578" s="1">
        <f t="shared" si="119"/>
        <v>500</v>
      </c>
      <c r="G3578" s="5">
        <f t="shared" si="120"/>
        <v>0.28999999999999998</v>
      </c>
    </row>
    <row r="3579" spans="1:7" ht="15.75" customHeight="1">
      <c r="A3579" s="4" t="s">
        <v>123</v>
      </c>
      <c r="B3579" s="1">
        <v>5.0999999999999996</v>
      </c>
      <c r="C3579" s="1">
        <v>60</v>
      </c>
      <c r="D3579" s="1" t="s">
        <v>73</v>
      </c>
      <c r="E3579" s="1" t="s">
        <v>8</v>
      </c>
      <c r="F3579" s="1">
        <f t="shared" si="119"/>
        <v>509.99999999999994</v>
      </c>
      <c r="G3579" s="5">
        <f t="shared" si="120"/>
        <v>0.11764705882352942</v>
      </c>
    </row>
    <row r="3580" spans="1:7" ht="15.75" customHeight="1">
      <c r="A3580" s="4" t="s">
        <v>123</v>
      </c>
      <c r="B3580" s="1">
        <v>7.04</v>
      </c>
      <c r="C3580" s="1">
        <v>71</v>
      </c>
      <c r="D3580" s="1" t="s">
        <v>33</v>
      </c>
      <c r="E3580" s="1" t="s">
        <v>15</v>
      </c>
      <c r="F3580" s="1">
        <f t="shared" si="119"/>
        <v>704</v>
      </c>
      <c r="G3580" s="5">
        <f t="shared" si="120"/>
        <v>0.10085227272727272</v>
      </c>
    </row>
    <row r="3581" spans="1:7" ht="15.75" customHeight="1">
      <c r="A3581" s="4" t="s">
        <v>123</v>
      </c>
      <c r="B3581" s="1">
        <v>4.3499999999999996</v>
      </c>
      <c r="C3581" s="1">
        <v>115</v>
      </c>
      <c r="D3581" s="1" t="s">
        <v>11</v>
      </c>
      <c r="E3581" s="1" t="s">
        <v>15</v>
      </c>
      <c r="F3581" s="1">
        <f t="shared" si="119"/>
        <v>434.99999999999994</v>
      </c>
      <c r="G3581" s="5">
        <f t="shared" si="120"/>
        <v>0.26436781609195403</v>
      </c>
    </row>
    <row r="3582" spans="1:7" ht="15.75" customHeight="1">
      <c r="A3582" s="4" t="s">
        <v>123</v>
      </c>
      <c r="B3582" s="1">
        <v>11.25</v>
      </c>
      <c r="C3582" s="1">
        <v>184</v>
      </c>
      <c r="D3582" s="1" t="s">
        <v>45</v>
      </c>
      <c r="E3582" s="1" t="s">
        <v>8</v>
      </c>
      <c r="F3582" s="1">
        <f t="shared" si="119"/>
        <v>1125</v>
      </c>
      <c r="G3582" s="5">
        <f t="shared" si="120"/>
        <v>0.16355555555555557</v>
      </c>
    </row>
    <row r="3583" spans="1:7" ht="15.75" customHeight="1">
      <c r="A3583" s="4" t="s">
        <v>123</v>
      </c>
      <c r="B3583" s="1">
        <v>4.5999999999999996</v>
      </c>
      <c r="C3583" s="1">
        <v>3430</v>
      </c>
      <c r="D3583" s="1" t="s">
        <v>67</v>
      </c>
      <c r="E3583" s="1" t="s">
        <v>17</v>
      </c>
      <c r="F3583" s="1">
        <f t="shared" si="119"/>
        <v>459.99999999999994</v>
      </c>
      <c r="G3583" s="5">
        <f t="shared" si="120"/>
        <v>7.4565217391304355</v>
      </c>
    </row>
    <row r="3584" spans="1:7" ht="15.75" customHeight="1">
      <c r="A3584" s="4" t="s">
        <v>123</v>
      </c>
      <c r="B3584" s="1">
        <v>7.56</v>
      </c>
      <c r="C3584" s="1">
        <v>52</v>
      </c>
      <c r="D3584" s="1" t="s">
        <v>11</v>
      </c>
      <c r="E3584" s="1" t="s">
        <v>7</v>
      </c>
      <c r="F3584" s="1">
        <f t="shared" si="119"/>
        <v>756</v>
      </c>
      <c r="G3584" s="5">
        <f t="shared" si="120"/>
        <v>6.8783068783068779E-2</v>
      </c>
    </row>
    <row r="3585" spans="1:7" ht="15.75" customHeight="1">
      <c r="A3585" s="4" t="s">
        <v>123</v>
      </c>
      <c r="B3585" s="1">
        <v>5.16</v>
      </c>
      <c r="C3585" s="1">
        <v>93</v>
      </c>
      <c r="D3585" s="1" t="s">
        <v>44</v>
      </c>
      <c r="E3585" s="1" t="s">
        <v>10</v>
      </c>
      <c r="F3585" s="1">
        <f t="shared" si="119"/>
        <v>516</v>
      </c>
      <c r="G3585" s="5">
        <f t="shared" si="120"/>
        <v>0.18023255813953487</v>
      </c>
    </row>
    <row r="3586" spans="1:7" ht="15.75" customHeight="1">
      <c r="A3586" s="4" t="s">
        <v>123</v>
      </c>
      <c r="B3586" s="1">
        <v>5.0999999999999996</v>
      </c>
      <c r="C3586" s="1">
        <v>51</v>
      </c>
      <c r="D3586" s="1" t="s">
        <v>40</v>
      </c>
      <c r="E3586" s="1" t="s">
        <v>15</v>
      </c>
      <c r="F3586" s="1">
        <f t="shared" si="119"/>
        <v>509.99999999999994</v>
      </c>
      <c r="G3586" s="5">
        <f t="shared" si="120"/>
        <v>0.1</v>
      </c>
    </row>
    <row r="3587" spans="1:7" ht="15.75" customHeight="1">
      <c r="A3587" s="4" t="s">
        <v>123</v>
      </c>
      <c r="B3587" s="1">
        <v>7.74</v>
      </c>
      <c r="C3587" s="1">
        <v>101</v>
      </c>
      <c r="D3587" s="1" t="s">
        <v>33</v>
      </c>
      <c r="E3587" s="1" t="s">
        <v>9</v>
      </c>
      <c r="F3587" s="1">
        <f t="shared" ref="F3587:F3598" si="121">B3587*100</f>
        <v>774</v>
      </c>
      <c r="G3587" s="5">
        <f t="shared" si="120"/>
        <v>0.13049095607235142</v>
      </c>
    </row>
    <row r="3588" spans="1:7" ht="15.75" customHeight="1">
      <c r="A3588" s="4" t="s">
        <v>123</v>
      </c>
      <c r="B3588" s="1">
        <v>8.9700000000000006</v>
      </c>
      <c r="C3588" s="1">
        <v>168</v>
      </c>
      <c r="D3588" s="1" t="s">
        <v>11</v>
      </c>
      <c r="E3588" s="1" t="s">
        <v>31</v>
      </c>
      <c r="F3588" s="1">
        <f t="shared" si="121"/>
        <v>897.00000000000011</v>
      </c>
      <c r="G3588" s="5">
        <f t="shared" si="120"/>
        <v>0.18729096989966554</v>
      </c>
    </row>
    <row r="3589" spans="1:7" ht="15.75" customHeight="1">
      <c r="A3589" s="4" t="s">
        <v>123</v>
      </c>
      <c r="B3589" s="1">
        <v>5.6</v>
      </c>
      <c r="C3589" s="1">
        <v>29</v>
      </c>
      <c r="D3589" s="1" t="s">
        <v>33</v>
      </c>
      <c r="E3589" s="1" t="s">
        <v>29</v>
      </c>
      <c r="F3589" s="1">
        <f t="shared" si="121"/>
        <v>560</v>
      </c>
      <c r="G3589" s="5">
        <f t="shared" si="120"/>
        <v>5.1785714285714289E-2</v>
      </c>
    </row>
    <row r="3590" spans="1:7" ht="15.75" customHeight="1">
      <c r="A3590" s="4" t="s">
        <v>123</v>
      </c>
      <c r="B3590" s="1">
        <v>5.3949999999999996</v>
      </c>
      <c r="C3590" s="1">
        <v>78.400000000000006</v>
      </c>
      <c r="D3590" s="1" t="s">
        <v>45</v>
      </c>
      <c r="E3590" s="1" t="s">
        <v>15</v>
      </c>
      <c r="F3590" s="1">
        <f t="shared" si="121"/>
        <v>539.5</v>
      </c>
      <c r="G3590" s="5">
        <f t="shared" si="120"/>
        <v>0.1453197405004634</v>
      </c>
    </row>
    <row r="3591" spans="1:7" ht="15.75" customHeight="1">
      <c r="A3591" s="4" t="s">
        <v>123</v>
      </c>
      <c r="B3591" s="1">
        <v>6.09</v>
      </c>
      <c r="C3591" s="1">
        <v>78</v>
      </c>
      <c r="D3591" s="1" t="s">
        <v>42</v>
      </c>
      <c r="E3591" s="1" t="s">
        <v>15</v>
      </c>
      <c r="F3591" s="1">
        <f t="shared" si="121"/>
        <v>609</v>
      </c>
      <c r="G3591" s="5">
        <f t="shared" si="120"/>
        <v>0.12807881773399016</v>
      </c>
    </row>
    <row r="3592" spans="1:7" ht="15.75" customHeight="1">
      <c r="A3592" s="4" t="s">
        <v>123</v>
      </c>
      <c r="B3592" s="1">
        <v>7.29</v>
      </c>
      <c r="C3592" s="1">
        <v>128</v>
      </c>
      <c r="D3592" s="1" t="s">
        <v>11</v>
      </c>
      <c r="E3592" s="1" t="s">
        <v>7</v>
      </c>
      <c r="F3592" s="1">
        <f t="shared" si="121"/>
        <v>729</v>
      </c>
      <c r="G3592" s="5">
        <f t="shared" si="120"/>
        <v>0.1755829903978052</v>
      </c>
    </row>
    <row r="3593" spans="1:7" ht="15.75" customHeight="1">
      <c r="A3593" s="4" t="s">
        <v>123</v>
      </c>
      <c r="B3593" s="1">
        <v>3.8</v>
      </c>
      <c r="C3593" s="1">
        <v>47</v>
      </c>
      <c r="D3593" s="1" t="s">
        <v>11</v>
      </c>
      <c r="E3593" s="1" t="s">
        <v>26</v>
      </c>
      <c r="F3593" s="1">
        <f t="shared" si="121"/>
        <v>380</v>
      </c>
      <c r="G3593" s="5">
        <f t="shared" si="120"/>
        <v>0.12368421052631579</v>
      </c>
    </row>
    <row r="3594" spans="1:7" ht="15.75" customHeight="1">
      <c r="A3594" s="4" t="s">
        <v>123</v>
      </c>
      <c r="B3594" s="1">
        <v>6.96</v>
      </c>
      <c r="C3594" s="1">
        <v>69</v>
      </c>
      <c r="D3594" s="1" t="s">
        <v>33</v>
      </c>
      <c r="E3594" s="1" t="s">
        <v>12</v>
      </c>
      <c r="F3594" s="1">
        <f t="shared" si="121"/>
        <v>696</v>
      </c>
      <c r="G3594" s="5">
        <f t="shared" si="120"/>
        <v>9.9137931034482762E-2</v>
      </c>
    </row>
    <row r="3595" spans="1:7" ht="15.75" customHeight="1">
      <c r="A3595" s="4" t="s">
        <v>123</v>
      </c>
      <c r="B3595" s="1">
        <v>6.88</v>
      </c>
      <c r="C3595" s="1">
        <v>81</v>
      </c>
      <c r="D3595" s="1" t="s">
        <v>38</v>
      </c>
      <c r="E3595" s="1" t="s">
        <v>7</v>
      </c>
      <c r="F3595" s="1">
        <f t="shared" si="121"/>
        <v>688</v>
      </c>
      <c r="G3595" s="5">
        <f t="shared" si="120"/>
        <v>0.11773255813953488</v>
      </c>
    </row>
    <row r="3596" spans="1:7" ht="15.75" customHeight="1">
      <c r="A3596" s="4" t="s">
        <v>123</v>
      </c>
      <c r="B3596" s="1">
        <v>6.56</v>
      </c>
      <c r="C3596" s="1">
        <v>39</v>
      </c>
      <c r="D3596" s="1" t="s">
        <v>11</v>
      </c>
      <c r="E3596" s="1" t="s">
        <v>18</v>
      </c>
      <c r="F3596" s="1">
        <f t="shared" si="121"/>
        <v>656</v>
      </c>
      <c r="G3596" s="5">
        <f t="shared" si="120"/>
        <v>5.9451219512195119E-2</v>
      </c>
    </row>
    <row r="3597" spans="1:7" ht="15.75" customHeight="1">
      <c r="A3597" s="4" t="s">
        <v>123</v>
      </c>
      <c r="B3597" s="1">
        <v>5.5</v>
      </c>
      <c r="C3597" s="1">
        <v>16</v>
      </c>
      <c r="D3597" s="1" t="s">
        <v>35</v>
      </c>
      <c r="E3597" s="1" t="s">
        <v>15</v>
      </c>
      <c r="F3597" s="1">
        <f t="shared" si="121"/>
        <v>550</v>
      </c>
      <c r="G3597" s="5">
        <f t="shared" si="120"/>
        <v>2.9090909090909091E-2</v>
      </c>
    </row>
    <row r="3598" spans="1:7" ht="15.75" customHeight="1">
      <c r="A3598" s="4" t="s">
        <v>123</v>
      </c>
      <c r="B3598" s="1">
        <v>5.59</v>
      </c>
      <c r="C3598" s="1">
        <v>73</v>
      </c>
      <c r="D3598" s="1" t="s">
        <v>36</v>
      </c>
      <c r="E3598" s="1" t="s">
        <v>9</v>
      </c>
      <c r="F3598" s="1">
        <f t="shared" si="121"/>
        <v>559</v>
      </c>
      <c r="G3598" s="5">
        <f t="shared" si="120"/>
        <v>0.13059033989266547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Copied_data</vt:lpstr>
      <vt:lpstr>Copied_data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Fionn Delahunty</cp:lastModifiedBy>
  <dcterms:created xsi:type="dcterms:W3CDTF">2024-10-03T17:26:00Z</dcterms:created>
  <dcterms:modified xsi:type="dcterms:W3CDTF">2025-01-05T15:35:09Z</dcterms:modified>
</cp:coreProperties>
</file>